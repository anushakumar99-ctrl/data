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90D1E706-7B1F-400F-B09E-7AC245462C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2" r:id="rId1"/>
    <sheet name="Assumptions" sheetId="5" r:id="rId2"/>
    <sheet name="Revenue Drivers" sheetId="10" r:id="rId3"/>
    <sheet name="Sources" sheetId="4" r:id="rId4"/>
    <sheet name="Quarterly P&amp;L" sheetId="6" r:id="rId5"/>
    <sheet name="Annual_Statements" sheetId="8" r:id="rId6"/>
    <sheet name="Segment Revenue" sheetId="11" r:id="rId7"/>
    <sheet name="Client Data" sheetId="12" r:id="rId8"/>
    <sheet name="Market data" sheetId="14" r:id="rId9"/>
    <sheet name="Checks" sheetId="13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3" l="1"/>
  <c r="G17" i="13" s="1"/>
  <c r="D16" i="13"/>
  <c r="G16" i="13" s="1"/>
  <c r="D15" i="13"/>
  <c r="G15" i="13" s="1"/>
  <c r="D14" i="13"/>
  <c r="G14" i="13" s="1"/>
  <c r="D13" i="13"/>
  <c r="G13" i="13" s="1"/>
  <c r="D10" i="13"/>
  <c r="G10" i="13" s="1"/>
  <c r="D9" i="13"/>
  <c r="G9" i="13" s="1"/>
  <c r="D8" i="13"/>
  <c r="G8" i="13" s="1"/>
  <c r="D7" i="13"/>
  <c r="G7" i="13" s="1"/>
  <c r="D6" i="13"/>
  <c r="G6" i="13" s="1"/>
  <c r="D5" i="13"/>
  <c r="G5" i="13" s="1"/>
  <c r="B5" i="13"/>
  <c r="L27" i="12"/>
  <c r="K27" i="12"/>
  <c r="J27" i="12"/>
  <c r="I27" i="12"/>
  <c r="H27" i="12"/>
  <c r="G27" i="12"/>
  <c r="F27" i="12"/>
  <c r="E27" i="12"/>
  <c r="O25" i="12"/>
  <c r="P25" i="12" s="1"/>
  <c r="M25" i="12"/>
  <c r="L25" i="12"/>
  <c r="K25" i="12"/>
  <c r="J25" i="12"/>
  <c r="I25" i="12"/>
  <c r="H25" i="12"/>
  <c r="G25" i="12"/>
  <c r="F25" i="12"/>
  <c r="E25" i="12"/>
  <c r="D25" i="12"/>
  <c r="C25" i="12"/>
  <c r="O24" i="12"/>
  <c r="P24" i="12" s="1"/>
  <c r="M24" i="12"/>
  <c r="L24" i="12"/>
  <c r="K24" i="12"/>
  <c r="J24" i="12"/>
  <c r="I24" i="12"/>
  <c r="H24" i="12"/>
  <c r="G24" i="12"/>
  <c r="F24" i="12"/>
  <c r="E24" i="12"/>
  <c r="D24" i="12"/>
  <c r="C24" i="12"/>
  <c r="H23" i="12"/>
  <c r="G23" i="12"/>
  <c r="F23" i="12"/>
  <c r="E23" i="12"/>
  <c r="D23" i="12"/>
  <c r="C23" i="12"/>
  <c r="H21" i="12"/>
  <c r="G21" i="12"/>
  <c r="F21" i="12"/>
  <c r="E21" i="12"/>
  <c r="D21" i="12"/>
  <c r="C21" i="12"/>
  <c r="P18" i="12"/>
  <c r="O18" i="12"/>
  <c r="N17" i="12"/>
  <c r="O17" i="12" s="1"/>
  <c r="P17" i="12" s="1"/>
  <c r="O16" i="12"/>
  <c r="P16" i="12" s="1"/>
  <c r="N16" i="12"/>
  <c r="M16" i="12"/>
  <c r="M15" i="12"/>
  <c r="N15" i="12" s="1"/>
  <c r="O15" i="12" s="1"/>
  <c r="P15" i="12" s="1"/>
  <c r="M14" i="12"/>
  <c r="N14" i="12" s="1"/>
  <c r="O14" i="12" s="1"/>
  <c r="P14" i="12" s="1"/>
  <c r="O13" i="12"/>
  <c r="P13" i="12" s="1"/>
  <c r="N13" i="12"/>
  <c r="M13" i="12"/>
  <c r="M12" i="12"/>
  <c r="N12" i="12" s="1"/>
  <c r="O12" i="12" s="1"/>
  <c r="P12" i="12" s="1"/>
  <c r="P11" i="12"/>
  <c r="O11" i="12"/>
  <c r="N11" i="12"/>
  <c r="N10" i="12"/>
  <c r="O10" i="12" s="1"/>
  <c r="P10" i="12" s="1"/>
  <c r="P8" i="12"/>
  <c r="O8" i="12"/>
  <c r="N8" i="12"/>
  <c r="M8" i="12"/>
  <c r="O6" i="12"/>
  <c r="P6" i="12" s="1"/>
  <c r="N6" i="12"/>
  <c r="M6" i="12"/>
  <c r="M5" i="12"/>
  <c r="N5" i="12" s="1"/>
  <c r="O5" i="12" s="1"/>
  <c r="P5" i="12" s="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O88" i="8"/>
  <c r="P88" i="8" s="1"/>
  <c r="N88" i="8"/>
  <c r="M57" i="8"/>
  <c r="L57" i="8"/>
  <c r="G57" i="8"/>
  <c r="F57" i="8"/>
  <c r="P55" i="8"/>
  <c r="P57" i="8" s="1"/>
  <c r="P58" i="8" s="1"/>
  <c r="O55" i="8"/>
  <c r="O57" i="8" s="1"/>
  <c r="O58" i="8" s="1"/>
  <c r="N55" i="8"/>
  <c r="N57" i="8" s="1"/>
  <c r="M55" i="8"/>
  <c r="L55" i="8"/>
  <c r="K55" i="8"/>
  <c r="K57" i="8" s="1"/>
  <c r="J55" i="8"/>
  <c r="J57" i="8" s="1"/>
  <c r="J58" i="8" s="1"/>
  <c r="I55" i="8"/>
  <c r="I57" i="8" s="1"/>
  <c r="I58" i="8" s="1"/>
  <c r="H55" i="8"/>
  <c r="H57" i="8" s="1"/>
  <c r="G55" i="8"/>
  <c r="F55" i="8"/>
  <c r="E55" i="8"/>
  <c r="E57" i="8" s="1"/>
  <c r="D55" i="8"/>
  <c r="D57" i="8" s="1"/>
  <c r="D58" i="8" s="1"/>
  <c r="C55" i="8"/>
  <c r="C57" i="8" s="1"/>
  <c r="C58" i="8" s="1"/>
  <c r="B55" i="8"/>
  <c r="B57" i="8" s="1"/>
  <c r="P52" i="8"/>
  <c r="O52" i="8"/>
  <c r="N52" i="8"/>
  <c r="N58" i="8" s="1"/>
  <c r="M52" i="8"/>
  <c r="M58" i="8" s="1"/>
  <c r="L52" i="8"/>
  <c r="L58" i="8" s="1"/>
  <c r="K52" i="8"/>
  <c r="J52" i="8"/>
  <c r="I52" i="8"/>
  <c r="H52" i="8"/>
  <c r="H58" i="8" s="1"/>
  <c r="G52" i="8"/>
  <c r="G58" i="8" s="1"/>
  <c r="F52" i="8"/>
  <c r="F58" i="8" s="1"/>
  <c r="E52" i="8"/>
  <c r="D52" i="8"/>
  <c r="C52" i="8"/>
  <c r="B52" i="8"/>
  <c r="B58" i="8" s="1"/>
  <c r="P45" i="8"/>
  <c r="P59" i="8" s="1"/>
  <c r="O45" i="8"/>
  <c r="O59" i="8" s="1"/>
  <c r="J45" i="8"/>
  <c r="I45" i="8"/>
  <c r="I59" i="8" s="1"/>
  <c r="D45" i="8"/>
  <c r="C45" i="8"/>
  <c r="C59" i="8" s="1"/>
  <c r="P40" i="8"/>
  <c r="O40" i="8"/>
  <c r="N40" i="8"/>
  <c r="N45" i="8" s="1"/>
  <c r="M40" i="8"/>
  <c r="M45" i="8" s="1"/>
  <c r="L40" i="8"/>
  <c r="L45" i="8" s="1"/>
  <c r="L59" i="8" s="1"/>
  <c r="K40" i="8"/>
  <c r="K45" i="8" s="1"/>
  <c r="J40" i="8"/>
  <c r="I40" i="8"/>
  <c r="H40" i="8"/>
  <c r="H45" i="8" s="1"/>
  <c r="G40" i="8"/>
  <c r="G45" i="8" s="1"/>
  <c r="F40" i="8"/>
  <c r="F45" i="8" s="1"/>
  <c r="F59" i="8" s="1"/>
  <c r="E40" i="8"/>
  <c r="E45" i="8" s="1"/>
  <c r="D40" i="8"/>
  <c r="C40" i="8"/>
  <c r="B40" i="8"/>
  <c r="B45" i="8" s="1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U23" i="6"/>
  <c r="AO23" i="6"/>
  <c r="AI23" i="6"/>
  <c r="AC23" i="6"/>
  <c r="W23" i="6"/>
  <c r="Q23" i="6"/>
  <c r="K23" i="6"/>
  <c r="E23" i="6"/>
  <c r="AU21" i="6"/>
  <c r="AQ21" i="6"/>
  <c r="AO21" i="6"/>
  <c r="AK21" i="6"/>
  <c r="AI21" i="6"/>
  <c r="AE21" i="6"/>
  <c r="AC21" i="6"/>
  <c r="Y21" i="6"/>
  <c r="W21" i="6"/>
  <c r="S21" i="6"/>
  <c r="Q21" i="6"/>
  <c r="M21" i="6"/>
  <c r="K21" i="6"/>
  <c r="G21" i="6"/>
  <c r="E21" i="6"/>
  <c r="AT20" i="6"/>
  <c r="AT23" i="6" s="1"/>
  <c r="AS20" i="6"/>
  <c r="AS23" i="6" s="1"/>
  <c r="AR20" i="6"/>
  <c r="AR23" i="6" s="1"/>
  <c r="AQ20" i="6"/>
  <c r="AQ23" i="6" s="1"/>
  <c r="AP20" i="6"/>
  <c r="AP23" i="6" s="1"/>
  <c r="AO20" i="6"/>
  <c r="AN20" i="6"/>
  <c r="AN23" i="6" s="1"/>
  <c r="AM20" i="6"/>
  <c r="AM23" i="6" s="1"/>
  <c r="AL20" i="6"/>
  <c r="AL23" i="6" s="1"/>
  <c r="AK20" i="6"/>
  <c r="AK23" i="6" s="1"/>
  <c r="AJ20" i="6"/>
  <c r="AJ23" i="6" s="1"/>
  <c r="AI20" i="6"/>
  <c r="AH20" i="6"/>
  <c r="AH23" i="6" s="1"/>
  <c r="AG20" i="6"/>
  <c r="AG23" i="6" s="1"/>
  <c r="AF20" i="6"/>
  <c r="AF23" i="6" s="1"/>
  <c r="AE20" i="6"/>
  <c r="AE23" i="6" s="1"/>
  <c r="AD20" i="6"/>
  <c r="AD23" i="6" s="1"/>
  <c r="AC20" i="6"/>
  <c r="AB20" i="6"/>
  <c r="AB23" i="6" s="1"/>
  <c r="AA20" i="6"/>
  <c r="AA23" i="6" s="1"/>
  <c r="Z20" i="6"/>
  <c r="Z23" i="6" s="1"/>
  <c r="Y20" i="6"/>
  <c r="Y23" i="6" s="1"/>
  <c r="X20" i="6"/>
  <c r="X23" i="6" s="1"/>
  <c r="W20" i="6"/>
  <c r="V20" i="6"/>
  <c r="V23" i="6" s="1"/>
  <c r="U20" i="6"/>
  <c r="U23" i="6" s="1"/>
  <c r="T20" i="6"/>
  <c r="T23" i="6" s="1"/>
  <c r="S20" i="6"/>
  <c r="S23" i="6" s="1"/>
  <c r="R20" i="6"/>
  <c r="R23" i="6" s="1"/>
  <c r="Q20" i="6"/>
  <c r="P20" i="6"/>
  <c r="P23" i="6" s="1"/>
  <c r="O20" i="6"/>
  <c r="O23" i="6" s="1"/>
  <c r="N20" i="6"/>
  <c r="N23" i="6" s="1"/>
  <c r="M20" i="6"/>
  <c r="M23" i="6" s="1"/>
  <c r="L20" i="6"/>
  <c r="L23" i="6" s="1"/>
  <c r="K20" i="6"/>
  <c r="J20" i="6"/>
  <c r="J23" i="6" s="1"/>
  <c r="I20" i="6"/>
  <c r="I23" i="6" s="1"/>
  <c r="H20" i="6"/>
  <c r="H23" i="6" s="1"/>
  <c r="G20" i="6"/>
  <c r="G23" i="6" s="1"/>
  <c r="F20" i="6"/>
  <c r="F23" i="6" s="1"/>
  <c r="E20" i="6"/>
  <c r="D20" i="6"/>
  <c r="D23" i="6" s="1"/>
  <c r="C20" i="6"/>
  <c r="C23" i="6" s="1"/>
  <c r="B20" i="6"/>
  <c r="B23" i="6" s="1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U17" i="6"/>
  <c r="AU18" i="6" s="1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BI14" i="6"/>
  <c r="BI15" i="6" s="1"/>
  <c r="BH14" i="6"/>
  <c r="BH20" i="6" s="1"/>
  <c r="BC14" i="6"/>
  <c r="BC15" i="6" s="1"/>
  <c r="BB14" i="6"/>
  <c r="BB20" i="6" s="1"/>
  <c r="AW14" i="6"/>
  <c r="AW15" i="6" s="1"/>
  <c r="AV14" i="6"/>
  <c r="AV20" i="6" s="1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BI8" i="6"/>
  <c r="BI9" i="6" s="1"/>
  <c r="BH8" i="6"/>
  <c r="BH9" i="6" s="1"/>
  <c r="BG8" i="6"/>
  <c r="BG14" i="6" s="1"/>
  <c r="BF8" i="6"/>
  <c r="BF9" i="6" s="1"/>
  <c r="BE8" i="6"/>
  <c r="BE9" i="6" s="1"/>
  <c r="BD8" i="6"/>
  <c r="BD14" i="6" s="1"/>
  <c r="BC8" i="6"/>
  <c r="BC9" i="6" s="1"/>
  <c r="BB8" i="6"/>
  <c r="BB9" i="6" s="1"/>
  <c r="BA8" i="6"/>
  <c r="BA14" i="6" s="1"/>
  <c r="AZ8" i="6"/>
  <c r="AZ9" i="6" s="1"/>
  <c r="AY8" i="6"/>
  <c r="AY9" i="6" s="1"/>
  <c r="AX8" i="6"/>
  <c r="AX14" i="6" s="1"/>
  <c r="AW8" i="6"/>
  <c r="AW9" i="6" s="1"/>
  <c r="AV8" i="6"/>
  <c r="AV9" i="6" s="1"/>
  <c r="AU8" i="6"/>
  <c r="AU9" i="6" s="1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N22" i="10"/>
  <c r="N23" i="10" s="1"/>
  <c r="M22" i="10"/>
  <c r="M23" i="10" s="1"/>
  <c r="B12" i="13" s="1"/>
  <c r="D12" i="13" s="1"/>
  <c r="G12" i="13" s="1"/>
  <c r="L22" i="10"/>
  <c r="L23" i="10" s="1"/>
  <c r="H22" i="10"/>
  <c r="H23" i="10" s="1"/>
  <c r="G22" i="10"/>
  <c r="G23" i="10" s="1"/>
  <c r="F22" i="10"/>
  <c r="F23" i="10" s="1"/>
  <c r="B22" i="10"/>
  <c r="B23" i="10" s="1"/>
  <c r="P20" i="10"/>
  <c r="AG46" i="2" s="1"/>
  <c r="AG48" i="2" s="1"/>
  <c r="AG50" i="2" s="1"/>
  <c r="O20" i="10"/>
  <c r="O22" i="10" s="1"/>
  <c r="O23" i="10" s="1"/>
  <c r="N20" i="10"/>
  <c r="M20" i="10"/>
  <c r="L20" i="10"/>
  <c r="K20" i="10"/>
  <c r="K22" i="10" s="1"/>
  <c r="K23" i="10" s="1"/>
  <c r="J20" i="10"/>
  <c r="AA46" i="2" s="1"/>
  <c r="AA48" i="2" s="1"/>
  <c r="AA50" i="2" s="1"/>
  <c r="I20" i="10"/>
  <c r="I22" i="10" s="1"/>
  <c r="I23" i="10" s="1"/>
  <c r="H20" i="10"/>
  <c r="G20" i="10"/>
  <c r="F20" i="10"/>
  <c r="E20" i="10"/>
  <c r="E22" i="10" s="1"/>
  <c r="E23" i="10" s="1"/>
  <c r="D20" i="10"/>
  <c r="U46" i="2" s="1"/>
  <c r="U48" i="2" s="1"/>
  <c r="U50" i="2" s="1"/>
  <c r="C20" i="10"/>
  <c r="C22" i="10" s="1"/>
  <c r="C23" i="10" s="1"/>
  <c r="B20" i="10"/>
  <c r="N19" i="10"/>
  <c r="M19" i="10"/>
  <c r="L19" i="10"/>
  <c r="H19" i="10"/>
  <c r="G19" i="10"/>
  <c r="F19" i="10"/>
  <c r="B19" i="10"/>
  <c r="L18" i="10"/>
  <c r="K18" i="10"/>
  <c r="J18" i="10"/>
  <c r="I18" i="10"/>
  <c r="H18" i="10"/>
  <c r="G18" i="10"/>
  <c r="F18" i="10"/>
  <c r="E18" i="10"/>
  <c r="D18" i="10"/>
  <c r="C18" i="10"/>
  <c r="B18" i="10"/>
  <c r="Y11" i="10"/>
  <c r="X11" i="10"/>
  <c r="W11" i="10"/>
  <c r="V11" i="10"/>
  <c r="U11" i="10"/>
  <c r="T11" i="10"/>
  <c r="S11" i="10"/>
  <c r="R11" i="10"/>
  <c r="P11" i="10"/>
  <c r="O11" i="10"/>
  <c r="N11" i="10"/>
  <c r="L11" i="10"/>
  <c r="K11" i="10"/>
  <c r="J11" i="10"/>
  <c r="I11" i="10"/>
  <c r="H11" i="10"/>
  <c r="G11" i="10"/>
  <c r="F11" i="10"/>
  <c r="E11" i="10"/>
  <c r="D11" i="10"/>
  <c r="C11" i="10"/>
  <c r="B11" i="10"/>
  <c r="Y10" i="10"/>
  <c r="X10" i="10"/>
  <c r="W10" i="10"/>
  <c r="V10" i="10"/>
  <c r="U10" i="10"/>
  <c r="T10" i="10"/>
  <c r="S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Y9" i="10"/>
  <c r="X9" i="10"/>
  <c r="W9" i="10"/>
  <c r="V9" i="10"/>
  <c r="U9" i="10"/>
  <c r="T9" i="10"/>
  <c r="S9" i="10"/>
  <c r="R9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N6" i="5"/>
  <c r="M6" i="5"/>
  <c r="L6" i="5"/>
  <c r="K6" i="5"/>
  <c r="J6" i="5"/>
  <c r="I6" i="5"/>
  <c r="H6" i="5"/>
  <c r="G6" i="5"/>
  <c r="F6" i="5"/>
  <c r="E6" i="5"/>
  <c r="D6" i="5"/>
  <c r="C6" i="5"/>
  <c r="B6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G47" i="2"/>
  <c r="AG49" i="2" s="1"/>
  <c r="AF47" i="2"/>
  <c r="AF49" i="2" s="1"/>
  <c r="AE47" i="2"/>
  <c r="AE49" i="2" s="1"/>
  <c r="AD47" i="2"/>
  <c r="AC47" i="2"/>
  <c r="AB47" i="2"/>
  <c r="AA47" i="2"/>
  <c r="AA49" i="2" s="1"/>
  <c r="Z47" i="2"/>
  <c r="Y47" i="2"/>
  <c r="X47" i="2"/>
  <c r="W47" i="2"/>
  <c r="V47" i="2"/>
  <c r="U47" i="2"/>
  <c r="U49" i="2" s="1"/>
  <c r="T47" i="2"/>
  <c r="T49" i="2" s="1"/>
  <c r="S47" i="2"/>
  <c r="S49" i="2" s="1"/>
  <c r="AF46" i="2"/>
  <c r="AF48" i="2" s="1"/>
  <c r="AF50" i="2" s="1"/>
  <c r="AE46" i="2"/>
  <c r="AE48" i="2" s="1"/>
  <c r="AE50" i="2" s="1"/>
  <c r="AD46" i="2"/>
  <c r="AD48" i="2" s="1"/>
  <c r="AD50" i="2" s="1"/>
  <c r="AC46" i="2"/>
  <c r="AC48" i="2" s="1"/>
  <c r="AC50" i="2" s="1"/>
  <c r="Z46" i="2"/>
  <c r="Z48" i="2" s="1"/>
  <c r="Z50" i="2" s="1"/>
  <c r="Y46" i="2"/>
  <c r="Y48" i="2" s="1"/>
  <c r="Y50" i="2" s="1"/>
  <c r="X46" i="2"/>
  <c r="X48" i="2" s="1"/>
  <c r="X50" i="2" s="1"/>
  <c r="W46" i="2"/>
  <c r="W48" i="2" s="1"/>
  <c r="W50" i="2" s="1"/>
  <c r="T46" i="2"/>
  <c r="T48" i="2" s="1"/>
  <c r="T50" i="2" s="1"/>
  <c r="S46" i="2"/>
  <c r="S48" i="2" s="1"/>
  <c r="S50" i="2" s="1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P42" i="2"/>
  <c r="AG22" i="2" s="1"/>
  <c r="D42" i="2"/>
  <c r="U22" i="2" s="1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P41" i="2"/>
  <c r="O41" i="2"/>
  <c r="O42" i="2" s="1"/>
  <c r="AF22" i="2" s="1"/>
  <c r="N41" i="2"/>
  <c r="N42" i="2" s="1"/>
  <c r="AE22" i="2" s="1"/>
  <c r="M41" i="2"/>
  <c r="M42" i="2" s="1"/>
  <c r="AD22" i="2" s="1"/>
  <c r="L41" i="2"/>
  <c r="L42" i="2" s="1"/>
  <c r="AC22" i="2" s="1"/>
  <c r="K41" i="2"/>
  <c r="K42" i="2" s="1"/>
  <c r="AB22" i="2" s="1"/>
  <c r="J41" i="2"/>
  <c r="J42" i="2" s="1"/>
  <c r="AA22" i="2" s="1"/>
  <c r="I41" i="2"/>
  <c r="I42" i="2" s="1"/>
  <c r="Z22" i="2" s="1"/>
  <c r="H41" i="2"/>
  <c r="H42" i="2" s="1"/>
  <c r="Y22" i="2" s="1"/>
  <c r="G41" i="2"/>
  <c r="G42" i="2" s="1"/>
  <c r="X22" i="2" s="1"/>
  <c r="F41" i="2"/>
  <c r="F42" i="2" s="1"/>
  <c r="W22" i="2" s="1"/>
  <c r="E41" i="2"/>
  <c r="E42" i="2" s="1"/>
  <c r="V22" i="2" s="1"/>
  <c r="D41" i="2"/>
  <c r="C41" i="2"/>
  <c r="C42" i="2" s="1"/>
  <c r="T22" i="2" s="1"/>
  <c r="B41" i="2"/>
  <c r="B42" i="2" s="1"/>
  <c r="S22" i="2" s="1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AG14" i="2"/>
  <c r="V14" i="2"/>
  <c r="U14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P10" i="2"/>
  <c r="O10" i="2"/>
  <c r="AF14" i="2" s="1"/>
  <c r="N10" i="2"/>
  <c r="AE14" i="2" s="1"/>
  <c r="M10" i="2"/>
  <c r="AD7" i="2" s="1"/>
  <c r="L10" i="2"/>
  <c r="AC14" i="2" s="1"/>
  <c r="K10" i="2"/>
  <c r="AB7" i="2" s="1"/>
  <c r="J10" i="2"/>
  <c r="AA14" i="2" s="1"/>
  <c r="I10" i="2"/>
  <c r="Z14" i="2" s="1"/>
  <c r="H10" i="2"/>
  <c r="Y14" i="2" s="1"/>
  <c r="G10" i="2"/>
  <c r="X14" i="2" s="1"/>
  <c r="F10" i="2"/>
  <c r="W14" i="2" s="1"/>
  <c r="E10" i="2"/>
  <c r="V7" i="2" s="1"/>
  <c r="D10" i="2"/>
  <c r="U7" i="2" s="1"/>
  <c r="C10" i="2"/>
  <c r="T14" i="2" s="1"/>
  <c r="B10" i="2"/>
  <c r="S14" i="2" s="1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AG7" i="2"/>
  <c r="AE7" i="2"/>
  <c r="AC7" i="2"/>
  <c r="AA7" i="2"/>
  <c r="Y7" i="2"/>
  <c r="X7" i="2"/>
  <c r="W7" i="2"/>
  <c r="S7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P6" i="2"/>
  <c r="O6" i="2"/>
  <c r="N6" i="2"/>
  <c r="AE5" i="2" s="1"/>
  <c r="M6" i="2"/>
  <c r="AD5" i="2" s="1"/>
  <c r="L6" i="2"/>
  <c r="K6" i="2"/>
  <c r="AB5" i="2" s="1"/>
  <c r="J6" i="2"/>
  <c r="I6" i="2"/>
  <c r="H6" i="2"/>
  <c r="Y5" i="2" s="1"/>
  <c r="G6" i="2"/>
  <c r="X5" i="2" s="1"/>
  <c r="F6" i="2"/>
  <c r="E6" i="2"/>
  <c r="V5" i="2" s="1"/>
  <c r="D6" i="2"/>
  <c r="C6" i="2"/>
  <c r="AG5" i="2"/>
  <c r="AF5" i="2"/>
  <c r="AC5" i="2"/>
  <c r="AA5" i="2"/>
  <c r="Z5" i="2"/>
  <c r="W5" i="2"/>
  <c r="U5" i="2"/>
  <c r="T5" i="2"/>
  <c r="S5" i="2"/>
  <c r="Y49" i="2" l="1"/>
  <c r="BH23" i="6"/>
  <c r="BH21" i="6"/>
  <c r="BH24" i="6"/>
  <c r="BH26" i="6" s="1"/>
  <c r="BH27" i="6" s="1"/>
  <c r="Z49" i="2"/>
  <c r="K59" i="8"/>
  <c r="AD14" i="2"/>
  <c r="BA17" i="6"/>
  <c r="BA18" i="6" s="1"/>
  <c r="BA20" i="6"/>
  <c r="BA15" i="6"/>
  <c r="BG17" i="6"/>
  <c r="BG18" i="6" s="1"/>
  <c r="BG20" i="6"/>
  <c r="BG15" i="6"/>
  <c r="AV23" i="6"/>
  <c r="AV21" i="6"/>
  <c r="AV24" i="6"/>
  <c r="AV26" i="6" s="1"/>
  <c r="AV27" i="6" s="1"/>
  <c r="D59" i="8"/>
  <c r="G59" i="8"/>
  <c r="M59" i="8"/>
  <c r="W49" i="2"/>
  <c r="AC49" i="2"/>
  <c r="BB23" i="6"/>
  <c r="BB21" i="6"/>
  <c r="BB24" i="6"/>
  <c r="BB26" i="6" s="1"/>
  <c r="BB27" i="6" s="1"/>
  <c r="B59" i="8"/>
  <c r="H59" i="8"/>
  <c r="N59" i="8"/>
  <c r="J59" i="8"/>
  <c r="E58" i="8"/>
  <c r="E59" i="8" s="1"/>
  <c r="K58" i="8"/>
  <c r="AB14" i="2"/>
  <c r="X49" i="2"/>
  <c r="AD49" i="2"/>
  <c r="AX15" i="6"/>
  <c r="AX17" i="6"/>
  <c r="AX18" i="6" s="1"/>
  <c r="AX20" i="6"/>
  <c r="BD15" i="6"/>
  <c r="BD17" i="6"/>
  <c r="BD18" i="6" s="1"/>
  <c r="BD20" i="6"/>
  <c r="V46" i="2"/>
  <c r="V48" i="2" s="1"/>
  <c r="V50" i="2" s="1"/>
  <c r="AB46" i="2"/>
  <c r="AB48" i="2" s="1"/>
  <c r="AB50" i="2" s="1"/>
  <c r="D19" i="10"/>
  <c r="J19" i="10"/>
  <c r="P19" i="10"/>
  <c r="D22" i="10"/>
  <c r="D23" i="10" s="1"/>
  <c r="J22" i="10"/>
  <c r="J23" i="10" s="1"/>
  <c r="P22" i="10"/>
  <c r="P23" i="10" s="1"/>
  <c r="BA9" i="6"/>
  <c r="BG9" i="6"/>
  <c r="AY14" i="6"/>
  <c r="BE14" i="6"/>
  <c r="AV17" i="6"/>
  <c r="AV18" i="6" s="1"/>
  <c r="BB17" i="6"/>
  <c r="BB18" i="6" s="1"/>
  <c r="BH17" i="6"/>
  <c r="BH18" i="6" s="1"/>
  <c r="AW20" i="6"/>
  <c r="BC20" i="6"/>
  <c r="BI20" i="6"/>
  <c r="T7" i="2"/>
  <c r="Z7" i="2"/>
  <c r="AF7" i="2"/>
  <c r="E19" i="10"/>
  <c r="K19" i="10"/>
  <c r="AZ14" i="6"/>
  <c r="BF14" i="6"/>
  <c r="AW17" i="6"/>
  <c r="AW18" i="6" s="1"/>
  <c r="BC17" i="6"/>
  <c r="BC18" i="6" s="1"/>
  <c r="BI17" i="6"/>
  <c r="BI18" i="6" s="1"/>
  <c r="B21" i="6"/>
  <c r="H21" i="6"/>
  <c r="N21" i="6"/>
  <c r="T21" i="6"/>
  <c r="Z21" i="6"/>
  <c r="AF21" i="6"/>
  <c r="AL21" i="6"/>
  <c r="AR21" i="6"/>
  <c r="C21" i="6"/>
  <c r="I21" i="6"/>
  <c r="O21" i="6"/>
  <c r="U21" i="6"/>
  <c r="AA21" i="6"/>
  <c r="AG21" i="6"/>
  <c r="AM21" i="6"/>
  <c r="AS21" i="6"/>
  <c r="AX9" i="6"/>
  <c r="BD9" i="6"/>
  <c r="AV15" i="6"/>
  <c r="BB15" i="6"/>
  <c r="BH15" i="6"/>
  <c r="D21" i="6"/>
  <c r="J21" i="6"/>
  <c r="P21" i="6"/>
  <c r="V21" i="6"/>
  <c r="AB21" i="6"/>
  <c r="AH21" i="6"/>
  <c r="AN21" i="6"/>
  <c r="AT21" i="6"/>
  <c r="C19" i="10"/>
  <c r="B11" i="13" s="1"/>
  <c r="D11" i="13" s="1"/>
  <c r="G11" i="13" s="1"/>
  <c r="I19" i="10"/>
  <c r="O19" i="10"/>
  <c r="F21" i="6"/>
  <c r="L21" i="6"/>
  <c r="R21" i="6"/>
  <c r="X21" i="6"/>
  <c r="AD21" i="6"/>
  <c r="AJ21" i="6"/>
  <c r="AP21" i="6"/>
  <c r="BC24" i="6" l="1"/>
  <c r="BC26" i="6" s="1"/>
  <c r="BC27" i="6" s="1"/>
  <c r="BC23" i="6"/>
  <c r="BC21" i="6"/>
  <c r="AW24" i="6"/>
  <c r="AW26" i="6" s="1"/>
  <c r="AW27" i="6" s="1"/>
  <c r="AW23" i="6"/>
  <c r="AW21" i="6"/>
  <c r="AX24" i="6"/>
  <c r="AX26" i="6" s="1"/>
  <c r="AX27" i="6" s="1"/>
  <c r="AX23" i="6"/>
  <c r="AX21" i="6"/>
  <c r="BA23" i="6"/>
  <c r="BA21" i="6"/>
  <c r="BA24" i="6"/>
  <c r="BA26" i="6" s="1"/>
  <c r="BA27" i="6" s="1"/>
  <c r="BF17" i="6"/>
  <c r="BF18" i="6" s="1"/>
  <c r="BF20" i="6"/>
  <c r="BF15" i="6"/>
  <c r="AB49" i="2"/>
  <c r="AY17" i="6"/>
  <c r="AY18" i="6" s="1"/>
  <c r="AY20" i="6"/>
  <c r="AY15" i="6"/>
  <c r="AZ17" i="6"/>
  <c r="AZ18" i="6" s="1"/>
  <c r="AZ20" i="6"/>
  <c r="AZ15" i="6"/>
  <c r="BI24" i="6"/>
  <c r="BI26" i="6" s="1"/>
  <c r="BI27" i="6" s="1"/>
  <c r="BI23" i="6"/>
  <c r="BI21" i="6"/>
  <c r="BE17" i="6"/>
  <c r="BE18" i="6" s="1"/>
  <c r="BE20" i="6"/>
  <c r="BE15" i="6"/>
  <c r="BD24" i="6"/>
  <c r="BD26" i="6" s="1"/>
  <c r="BD27" i="6" s="1"/>
  <c r="BD23" i="6"/>
  <c r="BD21" i="6"/>
  <c r="V49" i="2"/>
  <c r="BG23" i="6"/>
  <c r="BG21" i="6"/>
  <c r="BG24" i="6"/>
  <c r="BG26" i="6" s="1"/>
  <c r="BG27" i="6" s="1"/>
  <c r="BE24" i="6" l="1"/>
  <c r="BE26" i="6" s="1"/>
  <c r="BE27" i="6" s="1"/>
  <c r="BE23" i="6"/>
  <c r="BE21" i="6"/>
  <c r="AZ24" i="6"/>
  <c r="AZ26" i="6" s="1"/>
  <c r="AZ27" i="6" s="1"/>
  <c r="AZ23" i="6"/>
  <c r="AZ21" i="6"/>
  <c r="BF24" i="6"/>
  <c r="BF26" i="6" s="1"/>
  <c r="BF27" i="6" s="1"/>
  <c r="BF23" i="6"/>
  <c r="BF21" i="6"/>
  <c r="AY24" i="6"/>
  <c r="AY26" i="6" s="1"/>
  <c r="AY27" i="6" s="1"/>
  <c r="AY23" i="6"/>
  <c r="AY2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tc={75DB6294-BA97-47DC-9D7F-F4BEBA526C8B}</author>
    <author>tc={22B68B2C-1601-4E20-A01E-62618EA65663}</author>
    <author>tc={A6303601-27CC-4A07-B996-DAF993163D48}</author>
    <author>tc={5DB38757-3BB3-4B87-8311-7EF76F617C45}</author>
    <author>tc={528A2C26-7B95-4A0D-B701-68ED8CB2EB32}</author>
    <author>tc={F71E4DFB-0472-421C-BD85-E5931167EA99}</author>
    <author>tc={D4C4DFC3-ED4A-48EF-AC35-AB533667E771}</author>
    <author>tc={F8218DB4-1760-45F9-B14D-B896D894E281}</author>
    <author>tc={095F0AC4-E127-4EC9-93DD-C3C39E074544}</author>
    <author>tc={285C0748-6AC4-4F1C-BEBD-270B35615B1D}</author>
    <author>tc={BD5D1B0A-4B2B-46C5-AF4F-D9127D5EA655}</author>
  </authors>
  <commentList>
    <comment ref="C5" authorId="0" shapeId="0" xr:uid="{00000000-0006-0000-08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https://finance.yahoo.com/quote/INFY.NS/history/
Fiscal year-end closing price on 2016-03-31.</t>
      </text>
    </comment>
    <comment ref="C6" authorId="1" shapeId="0" xr:uid="{00000000-0006-0000-08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https://finance.yahoo.com/quote/INFY.NS/history/
Fiscal year-end closing price on 2017-03-31.</t>
      </text>
    </comment>
    <comment ref="C7" authorId="2" shapeId="0" xr:uid="{00000000-0006-0000-08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https://finance.yahoo.com/quote/INFY.NS/history/
Fiscal year-end closing price on 2018-03-28.</t>
      </text>
    </comment>
    <comment ref="C8" authorId="3" shapeId="0" xr:uid="{00000000-0006-0000-08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https://finance.yahoo.com/quote/INFY.NS/history/
Fiscal year-end closing price on 2019-03-28.</t>
      </text>
    </comment>
    <comment ref="C9" authorId="4" shapeId="0" xr:uid="{00000000-0006-0000-08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https://finance.yahoo.com/quote/INFY.NS/history/
Fiscal year-end closing price on 2020-03-31.</t>
      </text>
    </comment>
    <comment ref="C10" authorId="5" shapeId="0" xr:uid="{00000000-0006-0000-08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https://finance.yahoo.com/quote/INFY.NS/history/
Fiscal year-end closing price on 2021-03-31.</t>
      </text>
    </comment>
    <comment ref="C11" authorId="6" shapeId="0" xr:uid="{00000000-0006-0000-08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https://finance.yahoo.com/quote/INFY.NS/history/
Fiscal year-end closing price on 2022-03-31.</t>
      </text>
    </comment>
    <comment ref="C12" authorId="7" shapeId="0" xr:uid="{00000000-0006-0000-08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https://finance.yahoo.com/quote/INFY.NS/history/
Fiscal year-end closing price on 2023-03-31.</t>
      </text>
    </comment>
    <comment ref="C13" authorId="8" shapeId="0" xr:uid="{00000000-0006-0000-08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https://finance.yahoo.com/quote/INFY.NS/history/
Fiscal year-end closing price on 2024-03-28.</t>
      </text>
    </comment>
    <comment ref="C14" authorId="9" shapeId="0" xr:uid="{00000000-0006-0000-08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https://finance.yahoo.com/quote/INFY.NS/history/
Fiscal year-end closing price on 2025-03-28.</t>
      </text>
    </comment>
    <comment ref="C15" authorId="10" shapeId="0" xr:uid="{00000000-0006-0000-08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https://finance.yahoo.com/quote/INFY.NS/history/
Fiscal year-end closing price on 2026-03-30.</t>
      </text>
    </comment>
  </commentList>
</comments>
</file>

<file path=xl/sharedStrings.xml><?xml version="1.0" encoding="utf-8"?>
<sst xmlns="http://schemas.openxmlformats.org/spreadsheetml/2006/main" count="702" uniqueCount="438">
  <si>
    <t>TCS — Financial Summary</t>
  </si>
  <si>
    <t>Profit &amp; Loss Statement</t>
  </si>
  <si>
    <t>FY16A</t>
  </si>
  <si>
    <t>FY17A</t>
  </si>
  <si>
    <t>FY18A</t>
  </si>
  <si>
    <t>FY19A</t>
  </si>
  <si>
    <t>FY20A</t>
  </si>
  <si>
    <t>FY21A</t>
  </si>
  <si>
    <t>FY22A</t>
  </si>
  <si>
    <t>FY23A</t>
  </si>
  <si>
    <t>FY24A</t>
  </si>
  <si>
    <t>FY25A</t>
  </si>
  <si>
    <t>FY26A</t>
  </si>
  <si>
    <t>FY27E</t>
  </si>
  <si>
    <t>FY28E</t>
  </si>
  <si>
    <t>FY29E</t>
  </si>
  <si>
    <t>FY30E</t>
  </si>
  <si>
    <t>Key Ratios</t>
  </si>
  <si>
    <t>Revenue</t>
  </si>
  <si>
    <t>Revenue growth</t>
  </si>
  <si>
    <t>Growth</t>
  </si>
  <si>
    <t>Gross margin</t>
  </si>
  <si>
    <t>Gross profit</t>
  </si>
  <si>
    <t>EBITDA margin</t>
  </si>
  <si>
    <t>EBIT margin</t>
  </si>
  <si>
    <t>EBITDA</t>
  </si>
  <si>
    <t>PBT margin</t>
  </si>
  <si>
    <t>Net margin</t>
  </si>
  <si>
    <t>EBIT</t>
  </si>
  <si>
    <t>CFO / net income</t>
  </si>
  <si>
    <t>FCF margin</t>
  </si>
  <si>
    <t>PBT</t>
  </si>
  <si>
    <t>Net cash / revenue</t>
  </si>
  <si>
    <t>Income tax</t>
  </si>
  <si>
    <t>Net profit</t>
  </si>
  <si>
    <t>EPS</t>
  </si>
  <si>
    <t>Cash Flow Statement</t>
  </si>
  <si>
    <t>Profit incl. NCI</t>
  </si>
  <si>
    <t>D&amp;A</t>
  </si>
  <si>
    <t>Other non-cash / reclassification</t>
  </si>
  <si>
    <t>CFO</t>
  </si>
  <si>
    <t>Capex</t>
  </si>
  <si>
    <t>CFI</t>
  </si>
  <si>
    <t>CFF</t>
  </si>
  <si>
    <t>Net change before FX</t>
  </si>
  <si>
    <t>FX effect</t>
  </si>
  <si>
    <t>Opening cash</t>
  </si>
  <si>
    <t>Closing cash</t>
  </si>
  <si>
    <t>Balance Sheet</t>
  </si>
  <si>
    <t>Revenue Build — Billable-employee Revenue + AI Revenue</t>
  </si>
  <si>
    <t>Cash &amp; equivalents</t>
  </si>
  <si>
    <t>Billable-employee revenue</t>
  </si>
  <si>
    <t>Trade receivables</t>
  </si>
  <si>
    <t>AI revenue</t>
  </si>
  <si>
    <t>Other current assets</t>
  </si>
  <si>
    <t>Total modelled revenue</t>
  </si>
  <si>
    <t>Total current assets</t>
  </si>
  <si>
    <t>AI revenue / total revenue</t>
  </si>
  <si>
    <t>Net PPE &amp; intangibles</t>
  </si>
  <si>
    <t>Revenue bridge check</t>
  </si>
  <si>
    <t>Goodwill &amp; investments</t>
  </si>
  <si>
    <t>Other long-term assets</t>
  </si>
  <si>
    <t>Total assets</t>
  </si>
  <si>
    <t>Current liabilities</t>
  </si>
  <si>
    <t>Debt &amp; lease liabilities</t>
  </si>
  <si>
    <t>Other long-term liabilities</t>
  </si>
  <si>
    <t>Total liabilities</t>
  </si>
  <si>
    <t>Share capital</t>
  </si>
  <si>
    <t>Retained earnings &amp; reserves</t>
  </si>
  <si>
    <t>Total equity</t>
  </si>
  <si>
    <t>Total liabilities &amp; equity</t>
  </si>
  <si>
    <t>Net cash / (debt)</t>
  </si>
  <si>
    <t>TCS — Assumptions</t>
  </si>
  <si>
    <t>FY27 Quarterly Assumptions</t>
  </si>
  <si>
    <t>Annual Assumptions</t>
  </si>
  <si>
    <t>Driver</t>
  </si>
  <si>
    <t>Q1 FY27A</t>
  </si>
  <si>
    <t>Q2 FY27E</t>
  </si>
  <si>
    <t>Q3 FY27E</t>
  </si>
  <si>
    <t>Q4 FY27E</t>
  </si>
  <si>
    <t>Sequential revenue growth</t>
  </si>
  <si>
    <t>Cost of revenue / revenue</t>
  </si>
  <si>
    <t>Operating margin</t>
  </si>
  <si>
    <t>SG&amp;A / revenue</t>
  </si>
  <si>
    <t>Tax rate</t>
  </si>
  <si>
    <t>Other income / revenue</t>
  </si>
  <si>
    <t>HyperVault revenue</t>
  </si>
  <si>
    <t>NCI / profit incl. NCI</t>
  </si>
  <si>
    <t>D&amp;A / revenue</t>
  </si>
  <si>
    <t>Capex / revenue</t>
  </si>
  <si>
    <t>Dividend payout</t>
  </si>
  <si>
    <t>HyperVault capacity commissioned (MW)</t>
  </si>
  <si>
    <t>HyperVault funding deployment</t>
  </si>
  <si>
    <t>HyperVault utilization</t>
  </si>
  <si>
    <t>HyperVault revenue / MW (₹ cr)</t>
  </si>
  <si>
    <t>HyperVault EBITDA margin</t>
  </si>
  <si>
    <t>HyperVault economics not disclosed by TCS are explicitly set to zero; these are editable scenario inputs, not missing data.</t>
  </si>
  <si>
    <t>AI run-rate growth — Q2 FY27E</t>
  </si>
  <si>
    <t>AI run-rate growth — Q3 FY27E</t>
  </si>
  <si>
    <t>AI run-rate growth — Q4 FY27E</t>
  </si>
  <si>
    <t>Annual Revenue Drivers — Core TCS + HyperVault</t>
  </si>
  <si>
    <t>Quarterly Revenue Bridge — Billable-employee Revenue + AI Revenue</t>
  </si>
  <si>
    <t>Metric</t>
  </si>
  <si>
    <t>Q1 FY26A</t>
  </si>
  <si>
    <t>Q2 FY26A*</t>
  </si>
  <si>
    <t>Q3 FY26A</t>
  </si>
  <si>
    <t>Q4 FY26A</t>
  </si>
  <si>
    <t>Total revenue</t>
  </si>
  <si>
    <t>Annualized AI run-rate</t>
  </si>
  <si>
    <t>Total headcount</t>
  </si>
  <si>
    <t>Quarterly AI revenue proxy</t>
  </si>
  <si>
    <t>Headcount growth</t>
  </si>
  <si>
    <t>Net additions</t>
  </si>
  <si>
    <t>AI revenue / total</t>
  </si>
  <si>
    <t>Attrition — voluntary IT services</t>
  </si>
  <si>
    <t>AI run-rate QoQ growth</t>
  </si>
  <si>
    <t>Women associates</t>
  </si>
  <si>
    <t>Nationalities</t>
  </si>
  <si>
    <t>USD 1m+ clients</t>
  </si>
  <si>
    <t>* Q2 FY26 AI run-rate implied from TCS-disclosed Q3 run-rate and 17.3% sequential CC growth; Q1 FY26 is model-backcast at the same rate. Q3 FY26, Q4 FY26 and Q1 FY27 are company-reported.</t>
  </si>
  <si>
    <t>USD 5m+ clients</t>
  </si>
  <si>
    <t>USD 10m+ clients</t>
  </si>
  <si>
    <t>USD 20m+ clients</t>
  </si>
  <si>
    <t>USD 50m+ clients</t>
  </si>
  <si>
    <t>USD 100m+ clients</t>
  </si>
  <si>
    <t>Revenue / employee (US$ '000)</t>
  </si>
  <si>
    <t>AI revenue — quarterly run-rate roll-up</t>
  </si>
  <si>
    <t>Annualized AI revenue run-rate — year-end</t>
  </si>
  <si>
    <t>HyperVault commissioned capacity (MW)</t>
  </si>
  <si>
    <t>HyperVault revenue (US$ m)</t>
  </si>
  <si>
    <t>Sources &amp; Model Conventions</t>
  </si>
  <si>
    <t>Item</t>
  </si>
  <si>
    <t>Period</t>
  </si>
  <si>
    <t>Source</t>
  </si>
  <si>
    <t>URL / reference</t>
  </si>
  <si>
    <t>Treatment</t>
  </si>
  <si>
    <t>Notes</t>
  </si>
  <si>
    <t>Historical financials</t>
  </si>
  <si>
    <t>FY16–FY26</t>
  </si>
  <si>
    <t>TCS filings / data sheet</t>
  </si>
  <si>
    <t>https://www.tcs.com/investor-relations</t>
  </si>
  <si>
    <t>Reported actuals</t>
  </si>
  <si>
    <t>Audited IFRS USD</t>
  </si>
  <si>
    <t>Q1 FY27</t>
  </si>
  <si>
    <t>TCS consolidated IFRS filing</t>
  </si>
  <si>
    <t>https://www.tcs.com/who-we-are/newsroom/press-release/tcs-financial-results-q1-fy-2027</t>
  </si>
  <si>
    <t>Primary filing</t>
  </si>
  <si>
    <t>Latest reported quarter</t>
  </si>
  <si>
    <t>Operating metrics</t>
  </si>
  <si>
    <t>FY16–Q1 FY27</t>
  </si>
  <si>
    <t>TCS data sheet</t>
  </si>
  <si>
    <t>All disclosed metrics retained</t>
  </si>
  <si>
    <t>Distributed across Revenue Drivers, Segment Revenue and Client Data</t>
  </si>
  <si>
    <t>HyperVault</t>
  </si>
  <si>
    <t>FY27E onward</t>
  </si>
  <si>
    <t>TCS disclosures</t>
  </si>
  <si>
    <t>https://www.tcs.com/what-we-do/services/ai-led-data-centres</t>
  </si>
  <si>
    <t>Scenario assumptions</t>
  </si>
  <si>
    <t>Undisclosed economics default to zero</t>
  </si>
  <si>
    <t>Forecasts</t>
  </si>
  <si>
    <t>FY27E–FY30E</t>
  </si>
  <si>
    <t>Model assumptions</t>
  </si>
  <si>
    <t>Assumptions tab</t>
  </si>
  <si>
    <t>Formula-driven</t>
  </si>
  <si>
    <t>No hardcoded statement outputs</t>
  </si>
  <si>
    <t>Currency</t>
  </si>
  <si>
    <t>All periods</t>
  </si>
  <si>
    <t>Model convention</t>
  </si>
  <si>
    <t>USD million</t>
  </si>
  <si>
    <t>Unless stated otherwise</t>
  </si>
  <si>
    <t>Annual policy</t>
  </si>
  <si>
    <t>Audited reported basis</t>
  </si>
  <si>
    <t>Reported including exceptional items</t>
  </si>
  <si>
    <t>No ex-adjustment in annual history</t>
  </si>
  <si>
    <t>Market data</t>
  </si>
  <si>
    <t>Yahoo Finance NSE TCS</t>
  </si>
  <si>
    <t>https://finance.yahoo.com/quote/TCS.NS/history/</t>
  </si>
  <si>
    <t>Fiscal year-end</t>
  </si>
  <si>
    <t>Price inputs</t>
  </si>
  <si>
    <t>AI annualized revenue</t>
  </si>
  <si>
    <t>Q3 FY26</t>
  </si>
  <si>
    <t>TCS Q3 FY26 results</t>
  </si>
  <si>
    <t>https://www.tcs.com/who-we-are/newsroom/press-release/tcs-financial-results-q3-fy-2026</t>
  </si>
  <si>
    <t>US$1.8bn reported</t>
  </si>
  <si>
    <t>Q3 growth of 17.3% CC used only to imply Q2 and backcast Q1</t>
  </si>
  <si>
    <t>Q4 FY26</t>
  </si>
  <si>
    <t>TCS Q4 FY26 results</t>
  </si>
  <si>
    <t>https://www.tcs.com/who-we-are/newsroom/press-release/tcs-financial-results-q4-fy-2026</t>
  </si>
  <si>
    <t>US$2.3bn reported</t>
  </si>
  <si>
    <t>Quarterly AI revenue proxy equals annualized run-rate / 4</t>
  </si>
  <si>
    <t>TCS Q1 FY27 results</t>
  </si>
  <si>
    <t>US$2.6bn reported</t>
  </si>
  <si>
    <t>Up 13.6% QoQ; forecast growth is model assumption</t>
  </si>
  <si>
    <t>Quarterly Profit &amp; Loss Statement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</si>
  <si>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</si>
  <si>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</si>
  <si>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</si>
  <si>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</si>
  <si>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</si>
  <si>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</si>
  <si>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</si>
  <si>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</si>
  <si>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</si>
  <si>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</si>
  <si>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</si>
  <si>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</si>
  <si>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</si>
  <si>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</si>
  <si>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</si>
  <si>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</si>
  <si>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</si>
  <si>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</si>
  <si>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</si>
  <si>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</si>
  <si>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</si>
  <si>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</si>
  <si>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</si>
  <si>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</si>
  <si>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</si>
  <si>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</si>
  <si>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</si>
  <si>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</si>
  <si>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</si>
  <si>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</si>
  <si>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</si>
  <si>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</si>
  <si>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</si>
  <si>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</si>
  <si>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</si>
  <si>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</si>
  <si>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</si>
  <si>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</si>
  <si>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</si>
  <si>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</si>
  <si>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</si>
  <si>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</si>
  <si>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3Q26</t>
  </si>
  <si>
    <t>4Q26</t>
  </si>
  <si>
    <t>1Q27</t>
  </si>
  <si>
    <t>IT &amp; consultancy revenue</t>
  </si>
  <si>
    <t>Equipment &amp; licence revenue</t>
  </si>
  <si>
    <t>Cost of revenue</t>
  </si>
  <si>
    <t>Employee cost — SG&amp;A</t>
  </si>
  <si>
    <t>Consultants — SG&amp;A</t>
  </si>
  <si>
    <t>Doubtful debts</t>
  </si>
  <si>
    <t>D&amp;A — SG&amp;A</t>
  </si>
  <si>
    <t>Facility — SG&amp;A</t>
  </si>
  <si>
    <t>Travel — SG&amp;A</t>
  </si>
  <si>
    <t>Communication — SG&amp;A</t>
  </si>
  <si>
    <t>Other SG&amp;A</t>
  </si>
  <si>
    <t>Operating expenses</t>
  </si>
  <si>
    <t>Operating income</t>
  </si>
  <si>
    <t>Other income</t>
  </si>
  <si>
    <t>NCI</t>
  </si>
  <si>
    <t>Net profit attributable</t>
  </si>
  <si>
    <t>Annual Profit &amp; Loss Statement</t>
  </si>
  <si>
    <t>Annual P&amp;L</t>
  </si>
  <si>
    <t>Detailed consolidated IFRS income statement | USD million</t>
  </si>
  <si>
    <t>IT &amp; consultancy services revenue</t>
  </si>
  <si>
    <t>Equipment &amp; software licence revenue</t>
  </si>
  <si>
    <t>Employee cost — cost of revenue</t>
  </si>
  <si>
    <t>External consultants — cost of revenue</t>
  </si>
  <si>
    <t>Equipment &amp; software licences — cost of revenue</t>
  </si>
  <si>
    <t>Depreciation — cost of revenue</t>
  </si>
  <si>
    <t>Travel — cost of revenue</t>
  </si>
  <si>
    <t>Communication — cost of revenue</t>
  </si>
  <si>
    <t>Facility expense — cost of revenue</t>
  </si>
  <si>
    <t>Other expenses — cost of revenue</t>
  </si>
  <si>
    <t>External consultants — SG&amp;A</t>
  </si>
  <si>
    <t>Depreciation — SG&amp;A</t>
  </si>
  <si>
    <t>Facility expense — SG&amp;A</t>
  </si>
  <si>
    <t>Other expenses — SG&amp;A</t>
  </si>
  <si>
    <t>Reported exceptional / legal operating item</t>
  </si>
  <si>
    <t>Other income / (expense)</t>
  </si>
  <si>
    <t>Profit before tax</t>
  </si>
  <si>
    <t>Effective tax rate</t>
  </si>
  <si>
    <t>Profit for year incl. NCI</t>
  </si>
  <si>
    <t>Non-controlling interests</t>
  </si>
  <si>
    <t>Net income attributable to TCS</t>
  </si>
  <si>
    <t>Net margin attributable to TCS</t>
  </si>
  <si>
    <t>EPS (US$)</t>
  </si>
  <si>
    <t>Total D&amp;A</t>
  </si>
  <si>
    <t>Annual Balance Sheet</t>
  </si>
  <si>
    <t>Detailed consolidated IFRS balance sheet | USD million</t>
  </si>
  <si>
    <t>Cash &amp; cash equivalents</t>
  </si>
  <si>
    <t>Bank deposits — current</t>
  </si>
  <si>
    <t>Trade receivables — current</t>
  </si>
  <si>
    <t>Investments — current</t>
  </si>
  <si>
    <t>Other current financial assets</t>
  </si>
  <si>
    <t>Unbilled receivables — current</t>
  </si>
  <si>
    <t>Current income tax assets</t>
  </si>
  <si>
    <t>Bank deposits — non-current</t>
  </si>
  <si>
    <t>Investments — non-current</t>
  </si>
  <si>
    <t>Trade receivables — non-current</t>
  </si>
  <si>
    <t>Unbilled receivables — non-current</t>
  </si>
  <si>
    <t>Other non-current financial assets</t>
  </si>
  <si>
    <t>Non-current income tax assets</t>
  </si>
  <si>
    <t>Deferred tax assets</t>
  </si>
  <si>
    <t>Property, plant &amp; equipment</t>
  </si>
  <si>
    <t>Intangible assets</t>
  </si>
  <si>
    <t>Right-of-use assets</t>
  </si>
  <si>
    <t>Goodwill</t>
  </si>
  <si>
    <t>Other non-current assets</t>
  </si>
  <si>
    <t>Total non-current assets</t>
  </si>
  <si>
    <t>Trade payables</t>
  </si>
  <si>
    <t>Borrowings — current</t>
  </si>
  <si>
    <t>Redeemable preference shares</t>
  </si>
  <si>
    <t>Lease liabilities — current</t>
  </si>
  <si>
    <t>Other current financial liabilities</t>
  </si>
  <si>
    <t>Unearned &amp; deferred revenue — current</t>
  </si>
  <si>
    <t>Employee benefit obligations — current</t>
  </si>
  <si>
    <t>Provisions — current</t>
  </si>
  <si>
    <t>Current income tax liabilities</t>
  </si>
  <si>
    <t>Other current liabilities</t>
  </si>
  <si>
    <t>Total current liabilities</t>
  </si>
  <si>
    <t>Borrowings — non-current</t>
  </si>
  <si>
    <t>Convertible preference shares</t>
  </si>
  <si>
    <t>Lease liabilities — non-current</t>
  </si>
  <si>
    <t>Other non-current financial liabilities</t>
  </si>
  <si>
    <t>Unearned &amp; deferred revenue — non-current</t>
  </si>
  <si>
    <t>Employee benefit obligations — non-current</t>
  </si>
  <si>
    <t>Provisions — non-current</t>
  </si>
  <si>
    <t>Deferred tax liabilities</t>
  </si>
  <si>
    <t>Other non-current liabilities</t>
  </si>
  <si>
    <t>Total non-current liabilities</t>
  </si>
  <si>
    <t>Share premium</t>
  </si>
  <si>
    <t>Retained earnings</t>
  </si>
  <si>
    <t>Accumulated OCI / (loss)</t>
  </si>
  <si>
    <t>Equity attributable to TCS</t>
  </si>
  <si>
    <t>Non-controlling interests — equity</t>
  </si>
  <si>
    <t>Balance sheet check</t>
  </si>
  <si>
    <t>Annual Cash Flow Statement</t>
  </si>
  <si>
    <t>Annual Cash Flow</t>
  </si>
  <si>
    <t>Audited indirect-method cash flow | USD million | profit incl. NCI; FX only in cash bridge</t>
  </si>
  <si>
    <t>Profit for the year (including NCI)</t>
  </si>
  <si>
    <t>Depreciation &amp; amortization</t>
  </si>
  <si>
    <t>Other non-cash / reclassification adjustments</t>
  </si>
  <si>
    <t>Operating profit before working-capital changes</t>
  </si>
  <si>
    <t>Working-capital changes</t>
  </si>
  <si>
    <t>Cash generated from operations</t>
  </si>
  <si>
    <t>Taxes paid, net</t>
  </si>
  <si>
    <t>Net cash from operating activities (CFO)</t>
  </si>
  <si>
    <t>Capital expenditure incl. ROU advances and intangibles</t>
  </si>
  <si>
    <t>Other investing activities, net</t>
  </si>
  <si>
    <t>Net cash from investing activities (CFI)</t>
  </si>
  <si>
    <t>Net cash from financing activities (CFF)</t>
  </si>
  <si>
    <t>FX effect on cash</t>
  </si>
  <si>
    <t>Opening cash &amp; cash equivalents</t>
  </si>
  <si>
    <t>Closing cash &amp; cash equivalents</t>
  </si>
  <si>
    <t>Cash roll-forward check</t>
  </si>
  <si>
    <t>Accounting logic: profit including NCI + D&amp;A + other non-cash items + working-capital movements − cash taxes = CFO; CFI and CFF are separate; FX reconciles opening to closing cash.</t>
  </si>
  <si>
    <t>Segment Revenue — Active Geography and Industry Classifications</t>
  </si>
  <si>
    <t>Geography mix</t>
  </si>
  <si>
    <t>Americas</t>
  </si>
  <si>
    <t>North America</t>
  </si>
  <si>
    <t>Latin America</t>
  </si>
  <si>
    <t>Europe</t>
  </si>
  <si>
    <t>United Kingdom</t>
  </si>
  <si>
    <t>Continental Europe</t>
  </si>
  <si>
    <t>India</t>
  </si>
  <si>
    <t>Asia Pacific</t>
  </si>
  <si>
    <t>Middle East &amp; Africa</t>
  </si>
  <si>
    <t>Geography total</t>
  </si>
  <si>
    <t>Industry mix</t>
  </si>
  <si>
    <t>BFSI</t>
  </si>
  <si>
    <t>Consumer Business</t>
  </si>
  <si>
    <t>Life Sciences &amp; Healthcare</t>
  </si>
  <si>
    <t>Technology &amp; Services</t>
  </si>
  <si>
    <t>Manufacturing</t>
  </si>
  <si>
    <t>Communication &amp; Media</t>
  </si>
  <si>
    <t>Energy, Resources &amp; Utilities</t>
  </si>
  <si>
    <t>Regional Markets &amp; Others</t>
  </si>
  <si>
    <t>Industry total</t>
  </si>
  <si>
    <t>Constant-currency growth — geography</t>
  </si>
  <si>
    <t>North America CC growth</t>
  </si>
  <si>
    <t>Latin America CC growth</t>
  </si>
  <si>
    <t>United Kingdom CC growth</t>
  </si>
  <si>
    <t>Continental Europe CC growth</t>
  </si>
  <si>
    <t>India CC growth</t>
  </si>
  <si>
    <t>Asia Pacific CC growth</t>
  </si>
  <si>
    <t>Middle East &amp; Africa CC growth</t>
  </si>
  <si>
    <t>Total CC growth</t>
  </si>
  <si>
    <t>Constant-currency growth — industry</t>
  </si>
  <si>
    <t>BFSI CC growth</t>
  </si>
  <si>
    <t>Consumer Business CC growth</t>
  </si>
  <si>
    <t>Life Sciences &amp; Healthcare CC growth</t>
  </si>
  <si>
    <t>Technology &amp; Services CC growth</t>
  </si>
  <si>
    <t>Manufacturing CC growth</t>
  </si>
  <si>
    <t>Communication &amp; Media CC growth</t>
  </si>
  <si>
    <t>Energy, Resources &amp; Utilities CC growth</t>
  </si>
  <si>
    <t>Regional Markets &amp; Others CC growth</t>
  </si>
  <si>
    <t>Total industry CC growth</t>
  </si>
  <si>
    <t>Client Data &amp; Active Operating Metrics</t>
  </si>
  <si>
    <t>Client concentration</t>
  </si>
  <si>
    <t>Workforce</t>
  </si>
  <si>
    <t>Number of nationalities</t>
  </si>
  <si>
    <t>Revenue currency mix</t>
  </si>
  <si>
    <t>USD mix</t>
  </si>
  <si>
    <t>GBP mix</t>
  </si>
  <si>
    <t>EUR mix</t>
  </si>
  <si>
    <t>Other currencies mix</t>
  </si>
  <si>
    <t>Currency mix total</t>
  </si>
  <si>
    <t>Realized exchange rates</t>
  </si>
  <si>
    <t>USD / INR</t>
  </si>
  <si>
    <t>GBP / INR</t>
  </si>
  <si>
    <t>EUR / INR</t>
  </si>
  <si>
    <t>Reported growth</t>
  </si>
  <si>
    <t>North America YoY growth</t>
  </si>
  <si>
    <t>Latin America YoY growth</t>
  </si>
  <si>
    <t>United Kingdom YoY growth</t>
  </si>
  <si>
    <t>Continental Europe YoY growth</t>
  </si>
  <si>
    <t>India YoY growth</t>
  </si>
  <si>
    <t>Asia Pacific YoY growth</t>
  </si>
  <si>
    <t>Middle East &amp; Africa YoY growth</t>
  </si>
  <si>
    <t>Total YoY growth</t>
  </si>
  <si>
    <t>TCS Market Data &amp; Valuation Inputs</t>
  </si>
  <si>
    <t>Price date</t>
  </si>
  <si>
    <t>Share price (INR)</t>
  </si>
  <si>
    <t>Price source</t>
  </si>
  <si>
    <t>Declared DPS (INR)</t>
  </si>
  <si>
    <t>FY26 close held constant — user assumption</t>
  </si>
  <si>
    <t>Reference price (FY26 close / editable)</t>
  </si>
  <si>
    <t>Model Checks</t>
  </si>
  <si>
    <t>Check</t>
  </si>
  <si>
    <t>Actual</t>
  </si>
  <si>
    <t>Expected</t>
  </si>
  <si>
    <t>Difference</t>
  </si>
  <si>
    <t>Tolerance</t>
  </si>
  <si>
    <t>Status</t>
  </si>
  <si>
    <t>FY26 revenue tie</t>
  </si>
  <si>
    <t>Balance sheet check — FY26</t>
  </si>
  <si>
    <t>Cash roll-forward — FY26</t>
  </si>
  <si>
    <t>Q1 FY27 revenue tie</t>
  </si>
  <si>
    <t>Active operating source metrics</t>
  </si>
  <si>
    <t>Discontinued rows in user-facing tabs</t>
  </si>
  <si>
    <t>Assumption / revenue-driver blank check</t>
  </si>
  <si>
    <t>Billable + AI revenue bridge — FY27E</t>
  </si>
  <si>
    <t>MODEL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</si>
</sst>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%;[Red]\(0.0%\);\-"/>
    <numFmt numFmtId="165" formatCode="#,##0;[Red]\(#,##0\);\-"/>
    <numFmt numFmtId="166" formatCode="#,##0.0;[Red]\(#,##0.0\);\-"/>
    <numFmt numFmtId="167" formatCode="0.00;[Red]\(0.00\);\-"/>
    <numFmt numFmtId="168" formatCode="#,##0.00;[Red]\(#,##0.00\);\-"/>
    <numFmt numFmtId="169" formatCode="0.0\x;[Red]\(0.0\x\);\-"/>
    <numFmt numFmtId="170" formatCode="yyyy\-mm\-dd"/>
    <numFmt numFmtId="171" formatCode="0.0%"/>
    <numFmt numFmtId="172" formatCode="_-* #,##0.000000_-;\-* #,##0.000000_-;_-* &quot;-&quot;??_-;_-@_-"/>
    <numFmt numFmtId="173" formatCode="\$#,##0;[Red]\(\$#,##0\);\-"/>
    <numFmt numFmtId="174" formatCode="#,##0.0"/>
  </numFmts>
  <fonts count="15">
    <font>
      <sz val="11"/>
      <name val="Carlito"/>
    </font>
    <font>
      <b/>
      <sz val="11"/>
      <name val="Carlito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0000FF"/>
      <name val="Arial"/>
      <family val="2"/>
    </font>
    <font>
      <i/>
      <sz val="9"/>
      <color rgb="FF666666"/>
      <name val="Arial"/>
      <family val="2"/>
    </font>
    <font>
      <b/>
      <sz val="9"/>
      <color rgb="FF008000"/>
      <name val="Arial"/>
      <family val="2"/>
    </font>
    <font>
      <b/>
      <sz val="9"/>
      <color rgb="FF16365C"/>
      <name val="Arial"/>
      <family val="2"/>
    </font>
    <font>
      <b/>
      <sz val="9"/>
      <color rgb="FF0000FF"/>
      <name val="Arial"/>
      <family val="2"/>
    </font>
    <font>
      <sz val="9"/>
      <color rgb="FF000000"/>
      <name val="Arial"/>
      <family val="2"/>
    </font>
    <font>
      <sz val="9"/>
      <color rgb="FF008000"/>
      <name val="Arial"/>
      <family val="2"/>
    </font>
    <font>
      <sz val="11"/>
      <name val="Carlito"/>
    </font>
    <font>
      <i/>
      <sz val="9"/>
      <name val="Arial"/>
      <family val="2"/>
    </font>
    <font>
      <i/>
      <sz val="9"/>
      <color rgb="FF0000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F2F7FC"/>
      </patternFill>
    </fill>
    <fill>
      <patternFill patternType="solid">
        <fgColor rgb="FFE2F0D9"/>
      </patternFill>
    </fill>
    <fill>
      <patternFill patternType="solid">
        <fgColor rgb="FF16365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B7B7B7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21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right"/>
    </xf>
    <xf numFmtId="165" fontId="3" fillId="0" borderId="0" xfId="0" applyNumberFormat="1" applyFont="1"/>
    <xf numFmtId="165" fontId="5" fillId="4" borderId="0" xfId="0" applyNumberFormat="1" applyFont="1" applyFill="1"/>
    <xf numFmtId="0" fontId="1" fillId="0" borderId="0" xfId="0" applyFont="1"/>
    <xf numFmtId="164" fontId="5" fillId="4" borderId="0" xfId="0" applyNumberFormat="1" applyFont="1" applyFill="1"/>
    <xf numFmtId="164" fontId="3" fillId="0" borderId="0" xfId="0" applyNumberFormat="1" applyFont="1"/>
    <xf numFmtId="167" fontId="3" fillId="0" borderId="0" xfId="0" applyNumberFormat="1" applyFont="1"/>
    <xf numFmtId="0" fontId="3" fillId="0" borderId="3" xfId="0" applyFont="1" applyBorder="1"/>
    <xf numFmtId="0" fontId="4" fillId="0" borderId="3" xfId="0" applyFont="1" applyBorder="1"/>
    <xf numFmtId="0" fontId="2" fillId="7" borderId="0" xfId="0" applyFont="1" applyFill="1" applyAlignment="1">
      <alignment horizontal="center"/>
    </xf>
    <xf numFmtId="170" fontId="3" fillId="0" borderId="0" xfId="0" applyNumberFormat="1" applyFont="1"/>
    <xf numFmtId="168" fontId="3" fillId="0" borderId="0" xfId="0" applyNumberFormat="1" applyFont="1"/>
    <xf numFmtId="168" fontId="7" fillId="6" borderId="0" xfId="0" applyNumberFormat="1" applyFont="1" applyFill="1"/>
    <xf numFmtId="169" fontId="3" fillId="0" borderId="0" xfId="0" applyNumberFormat="1" applyFont="1"/>
    <xf numFmtId="0" fontId="3" fillId="0" borderId="0" xfId="0" applyFont="1" applyAlignment="1">
      <alignment wrapText="1"/>
    </xf>
    <xf numFmtId="0" fontId="4" fillId="0" borderId="0" xfId="0" applyFont="1"/>
    <xf numFmtId="165" fontId="3" fillId="6" borderId="0" xfId="0" applyNumberFormat="1" applyFont="1" applyFill="1"/>
    <xf numFmtId="164" fontId="3" fillId="6" borderId="0" xfId="0" applyNumberFormat="1" applyFont="1" applyFill="1"/>
    <xf numFmtId="165" fontId="4" fillId="0" borderId="0" xfId="0" applyNumberFormat="1" applyFont="1"/>
    <xf numFmtId="165" fontId="4" fillId="6" borderId="0" xfId="0" applyNumberFormat="1" applyFont="1" applyFill="1"/>
    <xf numFmtId="164" fontId="4" fillId="0" borderId="0" xfId="0" applyNumberFormat="1" applyFont="1"/>
    <xf numFmtId="164" fontId="4" fillId="6" borderId="0" xfId="0" applyNumberFormat="1" applyFont="1" applyFill="1"/>
    <xf numFmtId="167" fontId="4" fillId="0" borderId="0" xfId="0" applyNumberFormat="1" applyFont="1"/>
    <xf numFmtId="166" fontId="3" fillId="0" borderId="0" xfId="0" applyNumberFormat="1" applyFont="1"/>
    <xf numFmtId="169" fontId="3" fillId="6" borderId="0" xfId="0" applyNumberFormat="1" applyFont="1" applyFill="1"/>
    <xf numFmtId="167" fontId="3" fillId="6" borderId="0" xfId="0" applyNumberFormat="1" applyFont="1" applyFill="1"/>
    <xf numFmtId="165" fontId="9" fillId="8" borderId="0" xfId="0" applyNumberFormat="1" applyFont="1" applyFill="1"/>
    <xf numFmtId="168" fontId="3" fillId="6" borderId="0" xfId="0" applyNumberFormat="1" applyFont="1" applyFill="1"/>
    <xf numFmtId="164" fontId="3" fillId="0" borderId="3" xfId="0" applyNumberFormat="1" applyFont="1" applyBorder="1"/>
    <xf numFmtId="164" fontId="3" fillId="6" borderId="3" xfId="0" applyNumberFormat="1" applyFont="1" applyFill="1" applyBorder="1"/>
    <xf numFmtId="0" fontId="10" fillId="9" borderId="0" xfId="0" applyFont="1" applyFill="1"/>
    <xf numFmtId="165" fontId="10" fillId="9" borderId="0" xfId="0" applyNumberFormat="1" applyFont="1" applyFill="1"/>
    <xf numFmtId="0" fontId="2" fillId="2" borderId="0" xfId="0" applyFont="1" applyFill="1" applyAlignment="1">
      <alignment horizontal="center"/>
    </xf>
    <xf numFmtId="165" fontId="11" fillId="0" borderId="0" xfId="0" applyNumberFormat="1" applyFont="1"/>
    <xf numFmtId="164" fontId="11" fillId="0" borderId="0" xfId="0" applyNumberFormat="1" applyFont="1"/>
    <xf numFmtId="0" fontId="4" fillId="0" borderId="2" xfId="0" applyFont="1" applyBorder="1"/>
    <xf numFmtId="164" fontId="11" fillId="6" borderId="0" xfId="0" applyNumberFormat="1" applyFont="1" applyFill="1"/>
    <xf numFmtId="9" fontId="0" fillId="0" borderId="0" xfId="2" applyFont="1"/>
    <xf numFmtId="171" fontId="0" fillId="0" borderId="0" xfId="2" applyNumberFormat="1" applyFont="1"/>
    <xf numFmtId="0" fontId="2" fillId="10" borderId="0" xfId="0" applyFont="1" applyFill="1"/>
    <xf numFmtId="0" fontId="2" fillId="10" borderId="0" xfId="0" applyFont="1" applyFill="1" applyAlignment="1">
      <alignment horizontal="center"/>
    </xf>
    <xf numFmtId="173" fontId="3" fillId="0" borderId="0" xfId="0" applyNumberFormat="1" applyFont="1"/>
    <xf numFmtId="173" fontId="3" fillId="6" borderId="0" xfId="0" applyNumberFormat="1" applyFont="1" applyFill="1"/>
    <xf numFmtId="173" fontId="4" fillId="0" borderId="0" xfId="0" applyNumberFormat="1" applyFont="1"/>
    <xf numFmtId="165" fontId="2" fillId="10" borderId="0" xfId="0" applyNumberFormat="1" applyFont="1" applyFill="1" applyAlignment="1">
      <alignment horizontal="center"/>
    </xf>
    <xf numFmtId="173" fontId="3" fillId="11" borderId="0" xfId="0" applyNumberFormat="1" applyFont="1" applyFill="1"/>
    <xf numFmtId="164" fontId="3" fillId="11" borderId="0" xfId="0" applyNumberFormat="1" applyFont="1" applyFill="1"/>
    <xf numFmtId="173" fontId="4" fillId="11" borderId="0" xfId="0" applyNumberFormat="1" applyFont="1" applyFill="1"/>
    <xf numFmtId="164" fontId="4" fillId="11" borderId="0" xfId="0" applyNumberFormat="1" applyFont="1" applyFill="1"/>
    <xf numFmtId="167" fontId="4" fillId="11" borderId="0" xfId="0" applyNumberFormat="1" applyFont="1" applyFill="1"/>
    <xf numFmtId="166" fontId="3" fillId="11" borderId="0" xfId="0" applyNumberFormat="1" applyFont="1" applyFill="1"/>
    <xf numFmtId="165" fontId="3" fillId="11" borderId="0" xfId="0" applyNumberFormat="1" applyFont="1" applyFill="1"/>
    <xf numFmtId="165" fontId="2" fillId="11" borderId="0" xfId="0" applyNumberFormat="1" applyFont="1" applyFill="1" applyAlignment="1">
      <alignment horizontal="center"/>
    </xf>
    <xf numFmtId="165" fontId="4" fillId="11" borderId="0" xfId="0" applyNumberFormat="1" applyFont="1" applyFill="1"/>
    <xf numFmtId="0" fontId="4" fillId="12" borderId="1" xfId="0" applyFont="1" applyFill="1" applyBorder="1" applyAlignment="1">
      <alignment horizontal="right"/>
    </xf>
    <xf numFmtId="164" fontId="5" fillId="13" borderId="0" xfId="0" applyNumberFormat="1" applyFont="1" applyFill="1"/>
    <xf numFmtId="165" fontId="5" fillId="13" borderId="0" xfId="0" applyNumberFormat="1" applyFont="1" applyFill="1"/>
    <xf numFmtId="173" fontId="4" fillId="0" borderId="3" xfId="0" applyNumberFormat="1" applyFont="1" applyBorder="1"/>
    <xf numFmtId="173" fontId="4" fillId="11" borderId="3" xfId="0" applyNumberFormat="1" applyFont="1" applyFill="1" applyBorder="1"/>
    <xf numFmtId="173" fontId="4" fillId="0" borderId="2" xfId="0" applyNumberFormat="1" applyFont="1" applyBorder="1"/>
    <xf numFmtId="173" fontId="4" fillId="3" borderId="1" xfId="0" applyNumberFormat="1" applyFont="1" applyFill="1" applyBorder="1" applyAlignment="1">
      <alignment horizontal="right"/>
    </xf>
    <xf numFmtId="165" fontId="2" fillId="10" borderId="0" xfId="0" applyNumberFormat="1" applyFont="1" applyFill="1"/>
    <xf numFmtId="0" fontId="4" fillId="12" borderId="0" xfId="0" applyFont="1" applyFill="1"/>
    <xf numFmtId="0" fontId="4" fillId="12" borderId="0" xfId="0" applyFont="1" applyFill="1" applyAlignment="1">
      <alignment horizontal="right"/>
    </xf>
    <xf numFmtId="165" fontId="4" fillId="12" borderId="0" xfId="0" applyNumberFormat="1" applyFont="1" applyFill="1" applyAlignment="1">
      <alignment horizontal="right"/>
    </xf>
    <xf numFmtId="173" fontId="4" fillId="11" borderId="2" xfId="0" applyNumberFormat="1" applyFont="1" applyFill="1" applyBorder="1"/>
    <xf numFmtId="173" fontId="4" fillId="11" borderId="1" xfId="0" applyNumberFormat="1" applyFont="1" applyFill="1" applyBorder="1" applyAlignment="1">
      <alignment horizontal="right"/>
    </xf>
    <xf numFmtId="165" fontId="4" fillId="11" borderId="0" xfId="0" applyNumberFormat="1" applyFont="1" applyFill="1" applyAlignment="1">
      <alignment horizontal="right"/>
    </xf>
    <xf numFmtId="3" fontId="3" fillId="0" borderId="0" xfId="0" applyNumberFormat="1" applyFont="1"/>
    <xf numFmtId="3" fontId="5" fillId="4" borderId="0" xfId="0" applyNumberFormat="1" applyFont="1" applyFill="1"/>
    <xf numFmtId="3" fontId="5" fillId="13" borderId="0" xfId="0" applyNumberFormat="1" applyFont="1" applyFill="1"/>
    <xf numFmtId="3" fontId="3" fillId="11" borderId="0" xfId="0" applyNumberFormat="1" applyFont="1" applyFill="1"/>
    <xf numFmtId="174" fontId="3" fillId="0" borderId="0" xfId="0" applyNumberFormat="1" applyFont="1"/>
    <xf numFmtId="174" fontId="3" fillId="11" borderId="0" xfId="0" applyNumberFormat="1" applyFont="1" applyFill="1"/>
    <xf numFmtId="164" fontId="4" fillId="12" borderId="0" xfId="0" applyNumberFormat="1" applyFont="1" applyFill="1"/>
    <xf numFmtId="9" fontId="4" fillId="12" borderId="0" xfId="0" applyNumberFormat="1" applyFont="1" applyFill="1"/>
    <xf numFmtId="2" fontId="3" fillId="0" borderId="0" xfId="0" applyNumberFormat="1" applyFont="1"/>
    <xf numFmtId="2" fontId="3" fillId="11" borderId="0" xfId="0" applyNumberFormat="1" applyFont="1" applyFill="1"/>
    <xf numFmtId="164" fontId="3" fillId="11" borderId="3" xfId="0" applyNumberFormat="1" applyFont="1" applyFill="1" applyBorder="1"/>
    <xf numFmtId="43" fontId="3" fillId="6" borderId="0" xfId="0" applyNumberFormat="1" applyFont="1" applyFill="1"/>
    <xf numFmtId="43" fontId="3" fillId="0" borderId="0" xfId="0" applyNumberFormat="1" applyFont="1"/>
    <xf numFmtId="172" fontId="3" fillId="0" borderId="0" xfId="0" applyNumberFormat="1" applyFont="1"/>
    <xf numFmtId="9" fontId="5" fillId="4" borderId="0" xfId="0" applyNumberFormat="1" applyFont="1" applyFill="1"/>
    <xf numFmtId="165" fontId="11" fillId="5" borderId="0" xfId="0" applyNumberFormat="1" applyFont="1" applyFill="1"/>
    <xf numFmtId="164" fontId="11" fillId="5" borderId="0" xfId="0" applyNumberFormat="1" applyFont="1" applyFill="1"/>
    <xf numFmtId="0" fontId="3" fillId="11" borderId="0" xfId="0" applyFont="1" applyFill="1"/>
    <xf numFmtId="9" fontId="3" fillId="0" borderId="0" xfId="0" applyNumberFormat="1" applyFont="1"/>
    <xf numFmtId="171" fontId="3" fillId="0" borderId="0" xfId="0" applyNumberFormat="1" applyFont="1"/>
    <xf numFmtId="166" fontId="4" fillId="0" borderId="0" xfId="0" applyNumberFormat="1" applyFont="1"/>
    <xf numFmtId="166" fontId="4" fillId="11" borderId="0" xfId="0" applyNumberFormat="1" applyFont="1" applyFill="1"/>
    <xf numFmtId="166" fontId="4" fillId="12" borderId="0" xfId="0" applyNumberFormat="1" applyFont="1" applyFill="1" applyAlignment="1">
      <alignment horizontal="right"/>
    </xf>
    <xf numFmtId="166" fontId="4" fillId="11" borderId="0" xfId="0" applyNumberFormat="1" applyFont="1" applyFill="1" applyAlignment="1">
      <alignment horizontal="right"/>
    </xf>
    <xf numFmtId="0" fontId="2" fillId="10" borderId="0" xfId="0" applyFont="1" applyFill="1"/>
    <xf numFmtId="0" fontId="6" fillId="0" borderId="0" xfId="0" applyFont="1"/>
    <xf numFmtId="0" fontId="8" fillId="4" borderId="0" xfId="0" applyFont="1" applyFill="1"/>
    <xf numFmtId="164" fontId="8" fillId="4" borderId="0" xfId="0" applyNumberFormat="1" applyFont="1" applyFill="1"/>
    <xf numFmtId="164" fontId="8" fillId="11" borderId="0" xfId="0" applyNumberFormat="1" applyFont="1" applyFill="1"/>
    <xf numFmtId="165" fontId="8" fillId="4" borderId="0" xfId="0" applyNumberFormat="1" applyFont="1" applyFill="1"/>
    <xf numFmtId="173" fontId="8" fillId="4" borderId="0" xfId="0" applyNumberFormat="1" applyFont="1" applyFill="1"/>
    <xf numFmtId="173" fontId="8" fillId="11" borderId="0" xfId="0" applyNumberFormat="1" applyFont="1" applyFill="1"/>
    <xf numFmtId="165" fontId="6" fillId="0" borderId="0" xfId="0" applyNumberFormat="1" applyFont="1" applyAlignment="1">
      <alignment wrapText="1"/>
    </xf>
    <xf numFmtId="165" fontId="6" fillId="6" borderId="0" xfId="0" applyNumberFormat="1" applyFont="1" applyFill="1" applyAlignment="1">
      <alignment wrapText="1"/>
    </xf>
    <xf numFmtId="0" fontId="6" fillId="0" borderId="0" xfId="0" applyFont="1" applyAlignment="1">
      <alignment wrapText="1"/>
    </xf>
    <xf numFmtId="0" fontId="13" fillId="14" borderId="0" xfId="0" applyFont="1" applyFill="1" applyAlignment="1">
      <alignment wrapText="1"/>
    </xf>
    <xf numFmtId="165" fontId="13" fillId="14" borderId="0" xfId="0" applyNumberFormat="1" applyFont="1" applyFill="1" applyAlignment="1">
      <alignment wrapText="1"/>
    </xf>
    <xf numFmtId="165" fontId="14" fillId="14" borderId="0" xfId="0" applyNumberFormat="1" applyFont="1" applyFill="1" applyAlignment="1">
      <alignment wrapText="1"/>
    </xf>
    <xf numFmtId="164" fontId="14" fillId="14" borderId="0" xfId="0" applyNumberFormat="1" applyFont="1" applyFill="1" applyAlignment="1">
      <alignment wrapText="1"/>
    </xf>
    <xf numFmtId="173" fontId="13" fillId="14" borderId="0" xfId="0" applyNumberFormat="1" applyFont="1" applyFill="1" applyAlignment="1">
      <alignment wrapText="1"/>
    </xf>
    <xf numFmtId="173" fontId="13" fillId="11" borderId="0" xfId="0" applyNumberFormat="1" applyFont="1" applyFill="1" applyAlignment="1">
      <alignment wrapText="1"/>
    </xf>
    <xf numFmtId="0" fontId="2" fillId="2" borderId="0" xfId="0" applyFont="1" applyFill="1"/>
    <xf numFmtId="173" fontId="2" fillId="2" borderId="0" xfId="0" applyNumberFormat="1" applyFont="1" applyFill="1"/>
    <xf numFmtId="173" fontId="2" fillId="5" borderId="0" xfId="0" applyNumberFormat="1" applyFont="1" applyFill="1"/>
    <xf numFmtId="173" fontId="2" fillId="11" borderId="0" xfId="0" applyNumberFormat="1" applyFont="1" applyFill="1"/>
    <xf numFmtId="165" fontId="2" fillId="10" borderId="0" xfId="0" applyNumberFormat="1" applyFont="1" applyFill="1"/>
    <xf numFmtId="165" fontId="2" fillId="11" borderId="0" xfId="0" applyNumberFormat="1" applyFont="1" applyFill="1"/>
    <xf numFmtId="0" fontId="2" fillId="10" borderId="4" xfId="0" applyFont="1" applyFill="1" applyBorder="1"/>
    <xf numFmtId="166" fontId="2" fillId="10" borderId="4" xfId="0" applyNumberFormat="1" applyFont="1" applyFill="1" applyBorder="1"/>
    <xf numFmtId="166" fontId="2" fillId="11" borderId="4" xfId="0" applyNumberFormat="1" applyFont="1" applyFill="1" applyBorder="1"/>
  </cellXfs>
  <cellStyles count="3">
    <cellStyle name="Comma" xfId="1" xr:uid="{00000000-0005-0000-0000-000000000000}"/>
    <cellStyle name="Normal" xfId="0" builtinId="0"/>
    <cellStyle name="Per cent" xfId="2" xr:uid="{00000000-0005-0000-0000-000002000000}"/>
  </cellStyles>
  <dxfs count="2"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152400</xdr:colOff>
      <xdr:row>43</xdr:row>
      <xdr:rowOff>7620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Grp="1"/>
        </xdr:cNvSpPr>
      </xdr:nvSpPr>
      <xdr:spPr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1981200</xdr:colOff>
      <xdr:row>42</xdr:row>
      <xdr:rowOff>129540</xdr:rowOff>
    </xdr:to>
    <xdr:sp macro="" textlink="">
      <xdr:nvSpPr>
        <xdr:cNvPr id="3084" name="Text Box 12" hidden="1">
          <a:extLst>
            <a:ext uri="{FF2B5EF4-FFF2-40B4-BE49-F238E27FC236}">
              <a16:creationId xmlns:a16="http://schemas.microsoft.com/office/drawing/2014/main" id="{53F00BF3-DFDA-6D38-351A-17117F8084E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BD7B19C9-40F8-46D5-BF64-33884B7CA748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6-08-23T18:50:06.21" personId="{BD7B19C9-40F8-46D5-BF64-33884B7CA748}" id="{75DB6294-BA97-47DC-9D7F-F4BEBA526C8B}">
    <text>Source: https://finance.yahoo.com/quote/INFY.NS/history/
Fiscal year-end closing price on 2016-03-31.</text>
  </threadedComment>
  <threadedComment ref="C6" dT="2026-08-23T18:50:06.21" personId="{BD7B19C9-40F8-46D5-BF64-33884B7CA748}" id="{22B68B2C-1601-4E20-A01E-62618EA65663}">
    <text>Source: https://finance.yahoo.com/quote/INFY.NS/history/
Fiscal year-end closing price on 2017-03-31.</text>
  </threadedComment>
  <threadedComment ref="C7" dT="2026-08-23T18:50:06.21" personId="{BD7B19C9-40F8-46D5-BF64-33884B7CA748}" id="{A6303601-27CC-4A07-B996-DAF993163D48}">
    <text>Source: https://finance.yahoo.com/quote/INFY.NS/history/
Fiscal year-end closing price on 2018-03-28.</text>
  </threadedComment>
  <threadedComment ref="C8" dT="2026-08-23T18:48:24.66" personId="{BD7B19C9-40F8-46D5-BF64-33884B7CA748}" id="{5DB38757-3BB3-4B87-8311-7EF76F617C45}">
    <text>Source: https://finance.yahoo.com/quote/INFY.NS/history/
Fiscal year-end closing price on 2019-03-28.</text>
  </threadedComment>
  <threadedComment ref="C9" dT="2026-08-23T18:48:24.66" personId="{BD7B19C9-40F8-46D5-BF64-33884B7CA748}" id="{528A2C26-7B95-4A0D-B701-68ED8CB2EB32}">
    <text>Source: https://finance.yahoo.com/quote/INFY.NS/history/
Fiscal year-end closing price on 2020-03-31.</text>
  </threadedComment>
  <threadedComment ref="C10" dT="2026-08-23T18:48:24.66" personId="{BD7B19C9-40F8-46D5-BF64-33884B7CA748}" id="{F71E4DFB-0472-421C-BD85-E5931167EA99}">
    <text>Source: https://finance.yahoo.com/quote/INFY.NS/history/
Fiscal year-end closing price on 2021-03-31.</text>
  </threadedComment>
  <threadedComment ref="C11" dT="2026-08-23T18:50:06.21" personId="{BD7B19C9-40F8-46D5-BF64-33884B7CA748}" id="{D4C4DFC3-ED4A-48EF-AC35-AB533667E771}">
    <text>Source: https://finance.yahoo.com/quote/INFY.NS/history/
Fiscal year-end closing price on 2022-03-31.</text>
  </threadedComment>
  <threadedComment ref="C12" dT="2026-08-23T18:50:06.21" personId="{BD7B19C9-40F8-46D5-BF64-33884B7CA748}" id="{F8218DB4-1760-45F9-B14D-B896D894E281}">
    <text>Source: https://finance.yahoo.com/quote/INFY.NS/history/
Fiscal year-end closing price on 2023-03-31.</text>
  </threadedComment>
  <threadedComment ref="C13" dT="2026-08-23T18:50:06.21" personId="{BD7B19C9-40F8-46D5-BF64-33884B7CA748}" id="{095F0AC4-E127-4EC9-93DD-C3C39E074544}">
    <text>Source: https://finance.yahoo.com/quote/INFY.NS/history/
Fiscal year-end closing price on 2024-03-28.</text>
  </threadedComment>
  <threadedComment ref="C14" dT="2026-08-23T18:50:06.21" personId="{BD7B19C9-40F8-46D5-BF64-33884B7CA748}" id="{285C0748-6AC4-4F1C-BEBD-270B35615B1D}">
    <text>Source: https://finance.yahoo.com/quote/INFY.NS/history/
Fiscal year-end closing price on 2025-03-28.</text>
  </threadedComment>
  <threadedComment ref="C15" dT="2026-08-23T18:50:06.21" personId="{BD7B19C9-40F8-46D5-BF64-33884B7CA748}" id="{BD5D1B0A-4B2B-46C5-AF4F-D9127D5EA655}">
    <text>Source: https://finance.yahoo.com/quote/INFY.NS/history/
Fiscal year-end closing price on 2026-03-30.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3"/>
  <sheetViews>
    <sheetView showGridLines="0" tabSelected="1" topLeftCell="N1" workbookViewId="0">
      <selection activeCell="R31" sqref="R31"/>
    </sheetView>
  </sheetViews>
  <sheetFormatPr defaultRowHeight="13.8"/>
  <cols>
    <col min="1" max="1" width="31" customWidth="1"/>
    <col min="2" max="16" width="11" customWidth="1"/>
    <col min="17" max="17" width="3" customWidth="1"/>
    <col min="18" max="18" width="28" customWidth="1"/>
    <col min="19" max="33" width="11" customWidth="1"/>
    <col min="35" max="35" width="17.09765625" customWidth="1"/>
    <col min="36" max="38" width="12.59765625" customWidth="1"/>
  </cols>
  <sheetData>
    <row r="1" spans="1:38" ht="19.95" customHeight="1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2"/>
      <c r="AI1" s="2"/>
      <c r="AJ1" s="2"/>
      <c r="AK1" s="2"/>
      <c r="AL1" s="2"/>
    </row>
    <row r="2" spans="1:38" ht="18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2"/>
      <c r="AI2" s="2"/>
      <c r="AJ2" s="2"/>
      <c r="AK2" s="2"/>
      <c r="AL2" s="2"/>
    </row>
    <row r="3" spans="1:3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>
      <c r="A4" s="43" t="s">
        <v>1</v>
      </c>
      <c r="B4" s="43" t="s">
        <v>2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  <c r="H4" s="43" t="s">
        <v>8</v>
      </c>
      <c r="I4" s="43" t="s">
        <v>9</v>
      </c>
      <c r="J4" s="43" t="s">
        <v>10</v>
      </c>
      <c r="K4" s="43" t="s">
        <v>11</v>
      </c>
      <c r="L4" s="43" t="s">
        <v>12</v>
      </c>
      <c r="M4" s="43" t="s">
        <v>13</v>
      </c>
      <c r="N4" s="43" t="s">
        <v>14</v>
      </c>
      <c r="O4" s="43" t="s">
        <v>15</v>
      </c>
      <c r="P4" s="43" t="s">
        <v>16</v>
      </c>
      <c r="Q4" s="2"/>
      <c r="R4" s="43" t="s">
        <v>17</v>
      </c>
      <c r="S4" s="43" t="s">
        <v>2</v>
      </c>
      <c r="T4" s="43" t="s">
        <v>3</v>
      </c>
      <c r="U4" s="43" t="s">
        <v>4</v>
      </c>
      <c r="V4" s="43" t="s">
        <v>5</v>
      </c>
      <c r="W4" s="43" t="s">
        <v>6</v>
      </c>
      <c r="X4" s="43" t="s">
        <v>7</v>
      </c>
      <c r="Y4" s="43" t="s">
        <v>8</v>
      </c>
      <c r="Z4" s="43" t="s">
        <v>9</v>
      </c>
      <c r="AA4" s="43" t="s">
        <v>10</v>
      </c>
      <c r="AB4" s="43" t="s">
        <v>11</v>
      </c>
      <c r="AC4" s="43" t="s">
        <v>12</v>
      </c>
      <c r="AD4" s="43" t="s">
        <v>13</v>
      </c>
      <c r="AE4" s="43" t="s">
        <v>14</v>
      </c>
      <c r="AF4" s="43" t="s">
        <v>15</v>
      </c>
      <c r="AG4" s="43" t="s">
        <v>16</v>
      </c>
      <c r="AH4" s="2"/>
      <c r="AI4" s="2"/>
      <c r="AJ4" s="2"/>
      <c r="AK4" s="2"/>
      <c r="AL4" s="2"/>
    </row>
    <row r="5" spans="1:38">
      <c r="A5" s="2" t="s">
        <v>18</v>
      </c>
      <c r="B5" s="44">
        <v>16544.900000000001</v>
      </c>
      <c r="C5" s="44">
        <v>17576</v>
      </c>
      <c r="D5" s="44">
        <v>19089</v>
      </c>
      <c r="E5" s="44">
        <v>20913</v>
      </c>
      <c r="F5" s="44">
        <v>22031</v>
      </c>
      <c r="G5" s="44">
        <v>22174</v>
      </c>
      <c r="H5" s="44">
        <v>25707</v>
      </c>
      <c r="I5" s="44">
        <v>27927</v>
      </c>
      <c r="J5" s="44">
        <v>29080</v>
      </c>
      <c r="K5" s="44">
        <v>30179</v>
      </c>
      <c r="L5" s="44">
        <v>30017</v>
      </c>
      <c r="M5" s="48">
        <v>30925.817943040001</v>
      </c>
      <c r="N5" s="48">
        <v>32162.850660761604</v>
      </c>
      <c r="O5" s="48">
        <v>33770.993193799688</v>
      </c>
      <c r="P5" s="48">
        <v>35459.542853489671</v>
      </c>
      <c r="Q5" s="2"/>
      <c r="R5" s="97" t="s">
        <v>19</v>
      </c>
      <c r="S5" s="98">
        <f t="shared" ref="S5:AG5" si="0">B6</f>
        <v>0</v>
      </c>
      <c r="T5" s="98">
        <f t="shared" si="0"/>
        <v>6.2321319560710409E-2</v>
      </c>
      <c r="U5" s="98">
        <f t="shared" si="0"/>
        <v>8.6083295402822113E-2</v>
      </c>
      <c r="V5" s="98">
        <f t="shared" si="0"/>
        <v>9.555241238409562E-2</v>
      </c>
      <c r="W5" s="98">
        <f t="shared" si="0"/>
        <v>5.3459570602017781E-2</v>
      </c>
      <c r="X5" s="98">
        <f t="shared" si="0"/>
        <v>6.4908537969226021E-3</v>
      </c>
      <c r="Y5" s="98">
        <f t="shared" si="0"/>
        <v>0.15933074772255784</v>
      </c>
      <c r="Z5" s="98">
        <f t="shared" si="0"/>
        <v>8.6357801377056731E-2</v>
      </c>
      <c r="AA5" s="98">
        <f t="shared" si="0"/>
        <v>4.1286210477315954E-2</v>
      </c>
      <c r="AB5" s="98">
        <f t="shared" si="0"/>
        <v>3.779229711141685E-2</v>
      </c>
      <c r="AC5" s="98">
        <f t="shared" si="0"/>
        <v>-5.3679711057357249E-3</v>
      </c>
      <c r="AD5" s="98">
        <f t="shared" si="0"/>
        <v>3.0276774595729083E-2</v>
      </c>
      <c r="AE5" s="99">
        <f t="shared" si="0"/>
        <v>4.0000000000000036E-2</v>
      </c>
      <c r="AF5" s="99">
        <f t="shared" si="0"/>
        <v>5.0000000000000044E-2</v>
      </c>
      <c r="AG5" s="99">
        <f t="shared" si="0"/>
        <v>5.0000000000000044E-2</v>
      </c>
      <c r="AH5" s="2"/>
      <c r="AI5" s="2"/>
      <c r="AJ5" s="2"/>
      <c r="AK5" s="2"/>
      <c r="AL5" s="2"/>
    </row>
    <row r="6" spans="1:38">
      <c r="A6" s="2" t="s">
        <v>20</v>
      </c>
      <c r="B6" s="8">
        <v>0</v>
      </c>
      <c r="C6" s="8">
        <f t="shared" ref="C6:P6" si="1">C5/B5-1</f>
        <v>6.2321319560710409E-2</v>
      </c>
      <c r="D6" s="8">
        <f t="shared" si="1"/>
        <v>8.6083295402822113E-2</v>
      </c>
      <c r="E6" s="8">
        <f t="shared" si="1"/>
        <v>9.555241238409562E-2</v>
      </c>
      <c r="F6" s="8">
        <f t="shared" si="1"/>
        <v>5.3459570602017781E-2</v>
      </c>
      <c r="G6" s="8">
        <f t="shared" si="1"/>
        <v>6.4908537969226021E-3</v>
      </c>
      <c r="H6" s="8">
        <f t="shared" si="1"/>
        <v>0.15933074772255784</v>
      </c>
      <c r="I6" s="8">
        <f t="shared" si="1"/>
        <v>8.6357801377056731E-2</v>
      </c>
      <c r="J6" s="8">
        <f t="shared" si="1"/>
        <v>4.1286210477315954E-2</v>
      </c>
      <c r="K6" s="8">
        <f t="shared" si="1"/>
        <v>3.779229711141685E-2</v>
      </c>
      <c r="L6" s="8">
        <f t="shared" si="1"/>
        <v>-5.3679711057357249E-3</v>
      </c>
      <c r="M6" s="49">
        <f t="shared" si="1"/>
        <v>3.0276774595729083E-2</v>
      </c>
      <c r="N6" s="49">
        <f t="shared" si="1"/>
        <v>4.0000000000000036E-2</v>
      </c>
      <c r="O6" s="49">
        <f t="shared" si="1"/>
        <v>5.0000000000000044E-2</v>
      </c>
      <c r="P6" s="49">
        <f t="shared" si="1"/>
        <v>5.0000000000000044E-2</v>
      </c>
      <c r="Q6" s="2"/>
      <c r="R6" s="2" t="s">
        <v>21</v>
      </c>
      <c r="S6" s="8">
        <f>B8</f>
        <v>0.43947077347097896</v>
      </c>
      <c r="T6" s="8">
        <f t="shared" ref="T6:AG6" si="2">C8</f>
        <v>0.43303368229403733</v>
      </c>
      <c r="U6" s="8">
        <f t="shared" si="2"/>
        <v>0.42092304468542091</v>
      </c>
      <c r="V6" s="8">
        <f t="shared" si="2"/>
        <v>0.41854348969540478</v>
      </c>
      <c r="W6" s="8">
        <f t="shared" si="2"/>
        <v>0.41166265716490402</v>
      </c>
      <c r="X6" s="8">
        <f t="shared" si="2"/>
        <v>0.40840624154415078</v>
      </c>
      <c r="Y6" s="8">
        <f t="shared" si="2"/>
        <v>0.40226397479285797</v>
      </c>
      <c r="Z6" s="8">
        <f t="shared" si="2"/>
        <v>0.39542378343538509</v>
      </c>
      <c r="AA6" s="8">
        <f t="shared" si="2"/>
        <v>0.40388583218707014</v>
      </c>
      <c r="AB6" s="8">
        <f t="shared" si="2"/>
        <v>0.38904536266940587</v>
      </c>
      <c r="AC6" s="8">
        <f t="shared" si="2"/>
        <v>0.40067295199387015</v>
      </c>
      <c r="AD6" s="20">
        <f t="shared" si="2"/>
        <v>0.40084683211567795</v>
      </c>
      <c r="AE6" s="49">
        <f t="shared" si="2"/>
        <v>0.40141089275260761</v>
      </c>
      <c r="AF6" s="49">
        <f t="shared" si="2"/>
        <v>0.4017376273270164</v>
      </c>
      <c r="AG6" s="49">
        <f t="shared" si="2"/>
        <v>0.40206302605732669</v>
      </c>
      <c r="AH6" s="2"/>
      <c r="AI6" s="2"/>
      <c r="AJ6" s="2"/>
      <c r="AK6" s="2"/>
      <c r="AL6" s="2"/>
    </row>
    <row r="7" spans="1:38">
      <c r="A7" s="2" t="s">
        <v>22</v>
      </c>
      <c r="B7" s="44">
        <v>7271</v>
      </c>
      <c r="C7" s="44">
        <v>7611</v>
      </c>
      <c r="D7" s="44">
        <v>8035</v>
      </c>
      <c r="E7" s="44">
        <v>8753</v>
      </c>
      <c r="F7" s="44">
        <v>9069.34</v>
      </c>
      <c r="G7" s="44">
        <v>9056</v>
      </c>
      <c r="H7" s="44">
        <v>10341</v>
      </c>
      <c r="I7" s="44">
        <v>11043</v>
      </c>
      <c r="J7" s="44">
        <v>11745</v>
      </c>
      <c r="K7" s="44">
        <v>11741</v>
      </c>
      <c r="L7" s="44">
        <v>12027</v>
      </c>
      <c r="M7" s="48">
        <v>12396.516153053777</v>
      </c>
      <c r="N7" s="48">
        <v>12910.518597205111</v>
      </c>
      <c r="O7" s="48">
        <v>13567.078678153906</v>
      </c>
      <c r="P7" s="48">
        <v>14256.971102283511</v>
      </c>
      <c r="Q7" s="2"/>
      <c r="R7" s="2" t="s">
        <v>23</v>
      </c>
      <c r="S7" s="8">
        <f>B10</f>
        <v>0.28238913502045948</v>
      </c>
      <c r="T7" s="8">
        <f t="shared" ref="T7:AG7" si="3">C10</f>
        <v>0.27389622212107417</v>
      </c>
      <c r="U7" s="8">
        <f t="shared" si="3"/>
        <v>0.26413117502226413</v>
      </c>
      <c r="V7" s="8">
        <f t="shared" si="3"/>
        <v>0.26973652751876825</v>
      </c>
      <c r="W7" s="8">
        <f t="shared" si="3"/>
        <v>0.26825609368616948</v>
      </c>
      <c r="X7" s="8">
        <f t="shared" si="3"/>
        <v>0.27626950482547125</v>
      </c>
      <c r="Y7" s="8">
        <f t="shared" si="3"/>
        <v>0.27669506360135371</v>
      </c>
      <c r="Z7" s="8">
        <f t="shared" si="3"/>
        <v>0.26272066458982346</v>
      </c>
      <c r="AA7" s="8">
        <f t="shared" si="3"/>
        <v>0.26289546079779919</v>
      </c>
      <c r="AB7" s="8">
        <f t="shared" si="3"/>
        <v>0.26399151728022796</v>
      </c>
      <c r="AC7" s="8">
        <f t="shared" si="3"/>
        <v>0.25415597827897524</v>
      </c>
      <c r="AD7" s="20">
        <f t="shared" si="3"/>
        <v>0.26776094935232786</v>
      </c>
      <c r="AE7" s="49">
        <f t="shared" si="3"/>
        <v>0.27177196902488349</v>
      </c>
      <c r="AF7" s="49">
        <f t="shared" si="3"/>
        <v>0.27208982237600787</v>
      </c>
      <c r="AG7" s="49">
        <f t="shared" si="3"/>
        <v>0.27240637619363772</v>
      </c>
      <c r="AH7" s="2"/>
      <c r="AI7" s="2"/>
      <c r="AJ7" s="2"/>
      <c r="AK7" s="2"/>
      <c r="AL7" s="2"/>
    </row>
    <row r="8" spans="1:38">
      <c r="A8" s="2" t="s">
        <v>21</v>
      </c>
      <c r="B8" s="8">
        <v>0.43947077347097896</v>
      </c>
      <c r="C8" s="8">
        <v>0.43303368229403733</v>
      </c>
      <c r="D8" s="8">
        <v>0.42092304468542091</v>
      </c>
      <c r="E8" s="8">
        <v>0.41854348969540478</v>
      </c>
      <c r="F8" s="8">
        <v>0.41166265716490402</v>
      </c>
      <c r="G8" s="8">
        <v>0.40840624154415078</v>
      </c>
      <c r="H8" s="8">
        <v>0.40226397479285797</v>
      </c>
      <c r="I8" s="8">
        <v>0.39542378343538509</v>
      </c>
      <c r="J8" s="8">
        <v>0.40388583218707014</v>
      </c>
      <c r="K8" s="8">
        <v>0.38904536266940587</v>
      </c>
      <c r="L8" s="8">
        <v>0.40067295199387015</v>
      </c>
      <c r="M8" s="49">
        <v>0.40084683211567795</v>
      </c>
      <c r="N8" s="49">
        <v>0.40141089275260761</v>
      </c>
      <c r="O8" s="49">
        <v>0.4017376273270164</v>
      </c>
      <c r="P8" s="49">
        <v>0.40206302605732669</v>
      </c>
      <c r="Q8" s="2"/>
      <c r="R8" s="2" t="s">
        <v>24</v>
      </c>
      <c r="S8" s="8">
        <f>B12</f>
        <v>0.26501217897962515</v>
      </c>
      <c r="T8" s="8">
        <f t="shared" ref="T8:AG8" si="4">C12</f>
        <v>0.25705507510241238</v>
      </c>
      <c r="U8" s="8">
        <f t="shared" si="4"/>
        <v>0.24778668343024779</v>
      </c>
      <c r="V8" s="8">
        <f t="shared" si="4"/>
        <v>0.2556782862334433</v>
      </c>
      <c r="W8" s="8">
        <f t="shared" si="4"/>
        <v>0.24574463256320639</v>
      </c>
      <c r="X8" s="8">
        <f t="shared" si="4"/>
        <v>0.25146568052674301</v>
      </c>
      <c r="Y8" s="8">
        <f t="shared" si="4"/>
        <v>0.25269381880421676</v>
      </c>
      <c r="Z8" s="8">
        <f t="shared" si="4"/>
        <v>0.24041250402835965</v>
      </c>
      <c r="AA8" s="8">
        <f t="shared" si="4"/>
        <v>0.2421939477303989</v>
      </c>
      <c r="AB8" s="8">
        <f t="shared" si="4"/>
        <v>0.24348056595645978</v>
      </c>
      <c r="AC8" s="8">
        <f t="shared" si="4"/>
        <v>0.23330112936002931</v>
      </c>
      <c r="AD8" s="20">
        <f t="shared" si="4"/>
        <v>0.24728748057223357</v>
      </c>
      <c r="AE8" s="49">
        <f t="shared" si="4"/>
        <v>0.25141089275260764</v>
      </c>
      <c r="AF8" s="49">
        <f t="shared" si="4"/>
        <v>0.25173762732701643</v>
      </c>
      <c r="AG8" s="49">
        <f t="shared" si="4"/>
        <v>0.25206302605732672</v>
      </c>
      <c r="AH8" s="2"/>
      <c r="AI8" s="2"/>
      <c r="AJ8" s="2"/>
      <c r="AK8" s="2"/>
      <c r="AL8" s="2"/>
    </row>
    <row r="9" spans="1:38">
      <c r="A9" s="18" t="s">
        <v>25</v>
      </c>
      <c r="B9" s="46">
        <v>4672.1000000000004</v>
      </c>
      <c r="C9" s="46">
        <v>4814</v>
      </c>
      <c r="D9" s="46">
        <v>5042</v>
      </c>
      <c r="E9" s="46">
        <v>5641</v>
      </c>
      <c r="F9" s="46">
        <v>5909.95</v>
      </c>
      <c r="G9" s="46">
        <v>6126</v>
      </c>
      <c r="H9" s="46">
        <v>7113</v>
      </c>
      <c r="I9" s="46">
        <v>7337</v>
      </c>
      <c r="J9" s="46">
        <v>7645</v>
      </c>
      <c r="K9" s="46">
        <v>7967</v>
      </c>
      <c r="L9" s="46">
        <v>7629</v>
      </c>
      <c r="M9" s="50">
        <v>8280.7263719256462</v>
      </c>
      <c r="N9" s="50">
        <v>8740.9612535284559</v>
      </c>
      <c r="O9" s="50">
        <v>9188.7435395623288</v>
      </c>
      <c r="P9" s="50">
        <v>9659.4055702021251</v>
      </c>
      <c r="Q9" s="2"/>
      <c r="R9" s="2" t="s">
        <v>26</v>
      </c>
      <c r="S9" s="8">
        <f>B14</f>
        <v>0.29307520746574467</v>
      </c>
      <c r="T9" s="8">
        <f t="shared" ref="T9:AG9" si="5">C14</f>
        <v>0.29255803368229405</v>
      </c>
      <c r="U9" s="8">
        <f t="shared" si="5"/>
        <v>0.27696579181727699</v>
      </c>
      <c r="V9" s="8">
        <f t="shared" si="5"/>
        <v>0.28384258595132217</v>
      </c>
      <c r="W9" s="8">
        <f t="shared" si="5"/>
        <v>0.26930234669329584</v>
      </c>
      <c r="X9" s="8">
        <f t="shared" si="5"/>
        <v>0.26670875800487059</v>
      </c>
      <c r="Y9" s="8">
        <f t="shared" si="5"/>
        <v>0.26957637997432604</v>
      </c>
      <c r="Z9" s="8">
        <f t="shared" si="5"/>
        <v>0.25230064095678018</v>
      </c>
      <c r="AA9" s="8">
        <f t="shared" si="5"/>
        <v>0.25735900962861075</v>
      </c>
      <c r="AB9" s="8">
        <f t="shared" si="5"/>
        <v>0.25587328937340537</v>
      </c>
      <c r="AC9" s="8">
        <f t="shared" si="5"/>
        <v>0.24662691141686377</v>
      </c>
      <c r="AD9" s="20">
        <f t="shared" si="5"/>
        <v>0.26391737302663204</v>
      </c>
      <c r="AE9" s="49">
        <f t="shared" si="5"/>
        <v>0.26134602540903573</v>
      </c>
      <c r="AF9" s="49">
        <f t="shared" si="5"/>
        <v>0.26087921390938756</v>
      </c>
      <c r="AG9" s="49">
        <f t="shared" si="5"/>
        <v>0.26074588377630892</v>
      </c>
      <c r="AH9" s="2"/>
      <c r="AI9" s="2"/>
      <c r="AJ9" s="2"/>
      <c r="AK9" s="2"/>
      <c r="AL9" s="2"/>
    </row>
    <row r="10" spans="1:38">
      <c r="A10" s="2" t="s">
        <v>23</v>
      </c>
      <c r="B10" s="8">
        <f t="shared" ref="B10:P10" si="6">B9/B5</f>
        <v>0.28238913502045948</v>
      </c>
      <c r="C10" s="8">
        <f t="shared" si="6"/>
        <v>0.27389622212107417</v>
      </c>
      <c r="D10" s="8">
        <f t="shared" si="6"/>
        <v>0.26413117502226413</v>
      </c>
      <c r="E10" s="8">
        <f t="shared" si="6"/>
        <v>0.26973652751876825</v>
      </c>
      <c r="F10" s="8">
        <f t="shared" si="6"/>
        <v>0.26825609368616948</v>
      </c>
      <c r="G10" s="8">
        <f t="shared" si="6"/>
        <v>0.27626950482547125</v>
      </c>
      <c r="H10" s="8">
        <f t="shared" si="6"/>
        <v>0.27669506360135371</v>
      </c>
      <c r="I10" s="8">
        <f t="shared" si="6"/>
        <v>0.26272066458982346</v>
      </c>
      <c r="J10" s="8">
        <f t="shared" si="6"/>
        <v>0.26289546079779919</v>
      </c>
      <c r="K10" s="8">
        <f t="shared" si="6"/>
        <v>0.26399151728022796</v>
      </c>
      <c r="L10" s="8">
        <f t="shared" si="6"/>
        <v>0.25415597827897524</v>
      </c>
      <c r="M10" s="49">
        <f t="shared" si="6"/>
        <v>0.26776094935232786</v>
      </c>
      <c r="N10" s="49">
        <f t="shared" si="6"/>
        <v>0.27177196902488349</v>
      </c>
      <c r="O10" s="49">
        <f t="shared" si="6"/>
        <v>0.27208982237600787</v>
      </c>
      <c r="P10" s="49">
        <f t="shared" si="6"/>
        <v>0.27240637619363772</v>
      </c>
      <c r="Q10" s="2"/>
      <c r="R10" s="2" t="s">
        <v>27</v>
      </c>
      <c r="S10" s="8">
        <f>B17</f>
        <v>0.22287230506077399</v>
      </c>
      <c r="T10" s="8">
        <f t="shared" ref="T10:AG10" si="7">C17</f>
        <v>0.22286071916249431</v>
      </c>
      <c r="U10" s="8">
        <f t="shared" si="7"/>
        <v>0.20980669495520982</v>
      </c>
      <c r="V10" s="8">
        <f t="shared" si="7"/>
        <v>0.21489025964710945</v>
      </c>
      <c r="W10" s="8">
        <f t="shared" si="7"/>
        <v>0.20611865099178431</v>
      </c>
      <c r="X10" s="8">
        <f t="shared" si="7"/>
        <v>0.19770902859204473</v>
      </c>
      <c r="Y10" s="8">
        <f t="shared" si="7"/>
        <v>0.19990664021472751</v>
      </c>
      <c r="Z10" s="8">
        <f t="shared" si="7"/>
        <v>0.18688008020911662</v>
      </c>
      <c r="AA10" s="8">
        <f t="shared" si="7"/>
        <v>0.1905777166437414</v>
      </c>
      <c r="AB10" s="8">
        <f t="shared" si="7"/>
        <v>0.1901653467643063</v>
      </c>
      <c r="AC10" s="8">
        <f t="shared" si="7"/>
        <v>0.18436219475630475</v>
      </c>
      <c r="AD10" s="20">
        <f t="shared" si="7"/>
        <v>0.19799873076577015</v>
      </c>
      <c r="AE10" s="49">
        <f t="shared" si="7"/>
        <v>0.19606962864262087</v>
      </c>
      <c r="AF10" s="49">
        <f t="shared" si="7"/>
        <v>0.19571941265123985</v>
      </c>
      <c r="AG10" s="49">
        <f t="shared" si="7"/>
        <v>0.19561938438550022</v>
      </c>
      <c r="AH10" s="2"/>
      <c r="AI10" s="2"/>
      <c r="AJ10" s="2"/>
      <c r="AK10" s="2"/>
      <c r="AL10" s="2"/>
    </row>
    <row r="11" spans="1:38">
      <c r="A11" s="18" t="s">
        <v>28</v>
      </c>
      <c r="B11" s="46">
        <v>4384.6000000000004</v>
      </c>
      <c r="C11" s="46">
        <v>4518</v>
      </c>
      <c r="D11" s="46">
        <v>4730</v>
      </c>
      <c r="E11" s="46">
        <v>5347</v>
      </c>
      <c r="F11" s="46">
        <v>5414</v>
      </c>
      <c r="G11" s="46">
        <v>5576</v>
      </c>
      <c r="H11" s="46">
        <v>6496</v>
      </c>
      <c r="I11" s="46">
        <v>6714</v>
      </c>
      <c r="J11" s="46">
        <v>7043</v>
      </c>
      <c r="K11" s="46">
        <v>7348</v>
      </c>
      <c r="L11" s="46">
        <v>7003</v>
      </c>
      <c r="M11" s="50">
        <v>7647.5676037699368</v>
      </c>
      <c r="N11" s="50">
        <v>8086.0909980908709</v>
      </c>
      <c r="O11" s="50">
        <v>8501.4296990839539</v>
      </c>
      <c r="P11" s="50">
        <v>8938.0396742600606</v>
      </c>
      <c r="Q11" s="2"/>
      <c r="R11" s="2" t="s">
        <v>29</v>
      </c>
      <c r="S11" s="8">
        <f t="shared" ref="S11:AG11" si="8">IFERROR(B28/B16,0)</f>
        <v>0.86402343114389546</v>
      </c>
      <c r="T11" s="8">
        <f t="shared" si="8"/>
        <v>1.0270615266785805</v>
      </c>
      <c r="U11" s="8">
        <f t="shared" si="8"/>
        <v>1.0911360799001248</v>
      </c>
      <c r="V11" s="8">
        <f t="shared" si="8"/>
        <v>1.0062305295950156</v>
      </c>
      <c r="W11" s="8">
        <f t="shared" si="8"/>
        <v>1.0944725831314688</v>
      </c>
      <c r="X11" s="8">
        <f t="shared" si="8"/>
        <v>1.2673357664233578</v>
      </c>
      <c r="Y11" s="8">
        <f t="shared" si="8"/>
        <v>1.1000194590387236</v>
      </c>
      <c r="Z11" s="8">
        <f t="shared" si="8"/>
        <v>1.0557578080091972</v>
      </c>
      <c r="AA11" s="8">
        <f t="shared" si="8"/>
        <v>1.021652832912306</v>
      </c>
      <c r="AB11" s="8">
        <f t="shared" si="8"/>
        <v>1.0590695243073707</v>
      </c>
      <c r="AC11" s="8">
        <f t="shared" si="8"/>
        <v>1.1100469822912902</v>
      </c>
      <c r="AD11" s="20">
        <f t="shared" si="8"/>
        <v>1.2435551443862087</v>
      </c>
      <c r="AE11" s="49">
        <f t="shared" si="8"/>
        <v>1.0507089156905669</v>
      </c>
      <c r="AF11" s="49">
        <f t="shared" si="8"/>
        <v>1.1074296423366135</v>
      </c>
      <c r="AG11" s="49">
        <f t="shared" si="8"/>
        <v>1.1137685955031034</v>
      </c>
      <c r="AH11" s="2"/>
      <c r="AI11" s="2"/>
      <c r="AJ11" s="2"/>
      <c r="AK11" s="2"/>
      <c r="AL11" s="2"/>
    </row>
    <row r="12" spans="1:38">
      <c r="A12" s="2" t="s">
        <v>24</v>
      </c>
      <c r="B12" s="8">
        <v>0.26501217897962515</v>
      </c>
      <c r="C12" s="8">
        <v>0.25705507510241238</v>
      </c>
      <c r="D12" s="8">
        <v>0.24778668343024779</v>
      </c>
      <c r="E12" s="8">
        <v>0.2556782862334433</v>
      </c>
      <c r="F12" s="8">
        <v>0.24574463256320639</v>
      </c>
      <c r="G12" s="8">
        <v>0.25146568052674301</v>
      </c>
      <c r="H12" s="8">
        <v>0.25269381880421676</v>
      </c>
      <c r="I12" s="8">
        <v>0.24041250402835965</v>
      </c>
      <c r="J12" s="8">
        <v>0.2421939477303989</v>
      </c>
      <c r="K12" s="8">
        <v>0.24348056595645978</v>
      </c>
      <c r="L12" s="8">
        <v>0.23330112936002931</v>
      </c>
      <c r="M12" s="49">
        <v>0.24728748057223357</v>
      </c>
      <c r="N12" s="49">
        <v>0.25141089275260764</v>
      </c>
      <c r="O12" s="49">
        <v>0.25173762732701643</v>
      </c>
      <c r="P12" s="49">
        <v>0.25206302605732672</v>
      </c>
      <c r="Q12" s="2"/>
      <c r="R12" s="97" t="s">
        <v>30</v>
      </c>
      <c r="S12" s="98">
        <f t="shared" ref="S12:AG12" si="9">IFERROR((B28+B29)/B5,0)</f>
        <v>0.17443441785686223</v>
      </c>
      <c r="T12" s="98">
        <f t="shared" si="9"/>
        <v>0.21199362767410104</v>
      </c>
      <c r="U12" s="98">
        <f t="shared" si="9"/>
        <v>0.2137880454712138</v>
      </c>
      <c r="V12" s="98">
        <f t="shared" si="9"/>
        <v>0.20097546980347153</v>
      </c>
      <c r="W12" s="98">
        <f t="shared" si="9"/>
        <v>0.20502927692796513</v>
      </c>
      <c r="X12" s="98">
        <f t="shared" si="9"/>
        <v>0.2311716424641472</v>
      </c>
      <c r="Y12" s="98">
        <f t="shared" si="9"/>
        <v>0.20434123001517096</v>
      </c>
      <c r="Z12" s="98">
        <f t="shared" si="9"/>
        <v>0.18354996956350486</v>
      </c>
      <c r="AA12" s="98">
        <f t="shared" si="9"/>
        <v>0.18356258596973865</v>
      </c>
      <c r="AB12" s="98">
        <f t="shared" si="9"/>
        <v>0.18599025812651182</v>
      </c>
      <c r="AC12" s="98">
        <f t="shared" si="9"/>
        <v>0.18865975946963387</v>
      </c>
      <c r="AD12" s="98">
        <f t="shared" si="9"/>
        <v>0.22009562485283288</v>
      </c>
      <c r="AE12" s="99">
        <f t="shared" si="9"/>
        <v>0.19026998734777781</v>
      </c>
      <c r="AF12" s="99">
        <f t="shared" si="9"/>
        <v>0.19599245093806061</v>
      </c>
      <c r="AG12" s="99">
        <f t="shared" si="9"/>
        <v>0.20060189776324189</v>
      </c>
      <c r="AH12" s="2"/>
      <c r="AI12" s="2"/>
      <c r="AJ12" s="2"/>
      <c r="AK12" s="2"/>
      <c r="AL12" s="2"/>
    </row>
    <row r="13" spans="1:38">
      <c r="A13" s="18" t="s">
        <v>31</v>
      </c>
      <c r="B13" s="46">
        <f t="shared" ref="B13:P13" si="10">B12/B5</f>
        <v>1.6017756467529275E-5</v>
      </c>
      <c r="C13" s="46">
        <f t="shared" si="10"/>
        <v>1.4625345647611081E-5</v>
      </c>
      <c r="D13" s="46">
        <f t="shared" si="10"/>
        <v>1.2980600525446476E-5</v>
      </c>
      <c r="E13" s="46">
        <f t="shared" si="10"/>
        <v>1.2225806256082021E-5</v>
      </c>
      <c r="F13" s="46">
        <f t="shared" si="10"/>
        <v>1.1154492876546975E-5</v>
      </c>
      <c r="G13" s="46">
        <f t="shared" si="10"/>
        <v>1.1340564648991748E-5</v>
      </c>
      <c r="H13" s="46">
        <f t="shared" si="10"/>
        <v>9.8297669430200632E-6</v>
      </c>
      <c r="I13" s="46">
        <f t="shared" si="10"/>
        <v>8.6086047204626217E-6</v>
      </c>
      <c r="J13" s="46">
        <f t="shared" si="10"/>
        <v>8.3285401557908832E-6</v>
      </c>
      <c r="K13" s="46">
        <f t="shared" si="10"/>
        <v>8.0678805114967285E-6</v>
      </c>
      <c r="L13" s="46">
        <f t="shared" si="10"/>
        <v>7.7723000086627348E-6</v>
      </c>
      <c r="M13" s="50">
        <f t="shared" si="10"/>
        <v>7.9961500461424905E-6</v>
      </c>
      <c r="N13" s="50">
        <f t="shared" si="10"/>
        <v>7.8168100024581067E-6</v>
      </c>
      <c r="O13" s="50">
        <f t="shared" si="10"/>
        <v>7.4542559610960787E-6</v>
      </c>
      <c r="P13" s="50">
        <f t="shared" si="10"/>
        <v>7.1084680109608492E-6</v>
      </c>
      <c r="Q13" s="2"/>
      <c r="R13" s="2" t="s">
        <v>32</v>
      </c>
      <c r="S13" s="8">
        <f t="shared" ref="S13:AG13" si="11">IFERROR(B62/B5,0)</f>
        <v>5.741950691753954E-2</v>
      </c>
      <c r="T13" s="8">
        <f t="shared" si="11"/>
        <v>3.1577150659990894E-2</v>
      </c>
      <c r="U13" s="8">
        <f t="shared" si="11"/>
        <v>3.9342029441039345E-2</v>
      </c>
      <c r="V13" s="8">
        <f t="shared" si="11"/>
        <v>4.9968918854301152E-2</v>
      </c>
      <c r="W13" s="8">
        <f t="shared" si="11"/>
        <v>5.2017611547365075E-2</v>
      </c>
      <c r="X13" s="8">
        <f t="shared" si="11"/>
        <v>4.2121403445476685E-2</v>
      </c>
      <c r="Y13" s="8">
        <f t="shared" si="11"/>
        <v>6.4184852374839535E-2</v>
      </c>
      <c r="Z13" s="8">
        <f t="shared" si="11"/>
        <v>3.1009417409675225E-2</v>
      </c>
      <c r="AA13" s="8">
        <f t="shared" si="11"/>
        <v>3.7173314993122424E-2</v>
      </c>
      <c r="AB13" s="8">
        <f t="shared" si="11"/>
        <v>3.234036913085258E-2</v>
      </c>
      <c r="AC13" s="8">
        <f t="shared" si="11"/>
        <v>2.258720058633441E-2</v>
      </c>
      <c r="AD13" s="20">
        <f t="shared" si="11"/>
        <v>6.7741294844907277E-2</v>
      </c>
      <c r="AE13" s="49">
        <f t="shared" si="11"/>
        <v>8.6483754763836615E-2</v>
      </c>
      <c r="AF13" s="49">
        <f t="shared" si="11"/>
        <v>0.11298270708886837</v>
      </c>
      <c r="AG13" s="49">
        <f t="shared" si="11"/>
        <v>0.14069643222589664</v>
      </c>
      <c r="AH13" s="2"/>
      <c r="AI13" s="2"/>
      <c r="AJ13" s="2"/>
      <c r="AK13" s="2"/>
      <c r="AL13" s="2"/>
    </row>
    <row r="14" spans="1:38">
      <c r="A14" s="2" t="s">
        <v>26</v>
      </c>
      <c r="B14" s="8">
        <v>0.29307520746574467</v>
      </c>
      <c r="C14" s="8">
        <v>0.29255803368229405</v>
      </c>
      <c r="D14" s="8">
        <v>0.27696579181727699</v>
      </c>
      <c r="E14" s="8">
        <v>0.28384258595132217</v>
      </c>
      <c r="F14" s="8">
        <v>0.26930234669329584</v>
      </c>
      <c r="G14" s="8">
        <v>0.26670875800487059</v>
      </c>
      <c r="H14" s="8">
        <v>0.26957637997432604</v>
      </c>
      <c r="I14" s="8">
        <v>0.25230064095678018</v>
      </c>
      <c r="J14" s="8">
        <v>0.25735900962861075</v>
      </c>
      <c r="K14" s="8">
        <v>0.25587328937340537</v>
      </c>
      <c r="L14" s="8">
        <v>0.24662691141686377</v>
      </c>
      <c r="M14" s="49">
        <v>0.26391737302663204</v>
      </c>
      <c r="N14" s="49">
        <v>0.26134602540903573</v>
      </c>
      <c r="O14" s="49">
        <v>0.26087921390938756</v>
      </c>
      <c r="P14" s="49">
        <v>0.26074588377630892</v>
      </c>
      <c r="Q14" s="2"/>
      <c r="R14" s="2"/>
      <c r="S14" s="8">
        <f t="shared" ref="S14:AG14" si="12">B10</f>
        <v>0.28238913502045948</v>
      </c>
      <c r="T14" s="8">
        <f t="shared" si="12"/>
        <v>0.27389622212107417</v>
      </c>
      <c r="U14" s="8">
        <f t="shared" si="12"/>
        <v>0.26413117502226413</v>
      </c>
      <c r="V14" s="8">
        <f t="shared" si="12"/>
        <v>0.26973652751876825</v>
      </c>
      <c r="W14" s="8">
        <f t="shared" si="12"/>
        <v>0.26825609368616948</v>
      </c>
      <c r="X14" s="8">
        <f t="shared" si="12"/>
        <v>0.27626950482547125</v>
      </c>
      <c r="Y14" s="8">
        <f t="shared" si="12"/>
        <v>0.27669506360135371</v>
      </c>
      <c r="Z14" s="8">
        <f t="shared" si="12"/>
        <v>0.26272066458982346</v>
      </c>
      <c r="AA14" s="8">
        <f t="shared" si="12"/>
        <v>0.26289546079779919</v>
      </c>
      <c r="AB14" s="8">
        <f t="shared" si="12"/>
        <v>0.26399151728022796</v>
      </c>
      <c r="AC14" s="8">
        <f t="shared" si="12"/>
        <v>0.25415597827897524</v>
      </c>
      <c r="AD14" s="20">
        <f t="shared" si="12"/>
        <v>0.26776094935232786</v>
      </c>
      <c r="AE14" s="20">
        <f t="shared" si="12"/>
        <v>0.27177196902488349</v>
      </c>
      <c r="AF14" s="20">
        <f t="shared" si="12"/>
        <v>0.27208982237600787</v>
      </c>
      <c r="AG14" s="20">
        <f t="shared" si="12"/>
        <v>0.27240637619363772</v>
      </c>
      <c r="AH14" s="2"/>
      <c r="AI14" s="2"/>
      <c r="AJ14" s="2"/>
      <c r="AK14" s="2"/>
      <c r="AL14" s="2"/>
    </row>
    <row r="15" spans="1:38">
      <c r="A15" s="2" t="s">
        <v>33</v>
      </c>
      <c r="B15" s="44">
        <v>1142.4000000000001</v>
      </c>
      <c r="C15" s="44">
        <v>1215</v>
      </c>
      <c r="D15" s="44">
        <v>1273</v>
      </c>
      <c r="E15" s="44">
        <v>1428</v>
      </c>
      <c r="F15" s="44">
        <v>1377</v>
      </c>
      <c r="G15" s="44">
        <v>1513</v>
      </c>
      <c r="H15" s="44">
        <v>1775</v>
      </c>
      <c r="I15" s="44">
        <v>1808</v>
      </c>
      <c r="J15" s="44">
        <v>1919</v>
      </c>
      <c r="K15" s="44">
        <v>1954</v>
      </c>
      <c r="L15" s="44">
        <v>1842</v>
      </c>
      <c r="M15" s="48">
        <v>2007.8177150358415</v>
      </c>
      <c r="N15" s="48">
        <v>2067.785763759548</v>
      </c>
      <c r="O15" s="48">
        <v>2167.2969387050844</v>
      </c>
      <c r="P15" s="48">
        <v>2274.4987405507177</v>
      </c>
      <c r="Q15" s="2"/>
      <c r="R15" s="2"/>
      <c r="S15" s="8">
        <f t="shared" ref="S15:AG15" si="13">B12</f>
        <v>0.26501217897962515</v>
      </c>
      <c r="T15" s="8">
        <f t="shared" si="13"/>
        <v>0.25705507510241238</v>
      </c>
      <c r="U15" s="8">
        <f t="shared" si="13"/>
        <v>0.24778668343024779</v>
      </c>
      <c r="V15" s="8">
        <f t="shared" si="13"/>
        <v>0.2556782862334433</v>
      </c>
      <c r="W15" s="8">
        <f t="shared" si="13"/>
        <v>0.24574463256320639</v>
      </c>
      <c r="X15" s="8">
        <f t="shared" si="13"/>
        <v>0.25146568052674301</v>
      </c>
      <c r="Y15" s="8">
        <f t="shared" si="13"/>
        <v>0.25269381880421676</v>
      </c>
      <c r="Z15" s="8">
        <f t="shared" si="13"/>
        <v>0.24041250402835965</v>
      </c>
      <c r="AA15" s="8">
        <f t="shared" si="13"/>
        <v>0.2421939477303989</v>
      </c>
      <c r="AB15" s="8">
        <f t="shared" si="13"/>
        <v>0.24348056595645978</v>
      </c>
      <c r="AC15" s="8">
        <f t="shared" si="13"/>
        <v>0.23330112936002931</v>
      </c>
      <c r="AD15" s="20">
        <f t="shared" si="13"/>
        <v>0.24728748057223357</v>
      </c>
      <c r="AE15" s="20">
        <f t="shared" si="13"/>
        <v>0.25141089275260764</v>
      </c>
      <c r="AF15" s="20">
        <f t="shared" si="13"/>
        <v>0.25173762732701643</v>
      </c>
      <c r="AG15" s="20">
        <f t="shared" si="13"/>
        <v>0.25206302605732672</v>
      </c>
      <c r="AH15" s="2"/>
      <c r="AI15" s="2"/>
      <c r="AJ15" s="2"/>
      <c r="AK15" s="2"/>
      <c r="AL15" s="2"/>
    </row>
    <row r="16" spans="1:38">
      <c r="A16" s="18" t="s">
        <v>34</v>
      </c>
      <c r="B16" s="46">
        <v>3687.4</v>
      </c>
      <c r="C16" s="46">
        <v>3917</v>
      </c>
      <c r="D16" s="46">
        <v>4005</v>
      </c>
      <c r="E16" s="46">
        <v>4494</v>
      </c>
      <c r="F16" s="46">
        <v>4541</v>
      </c>
      <c r="G16" s="46">
        <v>4384</v>
      </c>
      <c r="H16" s="46">
        <v>5139</v>
      </c>
      <c r="I16" s="46">
        <v>5219</v>
      </c>
      <c r="J16" s="46">
        <v>5542</v>
      </c>
      <c r="K16" s="46">
        <v>5739</v>
      </c>
      <c r="L16" s="46">
        <v>5534</v>
      </c>
      <c r="M16" s="50">
        <v>6123.2727006152008</v>
      </c>
      <c r="N16" s="50">
        <v>6306.1581851436013</v>
      </c>
      <c r="O16" s="50">
        <v>6609.6389525394934</v>
      </c>
      <c r="P16" s="50">
        <v>6936.5739435909136</v>
      </c>
      <c r="Q16" s="2"/>
      <c r="R16" s="2"/>
      <c r="S16" s="8">
        <f t="shared" ref="S16:AG16" si="14">B14</f>
        <v>0.29307520746574467</v>
      </c>
      <c r="T16" s="8">
        <f t="shared" si="14"/>
        <v>0.29255803368229405</v>
      </c>
      <c r="U16" s="8">
        <f t="shared" si="14"/>
        <v>0.27696579181727699</v>
      </c>
      <c r="V16" s="8">
        <f t="shared" si="14"/>
        <v>0.28384258595132217</v>
      </c>
      <c r="W16" s="8">
        <f t="shared" si="14"/>
        <v>0.26930234669329584</v>
      </c>
      <c r="X16" s="8">
        <f t="shared" si="14"/>
        <v>0.26670875800487059</v>
      </c>
      <c r="Y16" s="8">
        <f t="shared" si="14"/>
        <v>0.26957637997432604</v>
      </c>
      <c r="Z16" s="8">
        <f t="shared" si="14"/>
        <v>0.25230064095678018</v>
      </c>
      <c r="AA16" s="8">
        <f t="shared" si="14"/>
        <v>0.25735900962861075</v>
      </c>
      <c r="AB16" s="8">
        <f t="shared" si="14"/>
        <v>0.25587328937340537</v>
      </c>
      <c r="AC16" s="8">
        <f t="shared" si="14"/>
        <v>0.24662691141686377</v>
      </c>
      <c r="AD16" s="20">
        <f t="shared" si="14"/>
        <v>0.26391737302663204</v>
      </c>
      <c r="AE16" s="20">
        <f t="shared" si="14"/>
        <v>0.26134602540903573</v>
      </c>
      <c r="AF16" s="20">
        <f t="shared" si="14"/>
        <v>0.26087921390938756</v>
      </c>
      <c r="AG16" s="20">
        <f t="shared" si="14"/>
        <v>0.26074588377630892</v>
      </c>
      <c r="AH16" s="2"/>
      <c r="AI16" s="2"/>
      <c r="AJ16" s="2"/>
      <c r="AK16" s="2"/>
      <c r="AL16" s="2"/>
    </row>
    <row r="17" spans="1:38">
      <c r="A17" s="18" t="s">
        <v>27</v>
      </c>
      <c r="B17" s="23">
        <v>0.22287230506077399</v>
      </c>
      <c r="C17" s="23">
        <v>0.22286071916249431</v>
      </c>
      <c r="D17" s="23">
        <v>0.20980669495520982</v>
      </c>
      <c r="E17" s="23">
        <v>0.21489025964710945</v>
      </c>
      <c r="F17" s="23">
        <v>0.20611865099178431</v>
      </c>
      <c r="G17" s="23">
        <v>0.19770902859204473</v>
      </c>
      <c r="H17" s="23">
        <v>0.19990664021472751</v>
      </c>
      <c r="I17" s="23">
        <v>0.18688008020911662</v>
      </c>
      <c r="J17" s="23">
        <v>0.1905777166437414</v>
      </c>
      <c r="K17" s="23">
        <v>0.1901653467643063</v>
      </c>
      <c r="L17" s="23">
        <v>0.18436219475630475</v>
      </c>
      <c r="M17" s="51">
        <v>0.19799873076577015</v>
      </c>
      <c r="N17" s="51">
        <v>0.19606962864262087</v>
      </c>
      <c r="O17" s="51">
        <v>0.19571941265123985</v>
      </c>
      <c r="P17" s="51">
        <v>0.19561938438550022</v>
      </c>
      <c r="Q17" s="2"/>
      <c r="R17" s="2"/>
      <c r="S17" s="8">
        <f t="shared" ref="S17:AG17" si="15">B17</f>
        <v>0.22287230506077399</v>
      </c>
      <c r="T17" s="8">
        <f t="shared" si="15"/>
        <v>0.22286071916249431</v>
      </c>
      <c r="U17" s="8">
        <f t="shared" si="15"/>
        <v>0.20980669495520982</v>
      </c>
      <c r="V17" s="8">
        <f t="shared" si="15"/>
        <v>0.21489025964710945</v>
      </c>
      <c r="W17" s="8">
        <f t="shared" si="15"/>
        <v>0.20611865099178431</v>
      </c>
      <c r="X17" s="8">
        <f t="shared" si="15"/>
        <v>0.19770902859204473</v>
      </c>
      <c r="Y17" s="8">
        <f t="shared" si="15"/>
        <v>0.19990664021472751</v>
      </c>
      <c r="Z17" s="8">
        <f t="shared" si="15"/>
        <v>0.18688008020911662</v>
      </c>
      <c r="AA17" s="8">
        <f t="shared" si="15"/>
        <v>0.1905777166437414</v>
      </c>
      <c r="AB17" s="8">
        <f t="shared" si="15"/>
        <v>0.1901653467643063</v>
      </c>
      <c r="AC17" s="8">
        <f t="shared" si="15"/>
        <v>0.18436219475630475</v>
      </c>
      <c r="AD17" s="20">
        <f t="shared" si="15"/>
        <v>0.19799873076577015</v>
      </c>
      <c r="AE17" s="20">
        <f t="shared" si="15"/>
        <v>0.19606962864262087</v>
      </c>
      <c r="AF17" s="20">
        <f t="shared" si="15"/>
        <v>0.19571941265123985</v>
      </c>
      <c r="AG17" s="20">
        <f t="shared" si="15"/>
        <v>0.19561938438550022</v>
      </c>
      <c r="AH17" s="2"/>
      <c r="AI17" s="2"/>
      <c r="AJ17" s="2"/>
      <c r="AK17" s="2"/>
      <c r="AL17" s="2"/>
    </row>
    <row r="18" spans="1:38">
      <c r="A18" s="18" t="s">
        <v>35</v>
      </c>
      <c r="B18" s="46">
        <v>1.88</v>
      </c>
      <c r="C18" s="46">
        <v>1.99</v>
      </c>
      <c r="D18" s="46">
        <v>2.08</v>
      </c>
      <c r="E18" s="46">
        <v>1.19</v>
      </c>
      <c r="F18" s="46">
        <v>1.21</v>
      </c>
      <c r="G18" s="46">
        <v>1.21</v>
      </c>
      <c r="H18" s="46">
        <v>1.39</v>
      </c>
      <c r="I18" s="46">
        <v>1.43</v>
      </c>
      <c r="J18" s="46">
        <v>1.54</v>
      </c>
      <c r="K18" s="46">
        <v>1.59</v>
      </c>
      <c r="L18" s="46">
        <v>1.64</v>
      </c>
      <c r="M18" s="50">
        <v>1.6924000720309558</v>
      </c>
      <c r="N18" s="50">
        <v>1.7429474545047405</v>
      </c>
      <c r="O18" s="50">
        <v>1.8268259452584212</v>
      </c>
      <c r="P18" s="50">
        <v>1.9171869057214874</v>
      </c>
      <c r="Q18" s="2"/>
      <c r="R18" s="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19"/>
      <c r="AE18" s="19"/>
      <c r="AF18" s="19"/>
      <c r="AG18" s="19"/>
      <c r="AH18" s="2"/>
      <c r="AI18" s="2"/>
      <c r="AJ18" s="2"/>
      <c r="AK18" s="2"/>
      <c r="AL18" s="2"/>
    </row>
    <row r="19" spans="1:38">
      <c r="A19" s="18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52"/>
      <c r="N19" s="52"/>
      <c r="O19" s="52"/>
      <c r="P19" s="52"/>
      <c r="Q19" s="2"/>
      <c r="R19" s="97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2"/>
      <c r="AI19" s="2"/>
      <c r="AJ19" s="2"/>
      <c r="AK19" s="2"/>
      <c r="AL19" s="2"/>
    </row>
    <row r="20" spans="1:38">
      <c r="A20" s="2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53"/>
      <c r="N20" s="53"/>
      <c r="O20" s="53"/>
      <c r="P20" s="53"/>
      <c r="Q20" s="2"/>
      <c r="R20" s="2"/>
      <c r="S20" s="8">
        <f t="shared" ref="S20:AG20" si="16">B63</f>
        <v>0</v>
      </c>
      <c r="T20" s="8">
        <f t="shared" si="16"/>
        <v>0</v>
      </c>
      <c r="U20" s="8">
        <f t="shared" si="16"/>
        <v>0</v>
      </c>
      <c r="V20" s="8">
        <f t="shared" si="16"/>
        <v>0</v>
      </c>
      <c r="W20" s="8">
        <f t="shared" si="16"/>
        <v>0</v>
      </c>
      <c r="X20" s="8">
        <f t="shared" si="16"/>
        <v>0</v>
      </c>
      <c r="Y20" s="8">
        <f t="shared" si="16"/>
        <v>0</v>
      </c>
      <c r="Z20" s="8">
        <f t="shared" si="16"/>
        <v>0</v>
      </c>
      <c r="AA20" s="8">
        <f t="shared" si="16"/>
        <v>0</v>
      </c>
      <c r="AB20" s="8">
        <f t="shared" si="16"/>
        <v>0</v>
      </c>
      <c r="AC20" s="8">
        <f t="shared" si="16"/>
        <v>0</v>
      </c>
      <c r="AD20" s="20">
        <f t="shared" si="16"/>
        <v>0</v>
      </c>
      <c r="AE20" s="20">
        <f t="shared" si="16"/>
        <v>0</v>
      </c>
      <c r="AF20" s="20">
        <f t="shared" si="16"/>
        <v>0</v>
      </c>
      <c r="AG20" s="20">
        <f t="shared" si="16"/>
        <v>0</v>
      </c>
      <c r="AH20" s="2"/>
      <c r="AI20" s="2"/>
      <c r="AJ20" s="2"/>
      <c r="AK20" s="2"/>
      <c r="AL20" s="2"/>
    </row>
    <row r="21" spans="1:38">
      <c r="A21" s="2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53"/>
      <c r="N21" s="53"/>
      <c r="O21" s="53"/>
      <c r="P21" s="53"/>
      <c r="Q21" s="2"/>
      <c r="R21" s="2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20"/>
      <c r="AE21" s="20"/>
      <c r="AF21" s="20"/>
      <c r="AG21" s="20"/>
      <c r="AH21" s="2"/>
      <c r="AI21" s="2"/>
      <c r="AJ21" s="2"/>
      <c r="AK21" s="2"/>
      <c r="AL21" s="2"/>
    </row>
    <row r="22" spans="1:38">
      <c r="A22" s="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54"/>
      <c r="N22" s="54"/>
      <c r="O22" s="54"/>
      <c r="P22" s="54"/>
      <c r="Q22" s="2"/>
      <c r="R22" s="2"/>
      <c r="S22" s="8">
        <f t="shared" ref="S22:AG22" si="17">B42</f>
        <v>0.12910322818512049</v>
      </c>
      <c r="T22" s="8">
        <f t="shared" si="17"/>
        <v>7.1916249431042328E-2</v>
      </c>
      <c r="U22" s="8">
        <f t="shared" si="17"/>
        <v>0.22609880035622609</v>
      </c>
      <c r="V22" s="8">
        <f t="shared" si="17"/>
        <v>0.20212308133696744</v>
      </c>
      <c r="W22" s="8">
        <f t="shared" si="17"/>
        <v>0.25405110979982753</v>
      </c>
      <c r="X22" s="8">
        <f t="shared" si="17"/>
        <v>0.18494633354379003</v>
      </c>
      <c r="Y22" s="8">
        <f t="shared" si="17"/>
        <v>0.19920644182518379</v>
      </c>
      <c r="Z22" s="8">
        <f t="shared" si="17"/>
        <v>0.18150893400651699</v>
      </c>
      <c r="AA22" s="8">
        <f t="shared" si="17"/>
        <v>0.20581155433287482</v>
      </c>
      <c r="AB22" s="8">
        <f t="shared" si="17"/>
        <v>0.17823652208489346</v>
      </c>
      <c r="AC22" s="8">
        <f t="shared" si="17"/>
        <v>0.13955425259019888</v>
      </c>
      <c r="AD22" s="20">
        <f t="shared" si="17"/>
        <v>0.22009562485283288</v>
      </c>
      <c r="AE22" s="20">
        <f t="shared" si="17"/>
        <v>0.19026998734777781</v>
      </c>
      <c r="AF22" s="20">
        <f t="shared" si="17"/>
        <v>0.19599245093806061</v>
      </c>
      <c r="AG22" s="20">
        <f t="shared" si="17"/>
        <v>0.20060189776324189</v>
      </c>
      <c r="AH22" s="2"/>
      <c r="AI22" s="2"/>
      <c r="AJ22" s="2"/>
      <c r="AK22" s="2"/>
      <c r="AL22" s="2"/>
    </row>
    <row r="23" spans="1:38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54"/>
      <c r="N23" s="54"/>
      <c r="O23" s="54"/>
      <c r="P23" s="54"/>
      <c r="Q23" s="2"/>
      <c r="R23" s="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9"/>
      <c r="AE23" s="19"/>
      <c r="AF23" s="19"/>
      <c r="AG23" s="19"/>
      <c r="AH23" s="2"/>
      <c r="AI23" s="2"/>
      <c r="AJ23" s="2"/>
      <c r="AK23" s="2"/>
      <c r="AL23" s="2"/>
    </row>
    <row r="24" spans="1:38">
      <c r="A24" s="43" t="s">
        <v>36</v>
      </c>
      <c r="B24" s="47" t="s">
        <v>2</v>
      </c>
      <c r="C24" s="47" t="s">
        <v>3</v>
      </c>
      <c r="D24" s="47" t="s">
        <v>4</v>
      </c>
      <c r="E24" s="47" t="s">
        <v>5</v>
      </c>
      <c r="F24" s="47" t="s">
        <v>6</v>
      </c>
      <c r="G24" s="47" t="s">
        <v>7</v>
      </c>
      <c r="H24" s="47" t="s">
        <v>8</v>
      </c>
      <c r="I24" s="47" t="s">
        <v>9</v>
      </c>
      <c r="J24" s="47" t="s">
        <v>10</v>
      </c>
      <c r="K24" s="47" t="s">
        <v>11</v>
      </c>
      <c r="L24" s="47" t="s">
        <v>12</v>
      </c>
      <c r="M24" s="55" t="s">
        <v>13</v>
      </c>
      <c r="N24" s="55" t="s">
        <v>14</v>
      </c>
      <c r="O24" s="55" t="s">
        <v>15</v>
      </c>
      <c r="P24" s="55" t="s">
        <v>16</v>
      </c>
      <c r="Q24" s="2"/>
      <c r="R24" s="97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2"/>
      <c r="AI24" s="2"/>
      <c r="AJ24" s="2"/>
      <c r="AK24" s="2"/>
      <c r="AL24" s="2"/>
    </row>
    <row r="25" spans="1:38">
      <c r="A25" s="2" t="s">
        <v>37</v>
      </c>
      <c r="B25" s="44">
        <v>3707</v>
      </c>
      <c r="C25" s="44">
        <v>3927</v>
      </c>
      <c r="D25" s="44">
        <v>4014</v>
      </c>
      <c r="E25" s="44">
        <v>4508</v>
      </c>
      <c r="F25" s="44">
        <v>4556</v>
      </c>
      <c r="G25" s="44">
        <v>4401</v>
      </c>
      <c r="H25" s="44">
        <v>5155</v>
      </c>
      <c r="I25" s="44">
        <v>5238</v>
      </c>
      <c r="J25" s="44">
        <v>5565</v>
      </c>
      <c r="K25" s="44">
        <v>5768</v>
      </c>
      <c r="L25" s="44">
        <v>5561</v>
      </c>
      <c r="M25" s="48">
        <v>6154.0429151911567</v>
      </c>
      <c r="N25" s="48">
        <v>6337.8474222548757</v>
      </c>
      <c r="O25" s="48">
        <v>6642.8532186326565</v>
      </c>
      <c r="P25" s="48">
        <v>6971.4310990863451</v>
      </c>
      <c r="Q25" s="2"/>
      <c r="R25" s="2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27"/>
      <c r="AE25" s="27"/>
      <c r="AF25" s="27"/>
      <c r="AG25" s="27"/>
      <c r="AH25" s="2"/>
      <c r="AI25" s="2"/>
      <c r="AJ25" s="2"/>
      <c r="AK25" s="2"/>
      <c r="AL25" s="2"/>
    </row>
    <row r="26" spans="1:38">
      <c r="A26" s="2" t="s">
        <v>38</v>
      </c>
      <c r="B26" s="44">
        <v>288</v>
      </c>
      <c r="C26" s="44">
        <v>296</v>
      </c>
      <c r="D26" s="44">
        <v>312</v>
      </c>
      <c r="E26" s="44">
        <v>294</v>
      </c>
      <c r="F26" s="44">
        <v>495</v>
      </c>
      <c r="G26" s="44">
        <v>549</v>
      </c>
      <c r="H26" s="44">
        <v>617</v>
      </c>
      <c r="I26" s="44">
        <v>622</v>
      </c>
      <c r="J26" s="44">
        <v>602</v>
      </c>
      <c r="K26" s="44">
        <v>619</v>
      </c>
      <c r="L26" s="44">
        <v>626</v>
      </c>
      <c r="M26" s="48">
        <v>633.15876815571005</v>
      </c>
      <c r="N26" s="48">
        <v>654.87025543758432</v>
      </c>
      <c r="O26" s="48">
        <v>687.31384047837457</v>
      </c>
      <c r="P26" s="48">
        <v>721.36589594206464</v>
      </c>
      <c r="Q26" s="2"/>
      <c r="R26" s="2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27"/>
      <c r="AE26" s="27"/>
      <c r="AF26" s="27"/>
      <c r="AG26" s="27"/>
      <c r="AH26" s="2"/>
      <c r="AI26" s="2"/>
      <c r="AJ26" s="2"/>
      <c r="AK26" s="2"/>
      <c r="AL26" s="2"/>
    </row>
    <row r="27" spans="1:38">
      <c r="A27" s="2" t="s">
        <v>39</v>
      </c>
      <c r="B27" s="44">
        <v>1088</v>
      </c>
      <c r="C27" s="44">
        <v>1241</v>
      </c>
      <c r="D27" s="44">
        <v>1226</v>
      </c>
      <c r="E27" s="44">
        <v>1474</v>
      </c>
      <c r="F27" s="44">
        <v>1371</v>
      </c>
      <c r="G27" s="44">
        <v>1686</v>
      </c>
      <c r="H27" s="44">
        <v>1773</v>
      </c>
      <c r="I27" s="44">
        <v>1800</v>
      </c>
      <c r="J27" s="44">
        <v>1924</v>
      </c>
      <c r="K27" s="44">
        <v>1964</v>
      </c>
      <c r="L27" s="44">
        <v>1880</v>
      </c>
      <c r="M27" s="48">
        <v>0</v>
      </c>
      <c r="N27" s="48">
        <v>0</v>
      </c>
      <c r="O27" s="48">
        <v>0</v>
      </c>
      <c r="P27" s="48">
        <v>0</v>
      </c>
      <c r="Q27" s="2"/>
      <c r="R27" s="2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27"/>
      <c r="AE27" s="27"/>
      <c r="AF27" s="27"/>
      <c r="AG27" s="27"/>
      <c r="AH27" s="2"/>
      <c r="AI27" s="2"/>
      <c r="AJ27" s="2"/>
      <c r="AK27" s="2"/>
      <c r="AL27" s="2"/>
    </row>
    <row r="28" spans="1:38">
      <c r="A28" s="18" t="s">
        <v>40</v>
      </c>
      <c r="B28" s="46">
        <v>3186</v>
      </c>
      <c r="C28" s="46">
        <v>4023</v>
      </c>
      <c r="D28" s="46">
        <v>4370</v>
      </c>
      <c r="E28" s="46">
        <v>4522</v>
      </c>
      <c r="F28" s="46">
        <v>4970</v>
      </c>
      <c r="G28" s="46">
        <v>5556</v>
      </c>
      <c r="H28" s="46">
        <v>5653</v>
      </c>
      <c r="I28" s="46">
        <v>5510</v>
      </c>
      <c r="J28" s="46">
        <v>5662</v>
      </c>
      <c r="K28" s="46">
        <v>6078</v>
      </c>
      <c r="L28" s="46">
        <v>6143</v>
      </c>
      <c r="M28" s="50">
        <v>7614.6272673296662</v>
      </c>
      <c r="N28" s="50">
        <v>6625.9366288854262</v>
      </c>
      <c r="O28" s="50">
        <v>7319.7101011849591</v>
      </c>
      <c r="P28" s="50">
        <v>7725.7382187566745</v>
      </c>
      <c r="Q28" s="2"/>
      <c r="R28" s="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19"/>
      <c r="AE28" s="19"/>
      <c r="AF28" s="19"/>
      <c r="AG28" s="19"/>
      <c r="AH28" s="2"/>
      <c r="AI28" s="2"/>
      <c r="AJ28" s="2"/>
      <c r="AK28" s="2"/>
      <c r="AL28" s="2"/>
    </row>
    <row r="29" spans="1:38">
      <c r="A29" s="2" t="s">
        <v>41</v>
      </c>
      <c r="B29" s="44">
        <v>-300</v>
      </c>
      <c r="C29" s="44">
        <v>-297</v>
      </c>
      <c r="D29" s="44">
        <v>-289</v>
      </c>
      <c r="E29" s="44">
        <v>-319</v>
      </c>
      <c r="F29" s="44">
        <v>-453</v>
      </c>
      <c r="G29" s="44">
        <v>-430</v>
      </c>
      <c r="H29" s="44">
        <v>-400</v>
      </c>
      <c r="I29" s="44">
        <v>-384</v>
      </c>
      <c r="J29" s="44">
        <v>-324</v>
      </c>
      <c r="K29" s="44">
        <v>-465</v>
      </c>
      <c r="L29" s="44">
        <v>-480</v>
      </c>
      <c r="M29" s="48">
        <v>-807.99004307132645</v>
      </c>
      <c r="N29" s="48">
        <v>-506.31144059384883</v>
      </c>
      <c r="O29" s="48">
        <v>-700.85037451959465</v>
      </c>
      <c r="P29" s="48">
        <v>-612.48662852964515</v>
      </c>
      <c r="Q29" s="2"/>
      <c r="R29" s="97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2"/>
      <c r="AI29" s="2"/>
      <c r="AJ29" s="2"/>
      <c r="AK29" s="2"/>
      <c r="AL29" s="2"/>
    </row>
    <row r="30" spans="1:38">
      <c r="A30" s="2" t="s">
        <v>42</v>
      </c>
      <c r="B30" s="44">
        <v>-1050</v>
      </c>
      <c r="C30" s="44">
        <v>-2759</v>
      </c>
      <c r="D30" s="44">
        <v>-54</v>
      </c>
      <c r="E30" s="44">
        <v>-295</v>
      </c>
      <c r="F30" s="44">
        <v>627</v>
      </c>
      <c r="G30" s="44">
        <v>-1455</v>
      </c>
      <c r="H30" s="44">
        <v>-532</v>
      </c>
      <c r="I30" s="44">
        <v>-441</v>
      </c>
      <c r="J30" s="44">
        <v>323</v>
      </c>
      <c r="K30" s="44">
        <v>-699</v>
      </c>
      <c r="L30" s="44">
        <v>-1954</v>
      </c>
      <c r="M30" s="48">
        <v>-807.99004307132645</v>
      </c>
      <c r="N30" s="48">
        <v>-506.31144059384883</v>
      </c>
      <c r="O30" s="48">
        <v>-700.85037451959465</v>
      </c>
      <c r="P30" s="48">
        <v>-612.48662852964515</v>
      </c>
      <c r="Q30" s="2"/>
      <c r="R30" s="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19"/>
      <c r="AE30" s="19"/>
      <c r="AF30" s="19"/>
      <c r="AG30" s="19"/>
      <c r="AH30" s="2"/>
      <c r="AI30" s="2"/>
      <c r="AJ30" s="2"/>
      <c r="AK30" s="2"/>
      <c r="AL30" s="2"/>
    </row>
    <row r="31" spans="1:38">
      <c r="A31" s="2" t="s">
        <v>43</v>
      </c>
      <c r="B31" s="44">
        <v>-1499</v>
      </c>
      <c r="C31" s="44">
        <v>-1635</v>
      </c>
      <c r="D31" s="44">
        <v>-4169</v>
      </c>
      <c r="E31" s="44">
        <v>-3891</v>
      </c>
      <c r="F31" s="44">
        <v>-5476</v>
      </c>
      <c r="G31" s="44">
        <v>-4350</v>
      </c>
      <c r="H31" s="44">
        <v>-4375</v>
      </c>
      <c r="I31" s="44">
        <v>-5849</v>
      </c>
      <c r="J31" s="44">
        <v>-5767</v>
      </c>
      <c r="K31" s="44">
        <v>-5453</v>
      </c>
      <c r="L31" s="44">
        <v>-4611</v>
      </c>
      <c r="M31" s="48">
        <v>-5389.6822726589435</v>
      </c>
      <c r="N31" s="48">
        <v>-5433.0160508397676</v>
      </c>
      <c r="O31" s="48">
        <v>-5584.8855836013336</v>
      </c>
      <c r="P31" s="48">
        <v>-5939.75865449498</v>
      </c>
      <c r="Q31" s="2"/>
      <c r="R31" s="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19"/>
      <c r="AE31" s="19"/>
      <c r="AF31" s="19"/>
      <c r="AG31" s="19"/>
      <c r="AH31" s="2"/>
      <c r="AI31" s="2"/>
      <c r="AJ31" s="2"/>
      <c r="AK31" s="2"/>
      <c r="AL31" s="2"/>
    </row>
    <row r="32" spans="1:38">
      <c r="A32" s="18" t="s">
        <v>44</v>
      </c>
      <c r="B32" s="46">
        <v>637</v>
      </c>
      <c r="C32" s="46">
        <v>-371</v>
      </c>
      <c r="D32" s="46">
        <v>147</v>
      </c>
      <c r="E32" s="46">
        <v>336</v>
      </c>
      <c r="F32" s="46">
        <v>121</v>
      </c>
      <c r="G32" s="46">
        <v>-249</v>
      </c>
      <c r="H32" s="46">
        <v>746</v>
      </c>
      <c r="I32" s="46">
        <v>-780</v>
      </c>
      <c r="J32" s="46">
        <v>218</v>
      </c>
      <c r="K32" s="46">
        <v>-74</v>
      </c>
      <c r="L32" s="46">
        <v>-422</v>
      </c>
      <c r="M32" s="50">
        <v>1416.9549515993967</v>
      </c>
      <c r="N32" s="50">
        <v>686.60913745181006</v>
      </c>
      <c r="O32" s="50">
        <v>1033.9741430640306</v>
      </c>
      <c r="P32" s="50">
        <v>1173.4929357320498</v>
      </c>
      <c r="Q32" s="2"/>
      <c r="R32" s="2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20"/>
      <c r="AE32" s="20"/>
      <c r="AF32" s="20"/>
      <c r="AG32" s="20"/>
      <c r="AH32" s="2"/>
      <c r="AI32" s="2"/>
      <c r="AJ32" s="2"/>
      <c r="AK32" s="2"/>
      <c r="AL32" s="2"/>
    </row>
    <row r="33" spans="1:38">
      <c r="A33" s="2" t="s">
        <v>45</v>
      </c>
      <c r="B33" s="44">
        <v>15</v>
      </c>
      <c r="C33" s="44">
        <v>-24</v>
      </c>
      <c r="D33" s="44">
        <v>49</v>
      </c>
      <c r="E33" s="44">
        <v>-42</v>
      </c>
      <c r="F33" s="44">
        <v>-20</v>
      </c>
      <c r="G33" s="44">
        <v>37</v>
      </c>
      <c r="H33" s="44">
        <v>-30</v>
      </c>
      <c r="I33" s="44">
        <v>-4</v>
      </c>
      <c r="J33" s="44">
        <v>-3</v>
      </c>
      <c r="K33" s="44">
        <v>-31</v>
      </c>
      <c r="L33" s="44">
        <v>124</v>
      </c>
      <c r="M33" s="48">
        <v>0</v>
      </c>
      <c r="N33" s="48">
        <v>0</v>
      </c>
      <c r="O33" s="48">
        <v>0</v>
      </c>
      <c r="P33" s="48">
        <v>0</v>
      </c>
      <c r="Q33" s="2"/>
      <c r="R33" s="2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20"/>
      <c r="AE33" s="20"/>
      <c r="AF33" s="20"/>
      <c r="AG33" s="20"/>
      <c r="AH33" s="2"/>
      <c r="AI33" s="2"/>
      <c r="AJ33" s="2"/>
      <c r="AK33" s="2"/>
      <c r="AL33" s="2"/>
    </row>
    <row r="34" spans="1:38">
      <c r="A34" s="2" t="s">
        <v>46</v>
      </c>
      <c r="B34" s="44">
        <v>298</v>
      </c>
      <c r="C34" s="44">
        <v>950</v>
      </c>
      <c r="D34" s="44">
        <v>555</v>
      </c>
      <c r="E34" s="44">
        <v>751</v>
      </c>
      <c r="F34" s="44">
        <v>1045</v>
      </c>
      <c r="G34" s="44">
        <v>1146</v>
      </c>
      <c r="H34" s="44">
        <v>934</v>
      </c>
      <c r="I34" s="44">
        <v>1650</v>
      </c>
      <c r="J34" s="44">
        <v>866</v>
      </c>
      <c r="K34" s="44">
        <v>1081</v>
      </c>
      <c r="L34" s="44">
        <v>976</v>
      </c>
      <c r="M34" s="48">
        <v>678</v>
      </c>
      <c r="N34" s="48">
        <v>2094.9549515993967</v>
      </c>
      <c r="O34" s="48">
        <v>2781.5640890512068</v>
      </c>
      <c r="P34" s="48">
        <v>3815.5382321152374</v>
      </c>
      <c r="Q34" s="2"/>
      <c r="R34" s="2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28"/>
      <c r="AE34" s="28"/>
      <c r="AF34" s="28"/>
      <c r="AG34" s="28"/>
      <c r="AH34" s="2"/>
      <c r="AI34" s="2"/>
      <c r="AJ34" s="2"/>
      <c r="AK34" s="2"/>
      <c r="AL34" s="2"/>
    </row>
    <row r="35" spans="1:38">
      <c r="A35" s="2" t="s">
        <v>47</v>
      </c>
      <c r="B35" s="44">
        <v>950</v>
      </c>
      <c r="C35" s="44">
        <v>555</v>
      </c>
      <c r="D35" s="44">
        <v>751</v>
      </c>
      <c r="E35" s="44">
        <v>1045</v>
      </c>
      <c r="F35" s="44">
        <v>1146</v>
      </c>
      <c r="G35" s="44">
        <v>934</v>
      </c>
      <c r="H35" s="44">
        <v>1650</v>
      </c>
      <c r="I35" s="44">
        <v>866</v>
      </c>
      <c r="J35" s="44">
        <v>1081</v>
      </c>
      <c r="K35" s="44">
        <v>976</v>
      </c>
      <c r="L35" s="44">
        <v>678</v>
      </c>
      <c r="M35" s="48">
        <v>2094.9549515993967</v>
      </c>
      <c r="N35" s="48">
        <v>2781.5640890512068</v>
      </c>
      <c r="O35" s="48">
        <v>3815.5382321152374</v>
      </c>
      <c r="P35" s="48">
        <v>4989.0311678472872</v>
      </c>
      <c r="Q35" s="2"/>
      <c r="R35" s="2"/>
      <c r="S35" s="29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4"/>
      <c r="AE35" s="104"/>
      <c r="AF35" s="104"/>
      <c r="AG35" s="104"/>
      <c r="AH35" s="2"/>
      <c r="AI35" s="2"/>
      <c r="AJ35" s="2"/>
      <c r="AK35" s="2"/>
      <c r="AL35" s="2"/>
    </row>
    <row r="36" spans="1:38">
      <c r="A36" s="18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56"/>
      <c r="N36" s="56"/>
      <c r="O36" s="56"/>
      <c r="P36" s="56"/>
      <c r="Q36" s="2"/>
      <c r="R36" s="97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2"/>
      <c r="AI36" s="2"/>
      <c r="AJ36" s="2"/>
      <c r="AK36" s="2"/>
      <c r="AL36" s="2"/>
    </row>
    <row r="37" spans="1:38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54"/>
      <c r="N37" s="54"/>
      <c r="O37" s="54"/>
      <c r="P37" s="54"/>
      <c r="Q37" s="2"/>
      <c r="R37" s="2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30"/>
      <c r="AE37" s="30"/>
      <c r="AF37" s="30"/>
      <c r="AG37" s="30"/>
      <c r="AH37" s="2"/>
      <c r="AI37" s="2"/>
      <c r="AJ37" s="2"/>
      <c r="AK37" s="2"/>
      <c r="AL37" s="2"/>
    </row>
    <row r="38" spans="1:38">
      <c r="A38" s="18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56"/>
      <c r="N38" s="56"/>
      <c r="O38" s="56"/>
      <c r="P38" s="56"/>
      <c r="Q38" s="2"/>
      <c r="R38" s="2"/>
      <c r="S38" s="4">
        <f t="shared" ref="S38:AG38" si="18">IF(S37&gt;0,S37*B21,0)</f>
        <v>0</v>
      </c>
      <c r="T38" s="4">
        <f t="shared" si="18"/>
        <v>0</v>
      </c>
      <c r="U38" s="4">
        <f t="shared" si="18"/>
        <v>0</v>
      </c>
      <c r="V38" s="4">
        <f t="shared" si="18"/>
        <v>0</v>
      </c>
      <c r="W38" s="4">
        <f t="shared" si="18"/>
        <v>0</v>
      </c>
      <c r="X38" s="4">
        <f t="shared" si="18"/>
        <v>0</v>
      </c>
      <c r="Y38" s="4">
        <f t="shared" si="18"/>
        <v>0</v>
      </c>
      <c r="Z38" s="4">
        <f t="shared" si="18"/>
        <v>0</v>
      </c>
      <c r="AA38" s="4">
        <f t="shared" si="18"/>
        <v>0</v>
      </c>
      <c r="AB38" s="4">
        <f t="shared" si="18"/>
        <v>0</v>
      </c>
      <c r="AC38" s="4">
        <f t="shared" si="18"/>
        <v>0</v>
      </c>
      <c r="AD38" s="19">
        <f t="shared" si="18"/>
        <v>0</v>
      </c>
      <c r="AE38" s="19">
        <f t="shared" si="18"/>
        <v>0</v>
      </c>
      <c r="AF38" s="19">
        <f t="shared" si="18"/>
        <v>0</v>
      </c>
      <c r="AG38" s="19">
        <f t="shared" si="18"/>
        <v>0</v>
      </c>
      <c r="AH38" s="4"/>
      <c r="AI38" s="2"/>
      <c r="AJ38" s="2"/>
      <c r="AK38" s="2"/>
      <c r="AL38" s="2"/>
    </row>
    <row r="39" spans="1:38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54"/>
      <c r="N39" s="54"/>
      <c r="O39" s="54"/>
      <c r="P39" s="54"/>
      <c r="Q39" s="2"/>
      <c r="R39" s="2"/>
      <c r="S39" s="4">
        <f t="shared" ref="S39:AG39" si="19">IF(S37&gt;0,S38+B55-B46,0)</f>
        <v>0</v>
      </c>
      <c r="T39" s="4">
        <f t="shared" si="19"/>
        <v>0</v>
      </c>
      <c r="U39" s="4">
        <f t="shared" si="19"/>
        <v>0</v>
      </c>
      <c r="V39" s="4">
        <f t="shared" si="19"/>
        <v>0</v>
      </c>
      <c r="W39" s="4">
        <f t="shared" si="19"/>
        <v>0</v>
      </c>
      <c r="X39" s="4">
        <f t="shared" si="19"/>
        <v>0</v>
      </c>
      <c r="Y39" s="4">
        <f t="shared" si="19"/>
        <v>0</v>
      </c>
      <c r="Z39" s="4">
        <f t="shared" si="19"/>
        <v>0</v>
      </c>
      <c r="AA39" s="4">
        <f t="shared" si="19"/>
        <v>0</v>
      </c>
      <c r="AB39" s="4">
        <f t="shared" si="19"/>
        <v>0</v>
      </c>
      <c r="AC39" s="4">
        <f t="shared" si="19"/>
        <v>0</v>
      </c>
      <c r="AD39" s="19">
        <f t="shared" si="19"/>
        <v>0</v>
      </c>
      <c r="AE39" s="19">
        <f t="shared" si="19"/>
        <v>0</v>
      </c>
      <c r="AF39" s="19">
        <f t="shared" si="19"/>
        <v>0</v>
      </c>
      <c r="AG39" s="19">
        <f t="shared" si="19"/>
        <v>0</v>
      </c>
      <c r="AH39" s="19"/>
      <c r="AI39" s="2"/>
      <c r="AJ39" s="2"/>
      <c r="AK39" s="2"/>
      <c r="AL39" s="2"/>
    </row>
    <row r="40" spans="1:38">
      <c r="A40" s="18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56"/>
      <c r="N40" s="56"/>
      <c r="O40" s="56"/>
      <c r="P40" s="56"/>
      <c r="Q40" s="2"/>
      <c r="R40" s="2"/>
      <c r="S40" s="16">
        <f t="shared" ref="S40:AG40" si="20">IF(S37&gt;0,IFERROR(S37/B19,0),0)</f>
        <v>0</v>
      </c>
      <c r="T40" s="16">
        <f t="shared" si="20"/>
        <v>0</v>
      </c>
      <c r="U40" s="16">
        <f t="shared" si="20"/>
        <v>0</v>
      </c>
      <c r="V40" s="16">
        <f t="shared" si="20"/>
        <v>0</v>
      </c>
      <c r="W40" s="16">
        <f t="shared" si="20"/>
        <v>0</v>
      </c>
      <c r="X40" s="16">
        <f t="shared" si="20"/>
        <v>0</v>
      </c>
      <c r="Y40" s="16">
        <f t="shared" si="20"/>
        <v>0</v>
      </c>
      <c r="Z40" s="16">
        <f t="shared" si="20"/>
        <v>0</v>
      </c>
      <c r="AA40" s="16">
        <f t="shared" si="20"/>
        <v>0</v>
      </c>
      <c r="AB40" s="16">
        <f t="shared" si="20"/>
        <v>0</v>
      </c>
      <c r="AC40" s="16">
        <f t="shared" si="20"/>
        <v>0</v>
      </c>
      <c r="AD40" s="27">
        <f t="shared" si="20"/>
        <v>0</v>
      </c>
      <c r="AE40" s="27">
        <f t="shared" si="20"/>
        <v>0</v>
      </c>
      <c r="AF40" s="27">
        <f t="shared" si="20"/>
        <v>0</v>
      </c>
      <c r="AG40" s="27">
        <f t="shared" si="20"/>
        <v>0</v>
      </c>
      <c r="AH40" s="2"/>
      <c r="AI40" s="2"/>
      <c r="AJ40" s="2"/>
      <c r="AK40" s="2"/>
      <c r="AL40" s="2"/>
    </row>
    <row r="41" spans="1:38">
      <c r="A41" s="18"/>
      <c r="B41" s="21">
        <f t="shared" ref="B41:P41" si="21">B28+B30</f>
        <v>2136</v>
      </c>
      <c r="C41" s="21">
        <f t="shared" si="21"/>
        <v>1264</v>
      </c>
      <c r="D41" s="21">
        <f t="shared" si="21"/>
        <v>4316</v>
      </c>
      <c r="E41" s="21">
        <f t="shared" si="21"/>
        <v>4227</v>
      </c>
      <c r="F41" s="21">
        <f t="shared" si="21"/>
        <v>5597</v>
      </c>
      <c r="G41" s="21">
        <f t="shared" si="21"/>
        <v>4101</v>
      </c>
      <c r="H41" s="21">
        <f t="shared" si="21"/>
        <v>5121</v>
      </c>
      <c r="I41" s="21">
        <f t="shared" si="21"/>
        <v>5069</v>
      </c>
      <c r="J41" s="21">
        <f t="shared" si="21"/>
        <v>5985</v>
      </c>
      <c r="K41" s="21">
        <f t="shared" si="21"/>
        <v>5379</v>
      </c>
      <c r="L41" s="21">
        <f t="shared" si="21"/>
        <v>4189</v>
      </c>
      <c r="M41" s="56">
        <f t="shared" si="21"/>
        <v>6806.6372242583402</v>
      </c>
      <c r="N41" s="56">
        <f t="shared" si="21"/>
        <v>6119.6251882915776</v>
      </c>
      <c r="O41" s="56">
        <f t="shared" si="21"/>
        <v>6618.8597266653642</v>
      </c>
      <c r="P41" s="56">
        <f t="shared" si="21"/>
        <v>7113.2515902270297</v>
      </c>
      <c r="Q41" s="2"/>
      <c r="R41" s="2"/>
      <c r="S41" s="16">
        <f t="shared" ref="S41:AG41" si="22">IF(S37&gt;0,IFERROR(S39/B9,0),0)</f>
        <v>0</v>
      </c>
      <c r="T41" s="16">
        <f t="shared" si="22"/>
        <v>0</v>
      </c>
      <c r="U41" s="16">
        <f t="shared" si="22"/>
        <v>0</v>
      </c>
      <c r="V41" s="16">
        <f t="shared" si="22"/>
        <v>0</v>
      </c>
      <c r="W41" s="16">
        <f t="shared" si="22"/>
        <v>0</v>
      </c>
      <c r="X41" s="16">
        <f t="shared" si="22"/>
        <v>0</v>
      </c>
      <c r="Y41" s="16">
        <f t="shared" si="22"/>
        <v>0</v>
      </c>
      <c r="Z41" s="16">
        <f t="shared" si="22"/>
        <v>0</v>
      </c>
      <c r="AA41" s="16">
        <f t="shared" si="22"/>
        <v>0</v>
      </c>
      <c r="AB41" s="16">
        <f t="shared" si="22"/>
        <v>0</v>
      </c>
      <c r="AC41" s="16">
        <f t="shared" si="22"/>
        <v>0</v>
      </c>
      <c r="AD41" s="27">
        <f t="shared" si="22"/>
        <v>0</v>
      </c>
      <c r="AE41" s="27">
        <f t="shared" si="22"/>
        <v>0</v>
      </c>
      <c r="AF41" s="27">
        <f t="shared" si="22"/>
        <v>0</v>
      </c>
      <c r="AG41" s="27">
        <f t="shared" si="22"/>
        <v>0</v>
      </c>
      <c r="AH41" s="2"/>
      <c r="AI41" s="2"/>
      <c r="AJ41" s="2"/>
      <c r="AK41" s="2"/>
      <c r="AL41" s="2"/>
    </row>
    <row r="42" spans="1:38">
      <c r="A42" s="2"/>
      <c r="B42" s="8">
        <f t="shared" ref="B42:P42" si="23">IFERROR(B41/B5,0)</f>
        <v>0.12910322818512049</v>
      </c>
      <c r="C42" s="8">
        <f t="shared" si="23"/>
        <v>7.1916249431042328E-2</v>
      </c>
      <c r="D42" s="8">
        <f t="shared" si="23"/>
        <v>0.22609880035622609</v>
      </c>
      <c r="E42" s="8">
        <f t="shared" si="23"/>
        <v>0.20212308133696744</v>
      </c>
      <c r="F42" s="8">
        <f t="shared" si="23"/>
        <v>0.25405110979982753</v>
      </c>
      <c r="G42" s="8">
        <f t="shared" si="23"/>
        <v>0.18494633354379003</v>
      </c>
      <c r="H42" s="8">
        <f t="shared" si="23"/>
        <v>0.19920644182518379</v>
      </c>
      <c r="I42" s="8">
        <f t="shared" si="23"/>
        <v>0.18150893400651699</v>
      </c>
      <c r="J42" s="8">
        <f t="shared" si="23"/>
        <v>0.20581155433287482</v>
      </c>
      <c r="K42" s="8">
        <f t="shared" si="23"/>
        <v>0.17823652208489346</v>
      </c>
      <c r="L42" s="8">
        <f t="shared" si="23"/>
        <v>0.13955425259019888</v>
      </c>
      <c r="M42" s="49">
        <f t="shared" si="23"/>
        <v>0.22009562485283288</v>
      </c>
      <c r="N42" s="49">
        <f t="shared" si="23"/>
        <v>0.19026998734777781</v>
      </c>
      <c r="O42" s="49">
        <f t="shared" si="23"/>
        <v>0.19599245093806061</v>
      </c>
      <c r="P42" s="49">
        <f t="shared" si="23"/>
        <v>0.20060189776324189</v>
      </c>
      <c r="Q42" s="2"/>
      <c r="R42" s="2"/>
      <c r="S42" s="16">
        <f t="shared" ref="S42:AG42" si="24">IF(S37&gt;0,IFERROR(S38/B60,0),0)</f>
        <v>0</v>
      </c>
      <c r="T42" s="16">
        <f t="shared" si="24"/>
        <v>0</v>
      </c>
      <c r="U42" s="16">
        <f t="shared" si="24"/>
        <v>0</v>
      </c>
      <c r="V42" s="16">
        <f t="shared" si="24"/>
        <v>0</v>
      </c>
      <c r="W42" s="16">
        <f t="shared" si="24"/>
        <v>0</v>
      </c>
      <c r="X42" s="16">
        <f t="shared" si="24"/>
        <v>0</v>
      </c>
      <c r="Y42" s="16">
        <f t="shared" si="24"/>
        <v>0</v>
      </c>
      <c r="Z42" s="16">
        <f t="shared" si="24"/>
        <v>0</v>
      </c>
      <c r="AA42" s="16">
        <f t="shared" si="24"/>
        <v>0</v>
      </c>
      <c r="AB42" s="16">
        <f t="shared" si="24"/>
        <v>0</v>
      </c>
      <c r="AC42" s="16">
        <f t="shared" si="24"/>
        <v>0</v>
      </c>
      <c r="AD42" s="27">
        <f t="shared" si="24"/>
        <v>0</v>
      </c>
      <c r="AE42" s="27">
        <f t="shared" si="24"/>
        <v>0</v>
      </c>
      <c r="AF42" s="27">
        <f t="shared" si="24"/>
        <v>0</v>
      </c>
      <c r="AG42" s="27">
        <f t="shared" si="24"/>
        <v>0</v>
      </c>
      <c r="AH42" s="2"/>
      <c r="AI42" s="2"/>
      <c r="AJ42" s="2"/>
      <c r="AK42" s="2"/>
      <c r="AL42" s="2"/>
    </row>
    <row r="43" spans="1:38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54"/>
      <c r="N43" s="54"/>
      <c r="O43" s="54"/>
      <c r="P43" s="54"/>
      <c r="Q43" s="2"/>
      <c r="R43" s="2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30"/>
      <c r="AE43" s="30"/>
      <c r="AF43" s="30"/>
      <c r="AG43" s="30"/>
      <c r="AH43" s="2"/>
      <c r="AI43" s="2"/>
      <c r="AJ43" s="2"/>
      <c r="AK43" s="2"/>
      <c r="AL43" s="2"/>
    </row>
    <row r="44" spans="1:38">
      <c r="A44" s="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54"/>
      <c r="N44" s="54"/>
      <c r="O44" s="54"/>
      <c r="P44" s="54"/>
      <c r="Q44" s="2"/>
      <c r="R44" s="10"/>
      <c r="S44" s="31">
        <f t="shared" ref="S44:AG44" si="25">IF(S37&gt;0,IFERROR(S43/S37,0),0)</f>
        <v>0</v>
      </c>
      <c r="T44" s="31">
        <f t="shared" si="25"/>
        <v>0</v>
      </c>
      <c r="U44" s="31">
        <f t="shared" si="25"/>
        <v>0</v>
      </c>
      <c r="V44" s="31">
        <f t="shared" si="25"/>
        <v>0</v>
      </c>
      <c r="W44" s="31">
        <f t="shared" si="25"/>
        <v>0</v>
      </c>
      <c r="X44" s="31">
        <f t="shared" si="25"/>
        <v>0</v>
      </c>
      <c r="Y44" s="31">
        <f t="shared" si="25"/>
        <v>0</v>
      </c>
      <c r="Z44" s="31">
        <f t="shared" si="25"/>
        <v>0</v>
      </c>
      <c r="AA44" s="31">
        <f t="shared" si="25"/>
        <v>0</v>
      </c>
      <c r="AB44" s="31">
        <f t="shared" si="25"/>
        <v>0</v>
      </c>
      <c r="AC44" s="31">
        <f t="shared" si="25"/>
        <v>0</v>
      </c>
      <c r="AD44" s="32">
        <f t="shared" si="25"/>
        <v>0</v>
      </c>
      <c r="AE44" s="32">
        <f t="shared" si="25"/>
        <v>0</v>
      </c>
      <c r="AF44" s="32">
        <f t="shared" si="25"/>
        <v>0</v>
      </c>
      <c r="AG44" s="32">
        <f t="shared" si="25"/>
        <v>0</v>
      </c>
      <c r="AH44" s="2"/>
      <c r="AI44" s="2"/>
      <c r="AJ44" s="2"/>
      <c r="AK44" s="2"/>
      <c r="AL44" s="2"/>
    </row>
    <row r="45" spans="1:38">
      <c r="A45" s="43" t="s">
        <v>48</v>
      </c>
      <c r="B45" s="47" t="s">
        <v>2</v>
      </c>
      <c r="C45" s="47" t="s">
        <v>3</v>
      </c>
      <c r="D45" s="47" t="s">
        <v>4</v>
      </c>
      <c r="E45" s="47" t="s">
        <v>5</v>
      </c>
      <c r="F45" s="47" t="s">
        <v>6</v>
      </c>
      <c r="G45" s="47" t="s">
        <v>7</v>
      </c>
      <c r="H45" s="47" t="s">
        <v>8</v>
      </c>
      <c r="I45" s="47" t="s">
        <v>9</v>
      </c>
      <c r="J45" s="47" t="s">
        <v>10</v>
      </c>
      <c r="K45" s="47" t="s">
        <v>11</v>
      </c>
      <c r="L45" s="47" t="s">
        <v>12</v>
      </c>
      <c r="M45" s="55" t="s">
        <v>13</v>
      </c>
      <c r="N45" s="55" t="s">
        <v>14</v>
      </c>
      <c r="O45" s="55" t="s">
        <v>15</v>
      </c>
      <c r="P45" s="55" t="s">
        <v>16</v>
      </c>
      <c r="Q45" s="2"/>
      <c r="R45" s="42" t="s">
        <v>49</v>
      </c>
      <c r="S45" s="64" t="s">
        <v>2</v>
      </c>
      <c r="T45" s="64" t="s">
        <v>3</v>
      </c>
      <c r="U45" s="64" t="s">
        <v>4</v>
      </c>
      <c r="V45" s="64" t="s">
        <v>5</v>
      </c>
      <c r="W45" s="64" t="s">
        <v>6</v>
      </c>
      <c r="X45" s="64" t="s">
        <v>7</v>
      </c>
      <c r="Y45" s="64" t="s">
        <v>8</v>
      </c>
      <c r="Z45" s="64" t="s">
        <v>9</v>
      </c>
      <c r="AA45" s="64" t="s">
        <v>10</v>
      </c>
      <c r="AB45" s="64" t="s">
        <v>11</v>
      </c>
      <c r="AC45" s="64" t="s">
        <v>12</v>
      </c>
      <c r="AD45" s="64" t="s">
        <v>13</v>
      </c>
      <c r="AE45" s="64" t="s">
        <v>14</v>
      </c>
      <c r="AF45" s="64" t="s">
        <v>15</v>
      </c>
      <c r="AG45" s="64" t="s">
        <v>16</v>
      </c>
      <c r="AH45" s="2"/>
      <c r="AI45" s="2"/>
      <c r="AJ45" s="2"/>
      <c r="AK45" s="2"/>
      <c r="AL45" s="2"/>
    </row>
    <row r="46" spans="1:38">
      <c r="A46" s="2" t="s">
        <v>50</v>
      </c>
      <c r="B46" s="44">
        <v>950</v>
      </c>
      <c r="C46" s="44">
        <v>555</v>
      </c>
      <c r="D46" s="44">
        <v>751</v>
      </c>
      <c r="E46" s="44">
        <v>1045</v>
      </c>
      <c r="F46" s="44">
        <v>1146</v>
      </c>
      <c r="G46" s="44">
        <v>934</v>
      </c>
      <c r="H46" s="44">
        <v>1650</v>
      </c>
      <c r="I46" s="44">
        <v>866</v>
      </c>
      <c r="J46" s="44">
        <v>1081</v>
      </c>
      <c r="K46" s="44">
        <v>976</v>
      </c>
      <c r="L46" s="44">
        <v>678</v>
      </c>
      <c r="M46" s="48">
        <v>2094.9549515993967</v>
      </c>
      <c r="N46" s="48">
        <v>2781.5640890512068</v>
      </c>
      <c r="O46" s="48">
        <v>3815.5382321152374</v>
      </c>
      <c r="P46" s="48">
        <v>4989.0311678472872</v>
      </c>
      <c r="Q46" s="2"/>
      <c r="R46" s="97" t="s">
        <v>51</v>
      </c>
      <c r="S46" s="101">
        <f>'Revenue Drivers'!B20</f>
        <v>16544.900000000001</v>
      </c>
      <c r="T46" s="101">
        <f>'Revenue Drivers'!C20</f>
        <v>17576</v>
      </c>
      <c r="U46" s="101">
        <f>'Revenue Drivers'!D20</f>
        <v>19089</v>
      </c>
      <c r="V46" s="101">
        <f>'Revenue Drivers'!E20</f>
        <v>20913</v>
      </c>
      <c r="W46" s="101">
        <f>'Revenue Drivers'!F20</f>
        <v>22031</v>
      </c>
      <c r="X46" s="101">
        <f>'Revenue Drivers'!G20</f>
        <v>22174</v>
      </c>
      <c r="Y46" s="101">
        <f>'Revenue Drivers'!H20</f>
        <v>25707</v>
      </c>
      <c r="Z46" s="101">
        <f>'Revenue Drivers'!I20</f>
        <v>27927</v>
      </c>
      <c r="AA46" s="101">
        <f>'Revenue Drivers'!J20</f>
        <v>29080</v>
      </c>
      <c r="AB46" s="101">
        <f>'Revenue Drivers'!K20</f>
        <v>30179</v>
      </c>
      <c r="AC46" s="101">
        <f>'Revenue Drivers'!L20</f>
        <v>28281.316527233601</v>
      </c>
      <c r="AD46" s="101">
        <f>'Revenue Drivers'!M20</f>
        <v>28026.469543040002</v>
      </c>
      <c r="AE46" s="102">
        <f>'Revenue Drivers'!N20</f>
        <v>28828.600000761602</v>
      </c>
      <c r="AF46" s="102">
        <f>'Revenue Drivers'!O20</f>
        <v>30036.632454599687</v>
      </c>
      <c r="AG46" s="102">
        <f>'Revenue Drivers'!P20</f>
        <v>31351.746040369671</v>
      </c>
      <c r="AH46" s="2"/>
      <c r="AI46" s="2"/>
      <c r="AJ46" s="2"/>
      <c r="AK46" s="2"/>
      <c r="AL46" s="2"/>
    </row>
    <row r="47" spans="1:38">
      <c r="A47" s="2" t="s">
        <v>52</v>
      </c>
      <c r="B47" s="44">
        <v>3634</v>
      </c>
      <c r="C47" s="44">
        <v>3488</v>
      </c>
      <c r="D47" s="44">
        <v>3835</v>
      </c>
      <c r="E47" s="44">
        <v>3955</v>
      </c>
      <c r="F47" s="44">
        <v>4047</v>
      </c>
      <c r="G47" s="44">
        <v>4098</v>
      </c>
      <c r="H47" s="44">
        <v>4501</v>
      </c>
      <c r="I47" s="44">
        <v>4992</v>
      </c>
      <c r="J47" s="44">
        <v>5328</v>
      </c>
      <c r="K47" s="44">
        <v>5869</v>
      </c>
      <c r="L47" s="44">
        <v>6092</v>
      </c>
      <c r="M47" s="48">
        <v>6267.6527090342415</v>
      </c>
      <c r="N47" s="48">
        <v>6518.3588173956105</v>
      </c>
      <c r="O47" s="48">
        <v>6844.2767582653923</v>
      </c>
      <c r="P47" s="48">
        <v>7186.4905961786626</v>
      </c>
      <c r="Q47" s="2"/>
      <c r="R47" s="2" t="s">
        <v>53</v>
      </c>
      <c r="S47" s="44">
        <f>'Revenue Drivers'!B21</f>
        <v>0</v>
      </c>
      <c r="T47" s="44">
        <f>'Revenue Drivers'!C21</f>
        <v>0</v>
      </c>
      <c r="U47" s="44">
        <f>'Revenue Drivers'!D21</f>
        <v>0</v>
      </c>
      <c r="V47" s="44">
        <f>'Revenue Drivers'!E21</f>
        <v>0</v>
      </c>
      <c r="W47" s="44">
        <f>'Revenue Drivers'!F21</f>
        <v>0</v>
      </c>
      <c r="X47" s="44">
        <f>'Revenue Drivers'!G21</f>
        <v>0</v>
      </c>
      <c r="Y47" s="44">
        <f>'Revenue Drivers'!H21</f>
        <v>0</v>
      </c>
      <c r="Z47" s="44">
        <f>'Revenue Drivers'!I21</f>
        <v>0</v>
      </c>
      <c r="AA47" s="44">
        <f>'Revenue Drivers'!J21</f>
        <v>0</v>
      </c>
      <c r="AB47" s="44">
        <f>'Revenue Drivers'!K21</f>
        <v>0</v>
      </c>
      <c r="AC47" s="44">
        <f>'Revenue Drivers'!L21</f>
        <v>1735.6834727664</v>
      </c>
      <c r="AD47" s="45">
        <f>'Revenue Drivers'!M21</f>
        <v>2899.3484000000003</v>
      </c>
      <c r="AE47" s="48">
        <f>'Revenue Drivers'!N21</f>
        <v>3334.2506600000002</v>
      </c>
      <c r="AF47" s="48">
        <f>'Revenue Drivers'!O21</f>
        <v>3734.3607392000004</v>
      </c>
      <c r="AG47" s="48">
        <f>'Revenue Drivers'!P21</f>
        <v>4107.7968131200005</v>
      </c>
      <c r="AH47" s="2"/>
      <c r="AI47" s="2"/>
      <c r="AJ47" s="2"/>
      <c r="AK47" s="2"/>
      <c r="AL47" s="2"/>
    </row>
    <row r="48" spans="1:38">
      <c r="A48" s="2" t="s">
        <v>54</v>
      </c>
      <c r="B48" s="44">
        <v>331</v>
      </c>
      <c r="C48" s="44">
        <v>354</v>
      </c>
      <c r="D48" s="44">
        <v>402</v>
      </c>
      <c r="E48" s="44">
        <v>877</v>
      </c>
      <c r="F48" s="44">
        <v>1090</v>
      </c>
      <c r="G48" s="44">
        <v>1532</v>
      </c>
      <c r="H48" s="44">
        <v>1344</v>
      </c>
      <c r="I48" s="44">
        <v>1185</v>
      </c>
      <c r="J48" s="44">
        <v>1475</v>
      </c>
      <c r="K48" s="44">
        <v>1730</v>
      </c>
      <c r="L48" s="44">
        <v>1747</v>
      </c>
      <c r="M48" s="48">
        <v>1051.1168082974878</v>
      </c>
      <c r="N48" s="48">
        <v>1093.1614806293876</v>
      </c>
      <c r="O48" s="48">
        <v>1147.819554660857</v>
      </c>
      <c r="P48" s="48">
        <v>1205.2105323938997</v>
      </c>
      <c r="Q48" s="2"/>
      <c r="R48" s="2" t="s">
        <v>55</v>
      </c>
      <c r="S48" s="44">
        <f t="shared" ref="S48:AG48" si="26">SUM(S46:S47)</f>
        <v>16544.900000000001</v>
      </c>
      <c r="T48" s="44">
        <f t="shared" si="26"/>
        <v>17576</v>
      </c>
      <c r="U48" s="44">
        <f t="shared" si="26"/>
        <v>19089</v>
      </c>
      <c r="V48" s="44">
        <f t="shared" si="26"/>
        <v>20913</v>
      </c>
      <c r="W48" s="44">
        <f t="shared" si="26"/>
        <v>22031</v>
      </c>
      <c r="X48" s="44">
        <f t="shared" si="26"/>
        <v>22174</v>
      </c>
      <c r="Y48" s="44">
        <f t="shared" si="26"/>
        <v>25707</v>
      </c>
      <c r="Z48" s="44">
        <f t="shared" si="26"/>
        <v>27927</v>
      </c>
      <c r="AA48" s="44">
        <f t="shared" si="26"/>
        <v>29080</v>
      </c>
      <c r="AB48" s="44">
        <f t="shared" si="26"/>
        <v>30179</v>
      </c>
      <c r="AC48" s="44">
        <f t="shared" si="26"/>
        <v>30017</v>
      </c>
      <c r="AD48" s="45">
        <f t="shared" si="26"/>
        <v>30925.817943040001</v>
      </c>
      <c r="AE48" s="48">
        <f t="shared" si="26"/>
        <v>32162.850660761604</v>
      </c>
      <c r="AF48" s="48">
        <f t="shared" si="26"/>
        <v>33770.993193799688</v>
      </c>
      <c r="AG48" s="48">
        <f t="shared" si="26"/>
        <v>35459.542853489671</v>
      </c>
      <c r="AH48" s="2"/>
      <c r="AI48" s="2"/>
      <c r="AJ48" s="2"/>
      <c r="AK48" s="2"/>
      <c r="AL48" s="2"/>
    </row>
    <row r="49" spans="1:38">
      <c r="A49" s="18" t="s">
        <v>56</v>
      </c>
      <c r="B49" s="46">
        <v>9543</v>
      </c>
      <c r="C49" s="46">
        <v>12386</v>
      </c>
      <c r="D49" s="46">
        <v>12489</v>
      </c>
      <c r="E49" s="46">
        <v>13330</v>
      </c>
      <c r="F49" s="46">
        <v>11963</v>
      </c>
      <c r="G49" s="46">
        <v>13526</v>
      </c>
      <c r="H49" s="46">
        <v>14309</v>
      </c>
      <c r="I49" s="46">
        <v>13411</v>
      </c>
      <c r="J49" s="46">
        <v>13550</v>
      </c>
      <c r="K49" s="46">
        <v>14394</v>
      </c>
      <c r="L49" s="46">
        <v>14341</v>
      </c>
      <c r="M49" s="50">
        <v>16212.606523466578</v>
      </c>
      <c r="N49" s="50">
        <v>16918.691967762101</v>
      </c>
      <c r="O49" s="50">
        <v>17378.308928695216</v>
      </c>
      <c r="P49" s="50">
        <v>18530.994461172893</v>
      </c>
      <c r="Q49" s="2"/>
      <c r="R49" s="18" t="s">
        <v>57</v>
      </c>
      <c r="S49" s="23">
        <f t="shared" ref="S49:AG49" si="27">IFERROR(S47/S48,0)</f>
        <v>0</v>
      </c>
      <c r="T49" s="23">
        <f t="shared" si="27"/>
        <v>0</v>
      </c>
      <c r="U49" s="23">
        <f t="shared" si="27"/>
        <v>0</v>
      </c>
      <c r="V49" s="23">
        <f t="shared" si="27"/>
        <v>0</v>
      </c>
      <c r="W49" s="23">
        <f t="shared" si="27"/>
        <v>0</v>
      </c>
      <c r="X49" s="23">
        <f t="shared" si="27"/>
        <v>0</v>
      </c>
      <c r="Y49" s="23">
        <f t="shared" si="27"/>
        <v>0</v>
      </c>
      <c r="Z49" s="23">
        <f t="shared" si="27"/>
        <v>0</v>
      </c>
      <c r="AA49" s="23">
        <f t="shared" si="27"/>
        <v>0</v>
      </c>
      <c r="AB49" s="23">
        <f t="shared" si="27"/>
        <v>0</v>
      </c>
      <c r="AC49" s="23">
        <f t="shared" si="27"/>
        <v>5.7823349194336543E-2</v>
      </c>
      <c r="AD49" s="24">
        <f t="shared" si="27"/>
        <v>9.3751712738531209E-2</v>
      </c>
      <c r="AE49" s="51">
        <f t="shared" si="27"/>
        <v>0.10366775927818353</v>
      </c>
      <c r="AF49" s="51">
        <f t="shared" si="27"/>
        <v>0.11057894323006243</v>
      </c>
      <c r="AG49" s="51">
        <f t="shared" si="27"/>
        <v>0.11584460719339874</v>
      </c>
      <c r="AH49" s="2"/>
      <c r="AI49" s="2"/>
      <c r="AJ49" s="2"/>
      <c r="AK49" s="2"/>
      <c r="AL49" s="2"/>
    </row>
    <row r="50" spans="1:38">
      <c r="A50" s="2" t="s">
        <v>58</v>
      </c>
      <c r="B50" s="44">
        <v>1780</v>
      </c>
      <c r="C50" s="44">
        <v>1811</v>
      </c>
      <c r="D50" s="44">
        <v>1784</v>
      </c>
      <c r="E50" s="44">
        <v>1685</v>
      </c>
      <c r="F50" s="44">
        <v>1583</v>
      </c>
      <c r="G50" s="44">
        <v>1653</v>
      </c>
      <c r="H50" s="44">
        <v>1596</v>
      </c>
      <c r="I50" s="44">
        <v>1410</v>
      </c>
      <c r="J50" s="44">
        <v>1346</v>
      </c>
      <c r="K50" s="44">
        <v>1514</v>
      </c>
      <c r="L50" s="44">
        <v>1500</v>
      </c>
      <c r="M50" s="48">
        <v>1603.94045879891</v>
      </c>
      <c r="N50" s="48">
        <v>1806.4910964583248</v>
      </c>
      <c r="O50" s="48">
        <v>2102.3216330398386</v>
      </c>
      <c r="P50" s="48">
        <v>2330.1911004066806</v>
      </c>
      <c r="Q50" s="2"/>
      <c r="R50" s="10" t="s">
        <v>59</v>
      </c>
      <c r="S50" s="31">
        <f t="shared" ref="S50:AG50" si="28">S48-B5</f>
        <v>0</v>
      </c>
      <c r="T50" s="31">
        <f t="shared" si="28"/>
        <v>0</v>
      </c>
      <c r="U50" s="31">
        <f t="shared" si="28"/>
        <v>0</v>
      </c>
      <c r="V50" s="31">
        <f t="shared" si="28"/>
        <v>0</v>
      </c>
      <c r="W50" s="31">
        <f t="shared" si="28"/>
        <v>0</v>
      </c>
      <c r="X50" s="31">
        <f t="shared" si="28"/>
        <v>0</v>
      </c>
      <c r="Y50" s="31">
        <f t="shared" si="28"/>
        <v>0</v>
      </c>
      <c r="Z50" s="31">
        <f t="shared" si="28"/>
        <v>0</v>
      </c>
      <c r="AA50" s="31">
        <f t="shared" si="28"/>
        <v>0</v>
      </c>
      <c r="AB50" s="31">
        <f t="shared" si="28"/>
        <v>0</v>
      </c>
      <c r="AC50" s="31">
        <f t="shared" si="28"/>
        <v>0</v>
      </c>
      <c r="AD50" s="32">
        <f t="shared" si="28"/>
        <v>0</v>
      </c>
      <c r="AE50" s="81">
        <f t="shared" si="28"/>
        <v>0</v>
      </c>
      <c r="AF50" s="81">
        <f t="shared" si="28"/>
        <v>0</v>
      </c>
      <c r="AG50" s="81">
        <f t="shared" si="28"/>
        <v>0</v>
      </c>
      <c r="AH50" s="2"/>
      <c r="AI50" s="2"/>
      <c r="AJ50" s="2"/>
      <c r="AK50" s="2"/>
      <c r="AL50" s="2"/>
    </row>
    <row r="51" spans="1:38">
      <c r="A51" s="2" t="s">
        <v>60</v>
      </c>
      <c r="B51" s="44">
        <v>575</v>
      </c>
      <c r="C51" s="44">
        <v>574</v>
      </c>
      <c r="D51" s="44">
        <v>597</v>
      </c>
      <c r="E51" s="44">
        <v>555</v>
      </c>
      <c r="F51" s="44">
        <v>510</v>
      </c>
      <c r="G51" s="44">
        <v>538</v>
      </c>
      <c r="H51" s="44">
        <v>520</v>
      </c>
      <c r="I51" s="44">
        <v>488</v>
      </c>
      <c r="J51" s="44">
        <v>478</v>
      </c>
      <c r="K51" s="44">
        <v>471</v>
      </c>
      <c r="L51" s="44">
        <v>1194</v>
      </c>
      <c r="M51" s="48">
        <v>1194</v>
      </c>
      <c r="N51" s="48">
        <v>1194</v>
      </c>
      <c r="O51" s="48">
        <v>1194</v>
      </c>
      <c r="P51" s="48">
        <v>1194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>
      <c r="A52" s="2" t="s">
        <v>61</v>
      </c>
      <c r="B52" s="44">
        <v>117</v>
      </c>
      <c r="C52" s="44">
        <v>84</v>
      </c>
      <c r="D52" s="44">
        <v>130</v>
      </c>
      <c r="E52" s="44">
        <v>157</v>
      </c>
      <c r="F52" s="44">
        <v>215</v>
      </c>
      <c r="G52" s="44">
        <v>206</v>
      </c>
      <c r="H52" s="44">
        <v>251</v>
      </c>
      <c r="I52" s="44">
        <v>326</v>
      </c>
      <c r="J52" s="44">
        <v>394</v>
      </c>
      <c r="K52" s="44">
        <v>388</v>
      </c>
      <c r="L52" s="44">
        <v>224</v>
      </c>
      <c r="M52" s="48">
        <v>0</v>
      </c>
      <c r="N52" s="48">
        <v>0</v>
      </c>
      <c r="O52" s="48">
        <v>53.543037345225351</v>
      </c>
      <c r="P52" s="48">
        <v>1.0434523273054825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>
      <c r="A53" s="18" t="s">
        <v>62</v>
      </c>
      <c r="B53" s="46">
        <v>13769</v>
      </c>
      <c r="C53" s="46">
        <v>16248</v>
      </c>
      <c r="D53" s="46">
        <v>16669</v>
      </c>
      <c r="E53" s="46">
        <v>16936</v>
      </c>
      <c r="F53" s="46">
        <v>16309</v>
      </c>
      <c r="G53" s="46">
        <v>18103</v>
      </c>
      <c r="H53" s="46">
        <v>18972</v>
      </c>
      <c r="I53" s="46">
        <v>17728</v>
      </c>
      <c r="J53" s="46">
        <v>17816</v>
      </c>
      <c r="K53" s="46">
        <v>18931</v>
      </c>
      <c r="L53" s="46">
        <v>19502</v>
      </c>
      <c r="M53" s="50">
        <v>20484.757518248931</v>
      </c>
      <c r="N53" s="50">
        <v>21537.848975219025</v>
      </c>
      <c r="O53" s="50">
        <v>22744.881037261301</v>
      </c>
      <c r="P53" s="50">
        <v>24026.102709161532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>
      <c r="A54" s="2" t="s">
        <v>63</v>
      </c>
      <c r="B54" s="44">
        <v>2350</v>
      </c>
      <c r="C54" s="44">
        <v>2238</v>
      </c>
      <c r="D54" s="44">
        <v>2742</v>
      </c>
      <c r="E54" s="44">
        <v>3195</v>
      </c>
      <c r="F54" s="44">
        <v>3587</v>
      </c>
      <c r="G54" s="44">
        <v>4651</v>
      </c>
      <c r="H54" s="44">
        <v>5593</v>
      </c>
      <c r="I54" s="44">
        <v>5297</v>
      </c>
      <c r="J54" s="44">
        <v>5529</v>
      </c>
      <c r="K54" s="44">
        <v>6202</v>
      </c>
      <c r="L54" s="44">
        <v>6439</v>
      </c>
      <c r="M54" s="48">
        <v>6629.2124009168992</v>
      </c>
      <c r="N54" s="48">
        <v>6894.3808969535758</v>
      </c>
      <c r="O54" s="48">
        <v>7239.0999418012561</v>
      </c>
      <c r="P54" s="48">
        <v>7601.0549388913178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>
      <c r="A55" s="2" t="s">
        <v>64</v>
      </c>
      <c r="B55" s="44">
        <v>0</v>
      </c>
      <c r="C55" s="44">
        <v>0</v>
      </c>
      <c r="D55" s="44">
        <v>0</v>
      </c>
      <c r="E55" s="44">
        <v>0</v>
      </c>
      <c r="F55" s="44">
        <v>168</v>
      </c>
      <c r="G55" s="44">
        <v>176</v>
      </c>
      <c r="H55" s="44">
        <v>192</v>
      </c>
      <c r="I55" s="44">
        <v>181</v>
      </c>
      <c r="J55" s="44">
        <v>180</v>
      </c>
      <c r="K55" s="44">
        <v>182</v>
      </c>
      <c r="L55" s="44">
        <v>193</v>
      </c>
      <c r="M55" s="48">
        <v>198.70135011289977</v>
      </c>
      <c r="N55" s="48">
        <v>206.64940411741577</v>
      </c>
      <c r="O55" s="48">
        <v>216.98187432328658</v>
      </c>
      <c r="P55" s="48">
        <v>227.83096803945091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82"/>
      <c r="AJ55" s="82"/>
      <c r="AK55" s="82"/>
      <c r="AL55" s="82"/>
    </row>
    <row r="56" spans="1:38">
      <c r="A56" s="2" t="s">
        <v>65</v>
      </c>
      <c r="B56" s="44">
        <v>317</v>
      </c>
      <c r="C56" s="44">
        <v>334</v>
      </c>
      <c r="D56" s="44">
        <v>451</v>
      </c>
      <c r="E56" s="44">
        <v>429</v>
      </c>
      <c r="F56" s="44">
        <v>1204</v>
      </c>
      <c r="G56" s="44">
        <v>1293</v>
      </c>
      <c r="H56" s="44">
        <v>1231</v>
      </c>
      <c r="I56" s="44">
        <v>1082</v>
      </c>
      <c r="J56" s="44">
        <v>1082</v>
      </c>
      <c r="K56" s="44">
        <v>1270</v>
      </c>
      <c r="L56" s="44">
        <v>1371</v>
      </c>
      <c r="M56" s="48">
        <v>1474.9739484840311</v>
      </c>
      <c r="N56" s="48">
        <v>1509.6444853707608</v>
      </c>
      <c r="O56" s="48">
        <v>1541.3582885866629</v>
      </c>
      <c r="P56" s="48">
        <v>1618.4262030159957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83"/>
      <c r="AJ56" s="83"/>
      <c r="AK56" s="83"/>
      <c r="AL56" s="83"/>
    </row>
    <row r="57" spans="1:38">
      <c r="A57" s="18" t="s">
        <v>66</v>
      </c>
      <c r="B57" s="46">
        <v>2667.1</v>
      </c>
      <c r="C57" s="46">
        <v>2572</v>
      </c>
      <c r="D57" s="46">
        <v>3193</v>
      </c>
      <c r="E57" s="46">
        <v>3624</v>
      </c>
      <c r="F57" s="46">
        <v>4791</v>
      </c>
      <c r="G57" s="46">
        <v>5944</v>
      </c>
      <c r="H57" s="46">
        <v>6824</v>
      </c>
      <c r="I57" s="46">
        <v>6379</v>
      </c>
      <c r="J57" s="46">
        <v>6611</v>
      </c>
      <c r="K57" s="46">
        <v>7472</v>
      </c>
      <c r="L57" s="46">
        <v>7810</v>
      </c>
      <c r="M57" s="50">
        <v>8104.1863494009303</v>
      </c>
      <c r="N57" s="50">
        <v>8404.0253823243365</v>
      </c>
      <c r="O57" s="50">
        <v>8780.4582303879197</v>
      </c>
      <c r="P57" s="50">
        <v>9219.4811419073139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83"/>
      <c r="AJ57" s="83"/>
      <c r="AK57" s="83"/>
      <c r="AL57" s="83"/>
    </row>
    <row r="58" spans="1:38">
      <c r="A58" s="2" t="s">
        <v>67</v>
      </c>
      <c r="B58" s="44">
        <v>44</v>
      </c>
      <c r="C58" s="44">
        <v>44</v>
      </c>
      <c r="D58" s="44">
        <v>43</v>
      </c>
      <c r="E58" s="44">
        <v>70</v>
      </c>
      <c r="F58" s="44">
        <v>70</v>
      </c>
      <c r="G58" s="44">
        <v>69</v>
      </c>
      <c r="H58" s="44">
        <v>68</v>
      </c>
      <c r="I58" s="44">
        <v>68</v>
      </c>
      <c r="J58" s="44">
        <v>68</v>
      </c>
      <c r="K58" s="44">
        <v>68</v>
      </c>
      <c r="L58" s="44">
        <v>68</v>
      </c>
      <c r="M58" s="48">
        <v>68</v>
      </c>
      <c r="N58" s="48">
        <v>68</v>
      </c>
      <c r="O58" s="48">
        <v>68</v>
      </c>
      <c r="P58" s="48">
        <v>68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83"/>
      <c r="AJ58" s="83"/>
      <c r="AK58" s="83"/>
      <c r="AL58" s="83"/>
    </row>
    <row r="59" spans="1:38">
      <c r="A59" s="2" t="s">
        <v>68</v>
      </c>
      <c r="B59" s="44">
        <v>12499</v>
      </c>
      <c r="C59" s="44">
        <v>14738</v>
      </c>
      <c r="D59" s="44">
        <v>15284</v>
      </c>
      <c r="E59" s="44">
        <v>15973</v>
      </c>
      <c r="F59" s="44">
        <v>15034</v>
      </c>
      <c r="G59" s="44">
        <v>15144</v>
      </c>
      <c r="H59" s="44">
        <v>14943</v>
      </c>
      <c r="I59" s="44">
        <v>14536</v>
      </c>
      <c r="J59" s="44">
        <v>13980</v>
      </c>
      <c r="K59" s="44">
        <v>16245</v>
      </c>
      <c r="L59" s="44">
        <v>17731</v>
      </c>
      <c r="M59" s="48">
        <v>18343.32727006152</v>
      </c>
      <c r="N59" s="48">
        <v>18973.943088575881</v>
      </c>
      <c r="O59" s="48">
        <v>19634.906983829831</v>
      </c>
      <c r="P59" s="48">
        <v>20328.564378188923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84"/>
      <c r="AJ59" s="83"/>
      <c r="AK59" s="83"/>
      <c r="AL59" s="83"/>
    </row>
    <row r="60" spans="1:38">
      <c r="A60" s="18" t="s">
        <v>69</v>
      </c>
      <c r="B60" s="46">
        <v>11048</v>
      </c>
      <c r="C60" s="46">
        <v>13619</v>
      </c>
      <c r="D60" s="46">
        <v>13413</v>
      </c>
      <c r="E60" s="46">
        <v>13243</v>
      </c>
      <c r="F60" s="46">
        <v>11433</v>
      </c>
      <c r="G60" s="46">
        <v>12065</v>
      </c>
      <c r="H60" s="46">
        <v>12053</v>
      </c>
      <c r="I60" s="46">
        <v>11252</v>
      </c>
      <c r="J60" s="46">
        <v>11104</v>
      </c>
      <c r="K60" s="46">
        <v>11337</v>
      </c>
      <c r="L60" s="46">
        <v>11559</v>
      </c>
      <c r="M60" s="50">
        <v>12171.32727006152</v>
      </c>
      <c r="N60" s="50">
        <v>12801.943088575881</v>
      </c>
      <c r="O60" s="50">
        <v>13462.906983829831</v>
      </c>
      <c r="P60" s="50">
        <v>14156.564378188921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83"/>
      <c r="AJ60" s="83"/>
      <c r="AK60" s="83"/>
      <c r="AL60" s="83"/>
    </row>
    <row r="61" spans="1:38">
      <c r="A61" s="18" t="s">
        <v>70</v>
      </c>
      <c r="B61" s="46">
        <v>13769</v>
      </c>
      <c r="C61" s="46">
        <v>16248</v>
      </c>
      <c r="D61" s="46">
        <v>16669</v>
      </c>
      <c r="E61" s="46">
        <v>16936</v>
      </c>
      <c r="F61" s="46">
        <v>16309</v>
      </c>
      <c r="G61" s="46">
        <v>18103</v>
      </c>
      <c r="H61" s="46">
        <v>18972</v>
      </c>
      <c r="I61" s="46">
        <v>17728</v>
      </c>
      <c r="J61" s="46">
        <v>17816</v>
      </c>
      <c r="K61" s="46">
        <v>18931</v>
      </c>
      <c r="L61" s="46">
        <v>19502</v>
      </c>
      <c r="M61" s="50">
        <v>20484.757518248931</v>
      </c>
      <c r="N61" s="50">
        <v>21537.848975219025</v>
      </c>
      <c r="O61" s="50">
        <v>22744.881037261304</v>
      </c>
      <c r="P61" s="50">
        <v>24026.102709161532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83"/>
      <c r="AJ61" s="83"/>
      <c r="AK61" s="83"/>
      <c r="AL61" s="83"/>
    </row>
    <row r="62" spans="1:38">
      <c r="A62" s="18" t="s">
        <v>71</v>
      </c>
      <c r="B62" s="46">
        <v>950</v>
      </c>
      <c r="C62" s="46">
        <v>555</v>
      </c>
      <c r="D62" s="46">
        <v>751</v>
      </c>
      <c r="E62" s="46">
        <v>1045</v>
      </c>
      <c r="F62" s="46">
        <v>1146</v>
      </c>
      <c r="G62" s="46">
        <v>934</v>
      </c>
      <c r="H62" s="46">
        <v>1650</v>
      </c>
      <c r="I62" s="46">
        <v>866</v>
      </c>
      <c r="J62" s="46">
        <v>1081</v>
      </c>
      <c r="K62" s="46">
        <v>976</v>
      </c>
      <c r="L62" s="46">
        <v>678</v>
      </c>
      <c r="M62" s="50">
        <v>2094.9549515993967</v>
      </c>
      <c r="N62" s="50">
        <v>2781.5640890512068</v>
      </c>
      <c r="O62" s="50">
        <v>3815.5382321152374</v>
      </c>
      <c r="P62" s="50">
        <v>4989.0311678472872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>
      <c r="A63" s="18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51"/>
      <c r="N63" s="51"/>
      <c r="O63" s="51"/>
      <c r="P63" s="5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</sheetData>
  <mergeCells count="10">
    <mergeCell ref="R46:AG46"/>
    <mergeCell ref="R24:AG24"/>
    <mergeCell ref="R29:AG29"/>
    <mergeCell ref="T35:AG35"/>
    <mergeCell ref="R36:AG36"/>
    <mergeCell ref="A1:AG1"/>
    <mergeCell ref="A2:AG2"/>
    <mergeCell ref="R5:AG5"/>
    <mergeCell ref="R12:AG12"/>
    <mergeCell ref="R19:AG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4"/>
  <sheetViews>
    <sheetView showGridLines="0" workbookViewId="0"/>
  </sheetViews>
  <sheetFormatPr defaultRowHeight="13.8"/>
  <cols>
    <col min="1" max="1" width="38" customWidth="1"/>
    <col min="2" max="12" width="12" hidden="1" customWidth="1"/>
    <col min="13" max="16" width="12" customWidth="1"/>
    <col min="18" max="18" width="34" customWidth="1"/>
    <col min="19" max="22" width="13" customWidth="1"/>
  </cols>
  <sheetData>
    <row r="1" spans="1:22" ht="19.95" customHeight="1">
      <c r="A1" s="95" t="s">
        <v>72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42"/>
      <c r="R1" s="95" t="s">
        <v>73</v>
      </c>
      <c r="S1" s="95"/>
      <c r="T1" s="95"/>
      <c r="U1" s="95"/>
      <c r="V1" s="95"/>
    </row>
    <row r="2" spans="1:2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57" t="s">
        <v>74</v>
      </c>
      <c r="B4" s="57" t="s">
        <v>2</v>
      </c>
      <c r="C4" s="57" t="s">
        <v>3</v>
      </c>
      <c r="D4" s="57" t="s">
        <v>4</v>
      </c>
      <c r="E4" s="57" t="s">
        <v>5</v>
      </c>
      <c r="F4" s="57" t="s">
        <v>6</v>
      </c>
      <c r="G4" s="57" t="s">
        <v>7</v>
      </c>
      <c r="H4" s="57" t="s">
        <v>8</v>
      </c>
      <c r="I4" s="57" t="s">
        <v>9</v>
      </c>
      <c r="J4" s="57" t="s">
        <v>10</v>
      </c>
      <c r="K4" s="57" t="s">
        <v>11</v>
      </c>
      <c r="L4" s="57" t="s">
        <v>12</v>
      </c>
      <c r="M4" s="57" t="s">
        <v>13</v>
      </c>
      <c r="N4" s="57" t="s">
        <v>14</v>
      </c>
      <c r="O4" s="57" t="s">
        <v>15</v>
      </c>
      <c r="P4" s="57" t="s">
        <v>16</v>
      </c>
      <c r="Q4" s="2"/>
      <c r="R4" s="35" t="s">
        <v>75</v>
      </c>
      <c r="S4" s="35" t="s">
        <v>76</v>
      </c>
      <c r="T4" s="35" t="s">
        <v>77</v>
      </c>
      <c r="U4" s="35" t="s">
        <v>78</v>
      </c>
      <c r="V4" s="35" t="s">
        <v>79</v>
      </c>
    </row>
    <row r="5" spans="1:22">
      <c r="A5" s="2" t="s">
        <v>19</v>
      </c>
      <c r="B5" s="8">
        <v>0</v>
      </c>
      <c r="C5" s="8">
        <f>IFERROR(Annual_Statements!C9/Annual_Statements!B9-1,0)</f>
        <v>6.2321319560710409E-2</v>
      </c>
      <c r="D5" s="8">
        <f>IFERROR(Annual_Statements!D9/Annual_Statements!C9-1,0)</f>
        <v>8.6083295402822113E-2</v>
      </c>
      <c r="E5" s="8">
        <f>IFERROR(Annual_Statements!E9/Annual_Statements!D9-1,0)</f>
        <v>9.555241238409562E-2</v>
      </c>
      <c r="F5" s="8">
        <f>IFERROR(Annual_Statements!F9/Annual_Statements!E9-1,0)</f>
        <v>5.3459570602017781E-2</v>
      </c>
      <c r="G5" s="8">
        <f>IFERROR(Annual_Statements!G9/Annual_Statements!F9-1,0)</f>
        <v>6.4908537969226021E-3</v>
      </c>
      <c r="H5" s="8">
        <f>IFERROR(Annual_Statements!H9/Annual_Statements!G9-1,0)</f>
        <v>0.15933074772255784</v>
      </c>
      <c r="I5" s="8">
        <f>IFERROR(Annual_Statements!I9/Annual_Statements!H9-1,0)</f>
        <v>8.6357801377056731E-2</v>
      </c>
      <c r="J5" s="8">
        <f>IFERROR(Annual_Statements!J9/Annual_Statements!I9-1,0)</f>
        <v>4.1286210477315954E-2</v>
      </c>
      <c r="K5" s="8">
        <f>IFERROR(Annual_Statements!K9/Annual_Statements!J9-1,0)</f>
        <v>3.779229711141685E-2</v>
      </c>
      <c r="L5" s="7">
        <f>IFERROR(Annual_Statements!L9/Annual_Statements!K9-1,0)</f>
        <v>-5.3679711057357249E-3</v>
      </c>
      <c r="M5" s="58">
        <f>IFERROR(Annual_Statements!M9/Annual_Statements!L9-1,0)</f>
        <v>3.0276774595729083E-2</v>
      </c>
      <c r="N5" s="58">
        <f>IFERROR(Annual_Statements!N9/Annual_Statements!M9-1,0)</f>
        <v>4.0000000000000036E-2</v>
      </c>
      <c r="O5" s="58">
        <f>IFERROR(Annual_Statements!O9/Annual_Statements!N9-1,0)</f>
        <v>5.0000000000000044E-2</v>
      </c>
      <c r="P5" s="58">
        <f>IFERROR(Annual_Statements!P9/Annual_Statements!O9-1,0)</f>
        <v>5.0000000000000044E-2</v>
      </c>
      <c r="Q5" s="2"/>
      <c r="R5" s="2" t="s">
        <v>80</v>
      </c>
      <c r="S5" s="8">
        <v>4.0000000000000001E-3</v>
      </c>
      <c r="T5" s="58">
        <v>8.0000000000000002E-3</v>
      </c>
      <c r="U5" s="58">
        <v>0.01</v>
      </c>
      <c r="V5" s="58">
        <v>1.2E-2</v>
      </c>
    </row>
    <row r="6" spans="1:22">
      <c r="A6" s="2" t="s">
        <v>81</v>
      </c>
      <c r="B6" s="8">
        <f>IFERROR(Annual_Statements!B18/Annual_Statements!B9,0)</f>
        <v>0.56052922652902093</v>
      </c>
      <c r="C6" s="8">
        <f>IFERROR(Annual_Statements!C18/Annual_Statements!C9,0)</f>
        <v>0.56696631770596273</v>
      </c>
      <c r="D6" s="8">
        <f>IFERROR(Annual_Statements!D18/Annual_Statements!D9,0)</f>
        <v>0.57907695531457903</v>
      </c>
      <c r="E6" s="8">
        <f>IFERROR(Annual_Statements!E18/Annual_Statements!E9,0)</f>
        <v>0.58145651030459522</v>
      </c>
      <c r="F6" s="8">
        <f>IFERROR(Annual_Statements!F18/Annual_Statements!F9,0)</f>
        <v>0.58833734283509598</v>
      </c>
      <c r="G6" s="8">
        <f>IFERROR(Annual_Statements!G18/Annual_Statements!G9,0)</f>
        <v>0.59159375845584916</v>
      </c>
      <c r="H6" s="8">
        <f>IFERROR(Annual_Statements!H18/Annual_Statements!H9,0)</f>
        <v>0.59773602520714197</v>
      </c>
      <c r="I6" s="8">
        <f>IFERROR(Annual_Statements!I18/Annual_Statements!I9,0)</f>
        <v>0.60457621656461491</v>
      </c>
      <c r="J6" s="8">
        <f>IFERROR(Annual_Statements!J18/Annual_Statements!J9,0)</f>
        <v>0.59611416781292981</v>
      </c>
      <c r="K6" s="8">
        <f>IFERROR(Annual_Statements!K18/Annual_Statements!K9,0)</f>
        <v>0.61095463733059407</v>
      </c>
      <c r="L6" s="7">
        <f>IFERROR(Annual_Statements!L18/Annual_Statements!L9,0)</f>
        <v>0.5993270480061299</v>
      </c>
      <c r="M6" s="58">
        <f>IFERROR(Annual_Statements!M18/Annual_Statements!M9,0)</f>
        <v>0.59915316788432205</v>
      </c>
      <c r="N6" s="58">
        <f>IFERROR(Annual_Statements!N18/Annual_Statements!N9,0)</f>
        <v>0.59858910724739234</v>
      </c>
      <c r="O6" s="58">
        <v>0.59826237267298366</v>
      </c>
      <c r="P6" s="58">
        <v>0.59793697394267331</v>
      </c>
      <c r="Q6" s="2"/>
      <c r="R6" s="2" t="s">
        <v>82</v>
      </c>
      <c r="S6" s="8">
        <v>0.23899999999999999</v>
      </c>
      <c r="T6" s="58">
        <v>0.245</v>
      </c>
      <c r="U6" s="58">
        <v>0.25</v>
      </c>
      <c r="V6" s="58">
        <v>0.255</v>
      </c>
    </row>
    <row r="7" spans="1:22">
      <c r="A7" s="2" t="s">
        <v>83</v>
      </c>
      <c r="B7" s="8">
        <f>IFERROR(Annual_Statements!B29/Annual_Statements!B9,0)</f>
        <v>0.17445859449135379</v>
      </c>
      <c r="C7" s="8">
        <f>IFERROR(Annual_Statements!C29/Annual_Statements!C9,0)</f>
        <v>0.17597860719162495</v>
      </c>
      <c r="D7" s="8">
        <f>IFERROR(Annual_Statements!D29/Annual_Statements!D9,0)</f>
        <v>0.17313636125517315</v>
      </c>
      <c r="E7" s="8">
        <f>IFERROR(Annual_Statements!E29/Annual_Statements!E9,0)</f>
        <v>0.16286520346196146</v>
      </c>
      <c r="F7" s="8">
        <f>IFERROR(Annual_Statements!F29/Annual_Statements!F9,0)</f>
        <v>0.16591802460169761</v>
      </c>
      <c r="G7" s="8">
        <f>IFERROR(Annual_Statements!G29/Annual_Statements!G9,0)</f>
        <v>0.15694056101740778</v>
      </c>
      <c r="H7" s="8">
        <f>IFERROR(Annual_Statements!H29/Annual_Statements!H9,0)</f>
        <v>0.14957015598864123</v>
      </c>
      <c r="I7" s="8">
        <f>IFERROR(Annual_Statements!I29/Annual_Statements!I9,0)</f>
        <v>0.15501127940702547</v>
      </c>
      <c r="J7" s="8">
        <f>IFERROR(Annual_Statements!J29/Annual_Statements!J9,0)</f>
        <v>0.16169188445667126</v>
      </c>
      <c r="K7" s="8">
        <f>IFERROR(Annual_Statements!K29/Annual_Statements!K9,0)</f>
        <v>0.14556479671294609</v>
      </c>
      <c r="L7" s="7">
        <f>IFERROR(Annual_Statements!L29/Annual_Statements!L9,0)</f>
        <v>0.16737182263384082</v>
      </c>
      <c r="M7" s="58">
        <f>IFERROR(Annual_Statements!M29/Annual_Statements!M9,0)</f>
        <v>0.15355935154344441</v>
      </c>
      <c r="N7" s="58">
        <f>IFERROR(Annual_Statements!N29/Annual_Statements!N9,0)</f>
        <v>0.15</v>
      </c>
      <c r="O7" s="58">
        <f>IFERROR(Annual_Statements!O29/Annual_Statements!O9,0)</f>
        <v>0.15</v>
      </c>
      <c r="P7" s="58">
        <f>IFERROR(Annual_Statements!P29/Annual_Statements!P9,0)</f>
        <v>0.15</v>
      </c>
      <c r="Q7" s="2"/>
      <c r="R7" s="2" t="s">
        <v>84</v>
      </c>
      <c r="S7" s="8">
        <v>0.252</v>
      </c>
      <c r="T7" s="58">
        <v>0.25</v>
      </c>
      <c r="U7" s="58">
        <v>0.25</v>
      </c>
      <c r="V7" s="58">
        <v>0.25</v>
      </c>
    </row>
    <row r="8" spans="1:22">
      <c r="A8" s="2" t="s">
        <v>85</v>
      </c>
      <c r="B8" s="8">
        <f>IFERROR(Annual_Statements!B32/Annual_Statements!B9,0)</f>
        <v>2.8063028486119589E-2</v>
      </c>
      <c r="C8" s="8">
        <f>IFERROR(Annual_Statements!C32/Annual_Statements!C9,0)</f>
        <v>3.5502958579881658E-2</v>
      </c>
      <c r="D8" s="8">
        <f>IFERROR(Annual_Statements!D32/Annual_Statements!D9,0)</f>
        <v>2.9179108387029178E-2</v>
      </c>
      <c r="E8" s="8">
        <f>IFERROR(Annual_Statements!E32/Annual_Statements!E9,0)</f>
        <v>2.8164299717878833E-2</v>
      </c>
      <c r="F8" s="8">
        <f>IFERROR(Annual_Statements!F32/Annual_Statements!F9,0)</f>
        <v>2.3557714130089419E-2</v>
      </c>
      <c r="G8" s="8">
        <f>IFERROR(Annual_Statements!G32/Annual_Statements!G9,0)</f>
        <v>1.5243077478127537E-2</v>
      </c>
      <c r="H8" s="8">
        <f>IFERROR(Annual_Statements!H32/Annual_Statements!H9,0)</f>
        <v>1.6882561170109309E-2</v>
      </c>
      <c r="I8" s="8">
        <f>IFERROR(Annual_Statements!I32/Annual_Statements!I9,0)</f>
        <v>1.1888136928420525E-2</v>
      </c>
      <c r="J8" s="8">
        <f>IFERROR(Annual_Statements!J32/Annual_Statements!J9,0)</f>
        <v>1.516506189821183E-2</v>
      </c>
      <c r="K8" s="8">
        <f>IFERROR(Annual_Statements!K32/Annual_Statements!K9,0)</f>
        <v>1.2392723416945558E-2</v>
      </c>
      <c r="L8" s="7">
        <f>IFERROR(Annual_Statements!L32/Annual_Statements!L9,0)</f>
        <v>1.332578205683446E-2</v>
      </c>
      <c r="M8" s="58">
        <f>IFERROR(Annual_Statements!M32/Annual_Statements!M9,0)</f>
        <v>1.6629892454398453E-2</v>
      </c>
      <c r="N8" s="58">
        <f>IFERROR(Annual_Statements!N32/Annual_Statements!N9,0)</f>
        <v>9.9351326564281108E-3</v>
      </c>
      <c r="O8" s="58">
        <f>IFERROR(Annual_Statements!O32/Annual_Statements!O9,0)</f>
        <v>9.1415865823711411E-3</v>
      </c>
      <c r="P8" s="58">
        <f>IFERROR(Annual_Statements!P32/Annual_Statements!P9,0)</f>
        <v>8.6828577189821746E-3</v>
      </c>
      <c r="Q8" s="2"/>
      <c r="R8" s="2" t="s">
        <v>86</v>
      </c>
      <c r="S8" s="8">
        <v>0</v>
      </c>
      <c r="T8" s="58">
        <v>0</v>
      </c>
      <c r="U8" s="58">
        <v>0</v>
      </c>
      <c r="V8" s="58">
        <v>0</v>
      </c>
    </row>
    <row r="9" spans="1:22">
      <c r="A9" s="2" t="s">
        <v>84</v>
      </c>
      <c r="B9" s="8">
        <f>IFERROR(Annual_Statements!B34/Annual_Statements!B33,0)</f>
        <v>0.23559982676483329</v>
      </c>
      <c r="C9" s="8">
        <f>IFERROR(Annual_Statements!C34/Annual_Statements!C33,0)</f>
        <v>0.23628938156359394</v>
      </c>
      <c r="D9" s="8">
        <f>IFERROR(Annual_Statements!D34/Annual_Statements!D33,0)</f>
        <v>0.24077926990731985</v>
      </c>
      <c r="E9" s="8">
        <f>IFERROR(Annual_Statements!E34/Annual_Statements!E33,0)</f>
        <v>0.24056603773584906</v>
      </c>
      <c r="F9" s="8">
        <f>IFERROR(Annual_Statements!F34/Annual_Statements!F33,0)</f>
        <v>0.23209169054441262</v>
      </c>
      <c r="G9" s="8">
        <f>IFERROR(Annual_Statements!G34/Annual_Statements!G33,0)</f>
        <v>0.25583361515049036</v>
      </c>
      <c r="H9" s="8">
        <f>IFERROR(Annual_Statements!H34/Annual_Statements!H33,0)</f>
        <v>0.25613275613275616</v>
      </c>
      <c r="I9" s="8">
        <f>IFERROR(Annual_Statements!I34/Annual_Statements!I33,0)</f>
        <v>0.25659948907181379</v>
      </c>
      <c r="J9" s="8">
        <f>IFERROR(Annual_Statements!J34/Annual_Statements!J33,0)</f>
        <v>0.25641368252271513</v>
      </c>
      <c r="K9" s="8">
        <f>IFERROR(Annual_Statements!K34/Annual_Statements!K33,0)</f>
        <v>0.25304325304325304</v>
      </c>
      <c r="L9" s="7">
        <f>IFERROR(Annual_Statements!L34/Annual_Statements!L33,0)</f>
        <v>0.248818046737809</v>
      </c>
      <c r="M9" s="58">
        <f>IFERROR(Annual_Statements!M34/Annual_Statements!M33,0)</f>
        <v>0.246</v>
      </c>
      <c r="N9" s="58">
        <f>IFERROR(Annual_Statements!N34/Annual_Statements!N33,0)</f>
        <v>0.24599999999999997</v>
      </c>
      <c r="O9" s="58">
        <f>IFERROR(Annual_Statements!O34/Annual_Statements!O33,0)</f>
        <v>0.24600000000000002</v>
      </c>
      <c r="P9" s="58">
        <f>IFERROR(Annual_Statements!P34/Annual_Statements!P33,0)</f>
        <v>0.24600000000000002</v>
      </c>
      <c r="Q9" s="2"/>
      <c r="R9" s="2"/>
      <c r="S9" s="2"/>
      <c r="T9" s="2"/>
      <c r="U9" s="2"/>
      <c r="V9" s="2"/>
    </row>
    <row r="10" spans="1:22">
      <c r="A10" s="2" t="s">
        <v>87</v>
      </c>
      <c r="B10" s="8">
        <f>IFERROR(Annual_Statements!B37/Annual_Statements!B36,0)</f>
        <v>5.1262680768400602E-3</v>
      </c>
      <c r="C10" s="8">
        <f>IFERROR(Annual_Statements!C37/Annual_Statements!C36,0)</f>
        <v>2.5464731347084289E-3</v>
      </c>
      <c r="D10" s="8">
        <f>IFERROR(Annual_Statements!D37/Annual_Statements!D36,0)</f>
        <v>2.242152466367713E-3</v>
      </c>
      <c r="E10" s="8">
        <f>IFERROR(Annual_Statements!E37/Annual_Statements!E36,0)</f>
        <v>3.105590062111801E-3</v>
      </c>
      <c r="F10" s="8">
        <f>IFERROR(Annual_Statements!F37/Annual_Statements!F36,0)</f>
        <v>3.2923617208077262E-3</v>
      </c>
      <c r="G10" s="8">
        <f>IFERROR(Annual_Statements!G37/Annual_Statements!G36,0)</f>
        <v>3.8627584639854577E-3</v>
      </c>
      <c r="H10" s="8">
        <f>IFERROR(Annual_Statements!H37/Annual_Statements!H36,0)</f>
        <v>3.1037827352085354E-3</v>
      </c>
      <c r="I10" s="8">
        <f>IFERROR(Annual_Statements!I37/Annual_Statements!I36,0)</f>
        <v>3.6273386788850705E-3</v>
      </c>
      <c r="J10" s="8">
        <f>IFERROR(Annual_Statements!J37/Annual_Statements!J36,0)</f>
        <v>4.1329739442946987E-3</v>
      </c>
      <c r="K10" s="8">
        <f>IFERROR(Annual_Statements!K37/Annual_Statements!K36,0)</f>
        <v>5.0277392510402223E-3</v>
      </c>
      <c r="L10" s="7">
        <f>IFERROR(Annual_Statements!L37/Annual_Statements!L36,0)</f>
        <v>4.8552418629742855E-3</v>
      </c>
      <c r="M10" s="58">
        <f>IFERROR(Annual_Statements!M37/Annual_Statements!M36,0)</f>
        <v>5.0000000000000001E-3</v>
      </c>
      <c r="N10" s="58">
        <f>IFERROR(Annual_Statements!N37/Annual_Statements!N36,0)</f>
        <v>5.0000000000000001E-3</v>
      </c>
      <c r="O10" s="58">
        <f>IFERROR(Annual_Statements!O37/Annual_Statements!O36,0)</f>
        <v>5.0000000000000001E-3</v>
      </c>
      <c r="P10" s="58">
        <f>IFERROR(Annual_Statements!P37/Annual_Statements!P36,0)</f>
        <v>5.0000000000000001E-3</v>
      </c>
      <c r="Q10" s="2"/>
      <c r="R10" s="35"/>
      <c r="S10" s="35"/>
      <c r="T10" s="35"/>
      <c r="U10" s="35"/>
      <c r="V10" s="35"/>
    </row>
    <row r="11" spans="1:22">
      <c r="A11" s="2" t="s">
        <v>88</v>
      </c>
      <c r="B11" s="8">
        <f>IFERROR(Annual_Statements!B41/Annual_Statements!B9,0)</f>
        <v>1.7376956040834335E-2</v>
      </c>
      <c r="C11" s="8">
        <f>IFERROR(Annual_Statements!C41/Annual_Statements!C9,0)</f>
        <v>1.6841147018661812E-2</v>
      </c>
      <c r="D11" s="8">
        <f>IFERROR(Annual_Statements!D41/Annual_Statements!D9,0)</f>
        <v>1.6344491592016345E-2</v>
      </c>
      <c r="E11" s="8">
        <f>IFERROR(Annual_Statements!E41/Annual_Statements!E9,0)</f>
        <v>1.4058241285324917E-2</v>
      </c>
      <c r="F11" s="8">
        <f>IFERROR(Annual_Statements!F41/Annual_Statements!F9,0)</f>
        <v>2.2511461122963098E-2</v>
      </c>
      <c r="G11" s="8">
        <f>IFERROR(Annual_Statements!G41/Annual_Statements!G9,0)</f>
        <v>2.4803824298728239E-2</v>
      </c>
      <c r="H11" s="8">
        <f>IFERROR(Annual_Statements!H41/Annual_Statements!H9,0)</f>
        <v>2.4001244797136966E-2</v>
      </c>
      <c r="I11" s="8">
        <f>IFERROR(Annual_Statements!I41/Annual_Statements!I9,0)</f>
        <v>2.2308160561463817E-2</v>
      </c>
      <c r="J11" s="8">
        <f>IFERROR(Annual_Statements!J41/Annual_Statements!J9,0)</f>
        <v>2.0701513067400274E-2</v>
      </c>
      <c r="K11" s="8">
        <f>IFERROR(Annual_Statements!K41/Annual_Statements!K9,0)</f>
        <v>2.0510951323768182E-2</v>
      </c>
      <c r="L11" s="7">
        <f>IFERROR(Annual_Statements!L41/Annual_Statements!L9,0)</f>
        <v>2.0854848918945932E-2</v>
      </c>
      <c r="M11" s="58">
        <f>IFERROR(Annual_Statements!M41/Annual_Statements!M9,0)</f>
        <v>2.0473468780094314E-2</v>
      </c>
      <c r="N11" s="58">
        <f>IFERROR(Annual_Statements!N41/Annual_Statements!N9,0)</f>
        <v>2.0361076272275836E-2</v>
      </c>
      <c r="O11" s="58">
        <f>IFERROR(Annual_Statements!O41/Annual_Statements!O9,0)</f>
        <v>2.0352195048991467E-2</v>
      </c>
      <c r="P11" s="58">
        <f>IFERROR(Annual_Statements!P41/Annual_Statements!P9,0)</f>
        <v>2.0343350136310993E-2</v>
      </c>
      <c r="Q11" s="2"/>
      <c r="R11" s="2"/>
      <c r="S11" s="36"/>
      <c r="T11" s="36"/>
      <c r="U11" s="36"/>
      <c r="V11" s="36"/>
    </row>
    <row r="12" spans="1:22">
      <c r="A12" s="2" t="s">
        <v>89</v>
      </c>
      <c r="B12" s="8">
        <f>IFERROR(-Annual_Statements!B119/Annual_Statements!B9,0)</f>
        <v>1.8132475868696697E-2</v>
      </c>
      <c r="C12" s="8">
        <f>IFERROR(-Annual_Statements!C119/Annual_Statements!C9,0)</f>
        <v>1.6898042785616751E-2</v>
      </c>
      <c r="D12" s="8">
        <f>IFERROR(-Annual_Statements!D119/Annual_Statements!D9,0)</f>
        <v>1.5139609199015139E-2</v>
      </c>
      <c r="E12" s="8">
        <f>IFERROR(-Annual_Statements!E119/Annual_Statements!E9,0)</f>
        <v>1.5253669966049826E-2</v>
      </c>
      <c r="F12" s="8">
        <f>IFERROR(-Annual_Statements!F119/Annual_Statements!F9,0)</f>
        <v>2.0561935454586719E-2</v>
      </c>
      <c r="G12" s="8">
        <f>IFERROR(-Annual_Statements!G119/Annual_Statements!G9,0)</f>
        <v>1.9392080815369351E-2</v>
      </c>
      <c r="H12" s="8">
        <f>IFERROR(-Annual_Statements!H119/Annual_Statements!H9,0)</f>
        <v>1.5559964212082313E-2</v>
      </c>
      <c r="I12" s="8">
        <f>IFERROR(-Annual_Statements!I119/Annual_Statements!I9,0)</f>
        <v>1.3750134278655065E-2</v>
      </c>
      <c r="J12" s="8">
        <f>IFERROR(-Annual_Statements!J119/Annual_Statements!J9,0)</f>
        <v>1.1141678129298487E-2</v>
      </c>
      <c r="K12" s="8">
        <f>IFERROR(-Annual_Statements!K119/Annual_Statements!K9,0)</f>
        <v>1.5408065210908248E-2</v>
      </c>
      <c r="L12" s="7">
        <f>IFERROR(-Annual_Statements!L119/Annual_Statements!L9,0)</f>
        <v>1.5990938468201352E-2</v>
      </c>
      <c r="M12" s="58">
        <f>IFERROR(-Annual_Statements!M119/Annual_Statements!M9,0)</f>
        <v>2.6126715372880489E-2</v>
      </c>
      <c r="N12" s="58">
        <f>IFERROR(-Annual_Statements!N119/Annual_Statements!N9,0)</f>
        <v>1.5742119563162488E-2</v>
      </c>
      <c r="O12" s="58">
        <f>IFERROR(-Annual_Statements!O119/Annual_Statements!O9,0)</f>
        <v>2.0753028212633969E-2</v>
      </c>
      <c r="P12" s="58">
        <f>IFERROR(-Annual_Statements!P119/Annual_Statements!P9,0)</f>
        <v>1.7272829236978409E-2</v>
      </c>
      <c r="Q12" s="2"/>
      <c r="R12" s="2"/>
      <c r="S12" s="37"/>
      <c r="T12" s="37"/>
      <c r="U12" s="37"/>
      <c r="V12" s="37"/>
    </row>
    <row r="13" spans="1:22" ht="28.05" customHeight="1">
      <c r="A13" s="2" t="s">
        <v>90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7">
        <v>0</v>
      </c>
      <c r="M13" s="58">
        <v>0.72</v>
      </c>
      <c r="N13" s="58">
        <v>0.72</v>
      </c>
      <c r="O13" s="58">
        <v>0.72</v>
      </c>
      <c r="P13" s="58">
        <v>0.72</v>
      </c>
      <c r="Q13" s="2"/>
      <c r="R13" s="105"/>
      <c r="S13" s="105"/>
      <c r="T13" s="105"/>
      <c r="U13" s="105"/>
      <c r="V13" s="105"/>
    </row>
    <row r="14" spans="1:22">
      <c r="A14" s="2" t="s">
        <v>91</v>
      </c>
      <c r="B14" s="71">
        <v>0</v>
      </c>
      <c r="C14" s="71">
        <v>0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0</v>
      </c>
      <c r="K14" s="71">
        <v>0</v>
      </c>
      <c r="L14" s="72">
        <v>0</v>
      </c>
      <c r="M14" s="73">
        <v>100</v>
      </c>
      <c r="N14" s="73">
        <v>150</v>
      </c>
      <c r="O14" s="73">
        <v>250</v>
      </c>
      <c r="P14" s="73">
        <v>250</v>
      </c>
      <c r="Q14" s="2"/>
      <c r="R14" s="2"/>
      <c r="S14" s="2"/>
      <c r="T14" s="2"/>
      <c r="U14" s="2"/>
      <c r="V14" s="2"/>
    </row>
    <row r="15" spans="1:22">
      <c r="A15" s="2" t="s">
        <v>92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7">
        <v>0</v>
      </c>
      <c r="M15" s="58">
        <v>0.1</v>
      </c>
      <c r="N15" s="58">
        <v>0.2</v>
      </c>
      <c r="O15" s="58">
        <v>0.3</v>
      </c>
      <c r="P15" s="58">
        <v>0.25</v>
      </c>
      <c r="Q15" s="2"/>
      <c r="R15" s="2"/>
      <c r="S15" s="2"/>
      <c r="T15" s="2"/>
      <c r="U15" s="2"/>
      <c r="V15" s="2"/>
    </row>
    <row r="16" spans="1:22">
      <c r="A16" s="2" t="s">
        <v>93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7">
        <v>0</v>
      </c>
      <c r="M16" s="58">
        <v>0</v>
      </c>
      <c r="N16" s="58">
        <v>0</v>
      </c>
      <c r="O16" s="58">
        <v>0</v>
      </c>
      <c r="P16" s="58">
        <v>0</v>
      </c>
      <c r="Q16" s="2"/>
      <c r="R16" s="2"/>
      <c r="S16" s="2"/>
      <c r="T16" s="2"/>
      <c r="U16" s="2"/>
      <c r="V16" s="2"/>
    </row>
    <row r="17" spans="1:22">
      <c r="A17" s="2" t="s">
        <v>94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5">
        <v>0</v>
      </c>
      <c r="M17" s="58">
        <v>0</v>
      </c>
      <c r="N17" s="58">
        <v>0</v>
      </c>
      <c r="O17" s="58">
        <v>0</v>
      </c>
      <c r="P17" s="58">
        <v>0</v>
      </c>
      <c r="Q17" s="2"/>
      <c r="R17" s="2"/>
      <c r="S17" s="2"/>
      <c r="T17" s="2"/>
      <c r="U17" s="2"/>
      <c r="V17" s="2"/>
    </row>
    <row r="18" spans="1:22">
      <c r="A18" s="2" t="s">
        <v>95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5">
        <v>0</v>
      </c>
      <c r="M18" s="59">
        <v>0</v>
      </c>
      <c r="N18" s="59">
        <v>0</v>
      </c>
      <c r="O18" s="59">
        <v>0</v>
      </c>
      <c r="P18" s="59">
        <v>0</v>
      </c>
      <c r="Q18" s="2"/>
      <c r="R18" s="2"/>
      <c r="S18" s="2"/>
      <c r="T18" s="2"/>
      <c r="U18" s="2"/>
      <c r="V18" s="2"/>
    </row>
    <row r="19" spans="1:22">
      <c r="A19" s="2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85"/>
      <c r="N19" s="85"/>
      <c r="O19" s="85"/>
      <c r="P19" s="85"/>
      <c r="Q19" s="2"/>
      <c r="R19" s="2"/>
      <c r="S19" s="2"/>
      <c r="T19" s="2"/>
      <c r="U19" s="2"/>
      <c r="V19" s="2"/>
    </row>
    <row r="20" spans="1:22">
      <c r="A20" s="106" t="s">
        <v>96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8"/>
      <c r="M20" s="109"/>
      <c r="N20" s="109"/>
      <c r="O20" s="109"/>
      <c r="P20" s="109"/>
      <c r="Q20" s="2"/>
      <c r="R20" s="2"/>
      <c r="S20" s="2"/>
      <c r="T20" s="2"/>
      <c r="U20" s="2"/>
      <c r="V20" s="2"/>
    </row>
    <row r="21" spans="1:22">
      <c r="A21" s="2"/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7"/>
      <c r="N21" s="7"/>
      <c r="O21" s="7"/>
      <c r="P21" s="7"/>
      <c r="Q21" s="2"/>
      <c r="R21" s="2"/>
      <c r="S21" s="2"/>
      <c r="T21" s="2"/>
      <c r="U21" s="2"/>
      <c r="V21" s="2"/>
    </row>
    <row r="22" spans="1:22">
      <c r="A22" s="2" t="s">
        <v>97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  <c r="M22" s="58">
        <v>0</v>
      </c>
      <c r="N22" s="58">
        <v>0.08</v>
      </c>
      <c r="O22" s="58">
        <v>0.08</v>
      </c>
      <c r="P22" s="58">
        <v>0.08</v>
      </c>
      <c r="Q22" s="2"/>
      <c r="R22" s="2"/>
      <c r="S22" s="2"/>
      <c r="T22" s="2"/>
      <c r="U22" s="2"/>
      <c r="V22" s="2"/>
    </row>
    <row r="23" spans="1:22">
      <c r="A23" s="2" t="s">
        <v>98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  <c r="M23" s="58">
        <v>0</v>
      </c>
      <c r="N23" s="58">
        <v>7.0000000000000007E-2</v>
      </c>
      <c r="O23" s="58">
        <v>7.0000000000000007E-2</v>
      </c>
      <c r="P23" s="58">
        <v>7.0000000000000007E-2</v>
      </c>
      <c r="Q23" s="2"/>
      <c r="R23" s="2"/>
      <c r="S23" s="2"/>
      <c r="T23" s="2"/>
      <c r="U23" s="2"/>
      <c r="V23" s="2"/>
    </row>
    <row r="24" spans="1:22">
      <c r="A24" s="2" t="s">
        <v>99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58">
        <v>0</v>
      </c>
      <c r="N24" s="58">
        <v>0.06</v>
      </c>
      <c r="O24" s="58">
        <v>0.06</v>
      </c>
      <c r="P24" s="58">
        <v>0.06</v>
      </c>
      <c r="Q24" s="2"/>
      <c r="R24" s="2"/>
      <c r="S24" s="2"/>
      <c r="T24" s="2"/>
      <c r="U24" s="2"/>
      <c r="V24" s="2"/>
    </row>
    <row r="25" spans="1:22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5"/>
      <c r="N25" s="5"/>
      <c r="O25" s="5"/>
      <c r="P25" s="5"/>
      <c r="Q25" s="2"/>
      <c r="R25" s="2"/>
      <c r="S25" s="2"/>
      <c r="T25" s="2"/>
      <c r="U25" s="2"/>
      <c r="V25" s="2"/>
    </row>
    <row r="26" spans="1:22">
      <c r="A26" s="2"/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5"/>
      <c r="N26" s="5"/>
      <c r="O26" s="5"/>
      <c r="P26" s="5"/>
      <c r="Q26" s="2"/>
      <c r="R26" s="2"/>
      <c r="S26" s="2"/>
      <c r="T26" s="2"/>
      <c r="U26" s="2"/>
      <c r="V26" s="2"/>
    </row>
    <row r="27" spans="1:2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7"/>
      <c r="N27" s="7"/>
      <c r="O27" s="7"/>
      <c r="P27" s="7"/>
      <c r="Q27" s="2"/>
      <c r="R27" s="2"/>
      <c r="S27" s="2"/>
      <c r="T27" s="2"/>
      <c r="U27" s="2"/>
      <c r="V27" s="2"/>
    </row>
    <row r="28" spans="1:2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8"/>
      <c r="N28" s="7"/>
      <c r="O28" s="7"/>
      <c r="P28" s="7"/>
      <c r="Q28" s="2"/>
      <c r="R28" s="2"/>
      <c r="S28" s="2"/>
      <c r="T28" s="2"/>
      <c r="U28" s="2"/>
      <c r="V28" s="2"/>
    </row>
    <row r="29" spans="1:22">
      <c r="A29" s="17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86"/>
      <c r="N29" s="86"/>
      <c r="O29" s="86"/>
      <c r="P29" s="86"/>
      <c r="Q29" s="2"/>
      <c r="R29" s="2"/>
      <c r="S29" s="2"/>
      <c r="T29" s="2"/>
      <c r="U29" s="2"/>
      <c r="V29" s="2"/>
    </row>
    <row r="30" spans="1:22">
      <c r="A30" s="17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86"/>
      <c r="N30" s="86"/>
      <c r="O30" s="86"/>
      <c r="P30" s="86"/>
      <c r="Q30" s="2"/>
      <c r="R30" s="2"/>
      <c r="S30" s="2"/>
      <c r="T30" s="2"/>
      <c r="U30" s="2"/>
      <c r="V30" s="2"/>
    </row>
    <row r="31" spans="1:22">
      <c r="A31" s="1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7"/>
      <c r="N31" s="87"/>
      <c r="O31" s="87"/>
      <c r="P31" s="87"/>
      <c r="Q31" s="2"/>
      <c r="R31" s="2"/>
      <c r="S31" s="2"/>
      <c r="T31" s="2"/>
      <c r="U31" s="2"/>
      <c r="V31" s="2"/>
    </row>
    <row r="32" spans="1:22">
      <c r="A32" s="1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7"/>
      <c r="N32" s="7"/>
      <c r="O32" s="7"/>
      <c r="P32" s="7"/>
      <c r="Q32" s="2"/>
      <c r="R32" s="2"/>
      <c r="S32" s="2"/>
      <c r="T32" s="2"/>
      <c r="U32" s="2"/>
      <c r="V32" s="2"/>
    </row>
    <row r="33" spans="1:22">
      <c r="A33" s="1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7"/>
      <c r="N33" s="7"/>
      <c r="O33" s="7"/>
      <c r="P33" s="7"/>
      <c r="Q33" s="2"/>
      <c r="R33" s="2"/>
      <c r="S33" s="2"/>
      <c r="T33" s="2"/>
      <c r="U33" s="2"/>
      <c r="V33" s="2"/>
    </row>
    <row r="34" spans="1:22">
      <c r="A34" s="1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5"/>
      <c r="N34" s="5"/>
      <c r="O34" s="5"/>
      <c r="P34" s="5"/>
      <c r="Q34" s="2"/>
      <c r="R34" s="2"/>
      <c r="S34" s="2"/>
      <c r="T34" s="2"/>
      <c r="U34" s="2"/>
      <c r="V34" s="2"/>
    </row>
    <row r="35" spans="1:22">
      <c r="A35" s="1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5"/>
      <c r="N35" s="5"/>
      <c r="O35" s="5"/>
      <c r="P35" s="5"/>
      <c r="Q35" s="2"/>
      <c r="R35" s="2"/>
      <c r="S35" s="2"/>
      <c r="T35" s="2"/>
      <c r="U35" s="2"/>
      <c r="V35" s="2"/>
    </row>
    <row r="36" spans="1:22">
      <c r="A36" s="17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5"/>
      <c r="N36" s="5"/>
      <c r="O36" s="5"/>
      <c r="P36" s="5"/>
      <c r="Q36" s="2"/>
      <c r="R36" s="2"/>
      <c r="S36" s="2"/>
      <c r="T36" s="2"/>
      <c r="U36" s="2"/>
      <c r="V36" s="2"/>
    </row>
    <row r="37" spans="1:22">
      <c r="A37" s="17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5"/>
      <c r="N37" s="5"/>
      <c r="O37" s="5"/>
      <c r="P37" s="5"/>
      <c r="Q37" s="2"/>
      <c r="R37" s="2"/>
      <c r="S37" s="2"/>
      <c r="T37" s="2"/>
      <c r="U37" s="2"/>
      <c r="V37" s="2"/>
    </row>
    <row r="38" spans="1:22">
      <c r="A38" s="17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N38" s="5"/>
      <c r="O38" s="5"/>
      <c r="P38" s="5"/>
      <c r="Q38" s="2"/>
      <c r="R38" s="2"/>
      <c r="S38" s="2"/>
      <c r="T38" s="2"/>
      <c r="U38" s="2"/>
      <c r="V38" s="2"/>
    </row>
    <row r="39" spans="1:22">
      <c r="A39" s="17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5"/>
      <c r="N39" s="5"/>
      <c r="O39" s="5"/>
      <c r="P39" s="5"/>
      <c r="Q39" s="2"/>
      <c r="R39" s="2"/>
      <c r="S39" s="2"/>
      <c r="T39" s="2"/>
      <c r="U39" s="2"/>
      <c r="V39" s="2"/>
    </row>
    <row r="40" spans="1:22">
      <c r="A40" s="1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7"/>
      <c r="N40" s="7"/>
      <c r="O40" s="7"/>
      <c r="P40" s="7"/>
      <c r="Q40" s="2"/>
      <c r="R40" s="2"/>
      <c r="S40" s="2"/>
      <c r="T40" s="2"/>
      <c r="U40" s="2"/>
      <c r="V40" s="2"/>
    </row>
    <row r="41" spans="1:22">
      <c r="A41" s="17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5"/>
      <c r="N41" s="5"/>
      <c r="O41" s="5"/>
      <c r="P41" s="5"/>
      <c r="Q41" s="2"/>
      <c r="R41" s="2"/>
      <c r="S41" s="2"/>
      <c r="T41" s="2"/>
      <c r="U41" s="2"/>
      <c r="V41" s="2"/>
    </row>
    <row r="42" spans="1:22">
      <c r="A42" s="17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5"/>
      <c r="N42" s="5"/>
      <c r="O42" s="5"/>
      <c r="P42" s="5"/>
      <c r="Q42" s="2"/>
      <c r="R42" s="2"/>
      <c r="S42" s="2"/>
      <c r="T42" s="2"/>
      <c r="U42" s="2"/>
      <c r="V42" s="2"/>
    </row>
    <row r="43" spans="1:22">
      <c r="A43" s="1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5"/>
      <c r="N43" s="5"/>
      <c r="O43" s="5"/>
      <c r="P43" s="5"/>
      <c r="Q43" s="2"/>
      <c r="R43" s="2"/>
      <c r="S43" s="2"/>
      <c r="T43" s="2"/>
      <c r="U43" s="2"/>
      <c r="V43" s="2"/>
    </row>
    <row r="44" spans="1:22">
      <c r="A44" s="17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5"/>
      <c r="N44" s="5"/>
      <c r="O44" s="5"/>
      <c r="P44" s="5"/>
      <c r="Q44" s="2"/>
      <c r="R44" s="2"/>
      <c r="S44" s="2"/>
      <c r="T44" s="2"/>
      <c r="U44" s="2"/>
      <c r="V44" s="2"/>
    </row>
  </sheetData>
  <mergeCells count="4">
    <mergeCell ref="A1:P1"/>
    <mergeCell ref="R1:V1"/>
    <mergeCell ref="R13:V13"/>
    <mergeCell ref="A20:P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8"/>
  <sheetViews>
    <sheetView showGridLines="0" topLeftCell="D14" workbookViewId="0">
      <selection sqref="A1:P1"/>
    </sheetView>
  </sheetViews>
  <sheetFormatPr defaultRowHeight="13.8"/>
  <cols>
    <col min="1" max="1" width="38" customWidth="1"/>
    <col min="2" max="16" width="12" customWidth="1"/>
    <col min="18" max="18" width="31" customWidth="1"/>
    <col min="19" max="22" width="13" customWidth="1"/>
  </cols>
  <sheetData>
    <row r="1" spans="1:25" ht="19.95" customHeight="1">
      <c r="A1" s="95" t="s">
        <v>100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2"/>
      <c r="R1" s="95" t="s">
        <v>101</v>
      </c>
      <c r="S1" s="95"/>
      <c r="T1" s="95"/>
      <c r="U1" s="95"/>
      <c r="V1" s="95"/>
      <c r="W1" s="42"/>
      <c r="X1" s="42"/>
      <c r="Y1" s="42"/>
    </row>
    <row r="2" spans="1: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57" t="s">
        <v>102</v>
      </c>
      <c r="B4" s="57" t="s">
        <v>2</v>
      </c>
      <c r="C4" s="57" t="s">
        <v>3</v>
      </c>
      <c r="D4" s="57" t="s">
        <v>4</v>
      </c>
      <c r="E4" s="57" t="s">
        <v>5</v>
      </c>
      <c r="F4" s="57" t="s">
        <v>6</v>
      </c>
      <c r="G4" s="57" t="s">
        <v>7</v>
      </c>
      <c r="H4" s="57" t="s">
        <v>8</v>
      </c>
      <c r="I4" s="57" t="s">
        <v>9</v>
      </c>
      <c r="J4" s="57" t="s">
        <v>10</v>
      </c>
      <c r="K4" s="57" t="s">
        <v>11</v>
      </c>
      <c r="L4" s="57" t="s">
        <v>12</v>
      </c>
      <c r="M4" s="57" t="s">
        <v>13</v>
      </c>
      <c r="N4" s="57" t="s">
        <v>14</v>
      </c>
      <c r="O4" s="57" t="s">
        <v>15</v>
      </c>
      <c r="P4" s="57" t="s">
        <v>16</v>
      </c>
      <c r="Q4" s="2"/>
      <c r="R4" s="35" t="s">
        <v>103</v>
      </c>
      <c r="S4" s="35" t="s">
        <v>104</v>
      </c>
      <c r="T4" s="35" t="s">
        <v>105</v>
      </c>
      <c r="U4" s="35" t="s">
        <v>106</v>
      </c>
      <c r="V4" s="35" t="s">
        <v>76</v>
      </c>
      <c r="W4" s="2" t="s">
        <v>77</v>
      </c>
      <c r="X4" s="2" t="s">
        <v>78</v>
      </c>
      <c r="Y4" s="2" t="s">
        <v>79</v>
      </c>
    </row>
    <row r="5" spans="1:25">
      <c r="A5" s="2" t="s">
        <v>18</v>
      </c>
      <c r="B5" s="44">
        <v>16544.900000000001</v>
      </c>
      <c r="C5" s="44">
        <v>17576</v>
      </c>
      <c r="D5" s="44">
        <v>19089</v>
      </c>
      <c r="E5" s="44">
        <v>20913</v>
      </c>
      <c r="F5" s="44">
        <v>22031</v>
      </c>
      <c r="G5" s="44">
        <v>22174</v>
      </c>
      <c r="H5" s="44">
        <v>25707</v>
      </c>
      <c r="I5" s="44">
        <v>27927</v>
      </c>
      <c r="J5" s="44">
        <v>29080</v>
      </c>
      <c r="K5" s="44">
        <v>30179</v>
      </c>
      <c r="L5" s="44">
        <v>30017</v>
      </c>
      <c r="M5" s="48">
        <v>30925.817943040001</v>
      </c>
      <c r="N5" s="48">
        <v>32162.850660761604</v>
      </c>
      <c r="O5" s="48">
        <v>33770.993193799688</v>
      </c>
      <c r="P5" s="48">
        <v>35459.542853489671</v>
      </c>
      <c r="Q5" s="2" t="s">
        <v>107</v>
      </c>
      <c r="R5" s="44">
        <v>7421</v>
      </c>
      <c r="S5" s="44">
        <v>7466</v>
      </c>
      <c r="T5" s="45">
        <v>7509</v>
      </c>
      <c r="U5" s="45">
        <v>7621</v>
      </c>
      <c r="V5" s="45">
        <v>7624</v>
      </c>
      <c r="W5" s="48">
        <v>7685</v>
      </c>
      <c r="X5" s="48">
        <v>7762</v>
      </c>
      <c r="Y5" s="48">
        <v>7855</v>
      </c>
    </row>
    <row r="6" spans="1:25">
      <c r="A6" s="2" t="s">
        <v>20</v>
      </c>
      <c r="B6" s="8">
        <v>0</v>
      </c>
      <c r="C6" s="8">
        <f t="shared" ref="C6:P6" si="0">IFERROR(C5/B5-1,0)</f>
        <v>6.2321319560710409E-2</v>
      </c>
      <c r="D6" s="8">
        <f t="shared" si="0"/>
        <v>8.6083295402822113E-2</v>
      </c>
      <c r="E6" s="8">
        <f t="shared" si="0"/>
        <v>9.555241238409562E-2</v>
      </c>
      <c r="F6" s="8">
        <f t="shared" si="0"/>
        <v>5.3459570602017781E-2</v>
      </c>
      <c r="G6" s="8">
        <f t="shared" si="0"/>
        <v>6.4908537969226021E-3</v>
      </c>
      <c r="H6" s="8">
        <f t="shared" si="0"/>
        <v>0.15933074772255784</v>
      </c>
      <c r="I6" s="8">
        <f t="shared" si="0"/>
        <v>8.6357801377056731E-2</v>
      </c>
      <c r="J6" s="8">
        <f t="shared" si="0"/>
        <v>4.1286210477315954E-2</v>
      </c>
      <c r="K6" s="8">
        <f t="shared" si="0"/>
        <v>3.779229711141685E-2</v>
      </c>
      <c r="L6" s="8">
        <f t="shared" si="0"/>
        <v>-5.3679711057357249E-3</v>
      </c>
      <c r="M6" s="49">
        <f t="shared" si="0"/>
        <v>3.0276774595729083E-2</v>
      </c>
      <c r="N6" s="49">
        <f t="shared" si="0"/>
        <v>4.0000000000000036E-2</v>
      </c>
      <c r="O6" s="49">
        <f t="shared" si="0"/>
        <v>5.0000000000000044E-2</v>
      </c>
      <c r="P6" s="49">
        <f t="shared" si="0"/>
        <v>5.0000000000000044E-2</v>
      </c>
      <c r="Q6" s="2" t="s">
        <v>108</v>
      </c>
      <c r="R6" s="44">
        <v>1308.2070368456511</v>
      </c>
      <c r="S6" s="44">
        <v>1534.5268542199487</v>
      </c>
      <c r="T6" s="45">
        <v>1800</v>
      </c>
      <c r="U6" s="45">
        <v>2300</v>
      </c>
      <c r="V6" s="45">
        <v>2600</v>
      </c>
      <c r="W6" s="48">
        <v>2808</v>
      </c>
      <c r="X6" s="48">
        <v>3004.5600000000004</v>
      </c>
      <c r="Y6" s="48">
        <v>3184.8336000000004</v>
      </c>
    </row>
    <row r="7" spans="1:25">
      <c r="A7" s="2" t="s">
        <v>109</v>
      </c>
      <c r="B7" s="71">
        <v>353843</v>
      </c>
      <c r="C7" s="71">
        <v>387223</v>
      </c>
      <c r="D7" s="71">
        <v>394998</v>
      </c>
      <c r="E7" s="71">
        <v>424285</v>
      </c>
      <c r="F7" s="71">
        <v>448464</v>
      </c>
      <c r="G7" s="71">
        <v>488649</v>
      </c>
      <c r="H7" s="71">
        <v>592195</v>
      </c>
      <c r="I7" s="71">
        <v>614795</v>
      </c>
      <c r="J7" s="71">
        <v>601546</v>
      </c>
      <c r="K7" s="71">
        <v>607979</v>
      </c>
      <c r="L7" s="71">
        <v>584519</v>
      </c>
      <c r="M7" s="74">
        <v>593798</v>
      </c>
      <c r="N7" s="74">
        <v>593798</v>
      </c>
      <c r="O7" s="74">
        <v>593798</v>
      </c>
      <c r="P7" s="74">
        <v>593798</v>
      </c>
      <c r="Q7" s="2" t="s">
        <v>110</v>
      </c>
      <c r="R7" s="44">
        <v>327.05175921141279</v>
      </c>
      <c r="S7" s="44">
        <v>383.63171355498719</v>
      </c>
      <c r="T7" s="45">
        <v>450</v>
      </c>
      <c r="U7" s="45">
        <v>575</v>
      </c>
      <c r="V7" s="45">
        <v>650</v>
      </c>
      <c r="W7" s="48">
        <v>702</v>
      </c>
      <c r="X7" s="48">
        <v>751.1400000000001</v>
      </c>
      <c r="Y7" s="48">
        <v>796.2084000000001</v>
      </c>
    </row>
    <row r="8" spans="1:25">
      <c r="A8" s="2" t="s">
        <v>111</v>
      </c>
      <c r="B8" s="71">
        <v>0</v>
      </c>
      <c r="C8" s="71">
        <f t="shared" ref="C8:P8" si="1">IFERROR(C7/B7-1,0)</f>
        <v>9.4335623426208715E-2</v>
      </c>
      <c r="D8" s="71">
        <f t="shared" si="1"/>
        <v>2.0078869282041722E-2</v>
      </c>
      <c r="E8" s="71">
        <f t="shared" si="1"/>
        <v>7.4144679213565601E-2</v>
      </c>
      <c r="F8" s="71">
        <f t="shared" si="1"/>
        <v>5.6987638026326559E-2</v>
      </c>
      <c r="G8" s="71">
        <f t="shared" si="1"/>
        <v>8.9605854650540495E-2</v>
      </c>
      <c r="H8" s="71">
        <f t="shared" si="1"/>
        <v>0.2119026131231212</v>
      </c>
      <c r="I8" s="71">
        <f t="shared" si="1"/>
        <v>3.8163105058300006E-2</v>
      </c>
      <c r="J8" s="71">
        <f t="shared" si="1"/>
        <v>-2.1550272855179409E-2</v>
      </c>
      <c r="K8" s="71">
        <f t="shared" si="1"/>
        <v>1.069411150601951E-2</v>
      </c>
      <c r="L8" s="71">
        <f t="shared" si="1"/>
        <v>-3.858685908559345E-2</v>
      </c>
      <c r="M8" s="74">
        <f>IFERROR(M7/L7-1,0)</f>
        <v>1.5874590902947627E-2</v>
      </c>
      <c r="N8" s="74">
        <f t="shared" si="1"/>
        <v>0</v>
      </c>
      <c r="O8" s="74">
        <f t="shared" si="1"/>
        <v>0</v>
      </c>
      <c r="P8" s="74">
        <f t="shared" si="1"/>
        <v>0</v>
      </c>
      <c r="Q8" s="2" t="s">
        <v>51</v>
      </c>
      <c r="R8" s="44">
        <v>7093.9482407885871</v>
      </c>
      <c r="S8" s="44">
        <v>7082.3682864450129</v>
      </c>
      <c r="T8" s="45">
        <v>7059</v>
      </c>
      <c r="U8" s="45">
        <v>7046</v>
      </c>
      <c r="V8" s="45">
        <v>6974</v>
      </c>
      <c r="W8" s="48">
        <v>6983</v>
      </c>
      <c r="X8" s="48">
        <v>7010.86</v>
      </c>
      <c r="Y8" s="48">
        <v>7058.7915999999996</v>
      </c>
    </row>
    <row r="9" spans="1:25">
      <c r="A9" s="2" t="s">
        <v>112</v>
      </c>
      <c r="B9" s="71">
        <v>9152</v>
      </c>
      <c r="C9" s="71">
        <v>8726</v>
      </c>
      <c r="D9" s="71">
        <v>4118</v>
      </c>
      <c r="E9" s="71">
        <v>6356</v>
      </c>
      <c r="F9" s="71">
        <v>1789</v>
      </c>
      <c r="G9" s="71">
        <v>19388</v>
      </c>
      <c r="H9" s="71">
        <v>35209</v>
      </c>
      <c r="I9" s="71">
        <v>821</v>
      </c>
      <c r="J9" s="71">
        <v>-1759</v>
      </c>
      <c r="K9" s="71">
        <v>625</v>
      </c>
      <c r="L9" s="71">
        <v>2356</v>
      </c>
      <c r="M9" s="74">
        <v>9279</v>
      </c>
      <c r="N9" s="74">
        <v>9279</v>
      </c>
      <c r="O9" s="74">
        <v>9279</v>
      </c>
      <c r="P9" s="74">
        <v>9279</v>
      </c>
      <c r="Q9" s="2" t="s">
        <v>113</v>
      </c>
      <c r="R9" s="8">
        <f t="shared" ref="R9:Y9" si="2">R7/R5</f>
        <v>4.4071116993856997E-2</v>
      </c>
      <c r="S9" s="8">
        <f t="shared" si="2"/>
        <v>5.1383835193542352E-2</v>
      </c>
      <c r="T9" s="39">
        <f t="shared" si="2"/>
        <v>5.9928086296444263E-2</v>
      </c>
      <c r="U9" s="39">
        <f t="shared" si="2"/>
        <v>7.5449416087127671E-2</v>
      </c>
      <c r="V9" s="39">
        <f t="shared" si="2"/>
        <v>8.5257082896117525E-2</v>
      </c>
      <c r="W9" s="49">
        <f t="shared" si="2"/>
        <v>9.1346779440468442E-2</v>
      </c>
      <c r="X9" s="49">
        <f t="shared" si="2"/>
        <v>9.6771450657047162E-2</v>
      </c>
      <c r="Y9" s="49">
        <f t="shared" si="2"/>
        <v>0.10136325907065565</v>
      </c>
    </row>
    <row r="10" spans="1:25">
      <c r="A10" s="2" t="s">
        <v>114</v>
      </c>
      <c r="B10" s="8">
        <f t="shared" ref="B10:P10" si="3">IFERROR(B9/B7,0)</f>
        <v>2.5864578358198411E-2</v>
      </c>
      <c r="C10" s="8">
        <f t="shared" si="3"/>
        <v>2.2534818437954358E-2</v>
      </c>
      <c r="D10" s="8">
        <f t="shared" si="3"/>
        <v>1.0425369242375911E-2</v>
      </c>
      <c r="E10" s="8">
        <f t="shared" si="3"/>
        <v>1.4980496600162627E-2</v>
      </c>
      <c r="F10" s="8">
        <f t="shared" si="3"/>
        <v>3.9891719290734593E-3</v>
      </c>
      <c r="G10" s="8">
        <f t="shared" si="3"/>
        <v>3.9676741382874005E-2</v>
      </c>
      <c r="H10" s="8">
        <f t="shared" si="3"/>
        <v>5.9455078141490557E-2</v>
      </c>
      <c r="I10" s="8">
        <f t="shared" si="3"/>
        <v>1.3354044844216364E-3</v>
      </c>
      <c r="J10" s="8">
        <f t="shared" si="3"/>
        <v>-2.9241321528195681E-3</v>
      </c>
      <c r="K10" s="8">
        <f t="shared" si="3"/>
        <v>1.0279960327577104E-3</v>
      </c>
      <c r="L10" s="8">
        <f t="shared" si="3"/>
        <v>4.0306645292967382E-3</v>
      </c>
      <c r="M10" s="49">
        <f t="shared" si="3"/>
        <v>1.5626526192408865E-2</v>
      </c>
      <c r="N10" s="49">
        <f t="shared" si="3"/>
        <v>1.5626526192408865E-2</v>
      </c>
      <c r="O10" s="49">
        <f t="shared" si="3"/>
        <v>1.5626526192408865E-2</v>
      </c>
      <c r="P10" s="49">
        <f t="shared" si="3"/>
        <v>1.5626526192408865E-2</v>
      </c>
      <c r="Q10" s="2" t="s">
        <v>115</v>
      </c>
      <c r="R10" s="8">
        <v>0</v>
      </c>
      <c r="S10" s="8">
        <f t="shared" ref="S10:Y10" si="4">S6/R6-1</f>
        <v>0.17300000000000004</v>
      </c>
      <c r="T10" s="20">
        <f t="shared" si="4"/>
        <v>0.17300000000000004</v>
      </c>
      <c r="U10" s="20">
        <f t="shared" si="4"/>
        <v>0.27777777777777768</v>
      </c>
      <c r="V10" s="20">
        <f t="shared" si="4"/>
        <v>0.13043478260869557</v>
      </c>
      <c r="W10" s="49">
        <f t="shared" si="4"/>
        <v>8.0000000000000071E-2</v>
      </c>
      <c r="X10" s="49">
        <f t="shared" si="4"/>
        <v>7.0000000000000062E-2</v>
      </c>
      <c r="Y10" s="49">
        <f t="shared" si="4"/>
        <v>6.0000000000000053E-2</v>
      </c>
    </row>
    <row r="11" spans="1:25">
      <c r="A11" s="2" t="s">
        <v>116</v>
      </c>
      <c r="B11" s="8">
        <f t="shared" ref="B11:P11" si="5">IFERROR(B5/B9,0)</f>
        <v>1.8077906468531471</v>
      </c>
      <c r="C11" s="8">
        <f t="shared" si="5"/>
        <v>2.0142104056841621</v>
      </c>
      <c r="D11" s="8">
        <f t="shared" si="5"/>
        <v>4.6355026711996112</v>
      </c>
      <c r="E11" s="8">
        <f t="shared" si="5"/>
        <v>3.2902769037130271</v>
      </c>
      <c r="F11" s="8">
        <f t="shared" si="5"/>
        <v>12.314700950251536</v>
      </c>
      <c r="G11" s="8">
        <f t="shared" si="5"/>
        <v>1.1436971322467506</v>
      </c>
      <c r="H11" s="8">
        <f t="shared" si="5"/>
        <v>0.73012582010281457</v>
      </c>
      <c r="I11" s="8">
        <f t="shared" si="5"/>
        <v>34.015834348355661</v>
      </c>
      <c r="J11" s="8">
        <f t="shared" si="5"/>
        <v>-16.532120523024446</v>
      </c>
      <c r="K11" s="8">
        <f t="shared" si="5"/>
        <v>48.2864</v>
      </c>
      <c r="L11" s="8">
        <f t="shared" si="5"/>
        <v>12.740662139219015</v>
      </c>
      <c r="M11" s="49">
        <v>0.35</v>
      </c>
      <c r="N11" s="49">
        <f t="shared" si="5"/>
        <v>3.466197937359802</v>
      </c>
      <c r="O11" s="49">
        <f t="shared" si="5"/>
        <v>3.6395078342277927</v>
      </c>
      <c r="P11" s="49">
        <f t="shared" si="5"/>
        <v>3.8214832259391822</v>
      </c>
      <c r="Q11" s="2" t="s">
        <v>59</v>
      </c>
      <c r="R11" s="2">
        <f t="shared" ref="R11:Y11" si="6">R8+R7-R5</f>
        <v>0</v>
      </c>
      <c r="S11" s="8">
        <f t="shared" si="6"/>
        <v>0</v>
      </c>
      <c r="T11" s="39">
        <f t="shared" si="6"/>
        <v>0</v>
      </c>
      <c r="U11" s="39">
        <f t="shared" si="6"/>
        <v>0</v>
      </c>
      <c r="V11" s="39">
        <f t="shared" si="6"/>
        <v>0</v>
      </c>
      <c r="W11" s="88">
        <f t="shared" si="6"/>
        <v>0</v>
      </c>
      <c r="X11" s="88">
        <f t="shared" si="6"/>
        <v>0</v>
      </c>
      <c r="Y11" s="88">
        <f t="shared" si="6"/>
        <v>0</v>
      </c>
    </row>
    <row r="12" spans="1:25">
      <c r="A12" s="2" t="s">
        <v>117</v>
      </c>
      <c r="B12" s="71">
        <v>129</v>
      </c>
      <c r="C12" s="71">
        <v>130</v>
      </c>
      <c r="D12" s="71">
        <v>131</v>
      </c>
      <c r="E12" s="71">
        <v>147</v>
      </c>
      <c r="F12" s="71">
        <v>144</v>
      </c>
      <c r="G12" s="71">
        <v>154</v>
      </c>
      <c r="H12" s="71">
        <v>153</v>
      </c>
      <c r="I12" s="71">
        <v>150</v>
      </c>
      <c r="J12" s="71">
        <v>152</v>
      </c>
      <c r="K12" s="71">
        <v>152</v>
      </c>
      <c r="L12" s="71">
        <v>149</v>
      </c>
      <c r="M12" s="74">
        <v>148</v>
      </c>
      <c r="N12" s="74">
        <v>148</v>
      </c>
      <c r="O12" s="74">
        <v>148</v>
      </c>
      <c r="P12" s="74">
        <v>148</v>
      </c>
      <c r="Q12" s="2"/>
      <c r="R12" s="2"/>
      <c r="S12" s="8"/>
      <c r="T12" s="39"/>
      <c r="U12" s="39"/>
      <c r="V12" s="39"/>
      <c r="W12" s="2"/>
      <c r="X12" s="2"/>
      <c r="Y12" s="2"/>
    </row>
    <row r="13" spans="1:25">
      <c r="A13" s="2" t="s">
        <v>118</v>
      </c>
      <c r="B13" s="71">
        <v>829</v>
      </c>
      <c r="C13" s="71">
        <v>897</v>
      </c>
      <c r="D13" s="71">
        <v>963</v>
      </c>
      <c r="E13" s="71">
        <v>1008</v>
      </c>
      <c r="F13" s="71">
        <v>1072</v>
      </c>
      <c r="G13" s="71">
        <v>1096</v>
      </c>
      <c r="H13" s="71">
        <v>1182</v>
      </c>
      <c r="I13" s="71">
        <v>1241</v>
      </c>
      <c r="J13" s="71">
        <v>1294</v>
      </c>
      <c r="K13" s="71">
        <v>1332</v>
      </c>
      <c r="L13" s="71">
        <v>1397</v>
      </c>
      <c r="M13" s="74">
        <v>1401</v>
      </c>
      <c r="N13" s="74">
        <v>1401</v>
      </c>
      <c r="O13" s="74">
        <v>1401</v>
      </c>
      <c r="P13" s="74">
        <v>1401</v>
      </c>
      <c r="Q13" s="106" t="s">
        <v>119</v>
      </c>
      <c r="R13" s="106"/>
      <c r="S13" s="107"/>
      <c r="T13" s="107"/>
      <c r="U13" s="107"/>
      <c r="V13" s="107"/>
      <c r="W13" s="106"/>
      <c r="X13" s="106"/>
      <c r="Y13" s="106"/>
    </row>
    <row r="14" spans="1:25">
      <c r="A14" s="2" t="s">
        <v>120</v>
      </c>
      <c r="B14" s="71">
        <v>429</v>
      </c>
      <c r="C14" s="71">
        <v>459</v>
      </c>
      <c r="D14" s="71">
        <v>495</v>
      </c>
      <c r="E14" s="71">
        <v>532</v>
      </c>
      <c r="F14" s="71">
        <v>565</v>
      </c>
      <c r="G14" s="71">
        <v>569</v>
      </c>
      <c r="H14" s="71">
        <v>638</v>
      </c>
      <c r="I14" s="71">
        <v>665</v>
      </c>
      <c r="J14" s="71">
        <v>693</v>
      </c>
      <c r="K14" s="71">
        <v>723</v>
      </c>
      <c r="L14" s="71">
        <v>738</v>
      </c>
      <c r="M14" s="74">
        <v>746</v>
      </c>
      <c r="N14" s="74">
        <v>746</v>
      </c>
      <c r="O14" s="74">
        <v>746</v>
      </c>
      <c r="P14" s="74">
        <v>746</v>
      </c>
      <c r="Q14" s="2"/>
      <c r="R14" s="18"/>
      <c r="S14" s="21"/>
      <c r="T14" s="22"/>
      <c r="U14" s="22"/>
      <c r="V14" s="22"/>
      <c r="W14" s="2"/>
      <c r="X14" s="2"/>
      <c r="Y14" s="2"/>
    </row>
    <row r="15" spans="1:25">
      <c r="A15" s="2" t="s">
        <v>121</v>
      </c>
      <c r="B15" s="71">
        <v>298</v>
      </c>
      <c r="C15" s="71">
        <v>310</v>
      </c>
      <c r="D15" s="71">
        <v>350</v>
      </c>
      <c r="E15" s="71">
        <v>371</v>
      </c>
      <c r="F15" s="71">
        <v>391</v>
      </c>
      <c r="G15" s="71">
        <v>387</v>
      </c>
      <c r="H15" s="71">
        <v>439</v>
      </c>
      <c r="I15" s="71">
        <v>461</v>
      </c>
      <c r="J15" s="71">
        <v>487</v>
      </c>
      <c r="K15" s="71">
        <v>493</v>
      </c>
      <c r="L15" s="71">
        <v>499</v>
      </c>
      <c r="M15" s="74">
        <v>504</v>
      </c>
      <c r="N15" s="74">
        <v>504</v>
      </c>
      <c r="O15" s="74">
        <v>504</v>
      </c>
      <c r="P15" s="74">
        <v>504</v>
      </c>
      <c r="Q15" s="2"/>
      <c r="R15" s="18"/>
      <c r="S15" s="21"/>
      <c r="T15" s="22"/>
      <c r="U15" s="22"/>
      <c r="V15" s="22"/>
      <c r="W15" s="2"/>
      <c r="X15" s="2"/>
      <c r="Y15" s="2"/>
    </row>
    <row r="16" spans="1:25">
      <c r="A16" s="2" t="s">
        <v>122</v>
      </c>
      <c r="B16" s="71">
        <v>173</v>
      </c>
      <c r="C16" s="71">
        <v>190</v>
      </c>
      <c r="D16" s="71">
        <v>207</v>
      </c>
      <c r="E16" s="71">
        <v>215</v>
      </c>
      <c r="F16" s="71">
        <v>240</v>
      </c>
      <c r="G16" s="71">
        <v>228</v>
      </c>
      <c r="H16" s="71">
        <v>268</v>
      </c>
      <c r="I16" s="71">
        <v>291</v>
      </c>
      <c r="J16" s="71">
        <v>301</v>
      </c>
      <c r="K16" s="71">
        <v>298</v>
      </c>
      <c r="L16" s="71">
        <v>311</v>
      </c>
      <c r="M16" s="74">
        <v>307</v>
      </c>
      <c r="N16" s="74">
        <v>307</v>
      </c>
      <c r="O16" s="74">
        <v>307</v>
      </c>
      <c r="P16" s="74">
        <v>307</v>
      </c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2" t="s">
        <v>123</v>
      </c>
      <c r="B17" s="71">
        <v>73</v>
      </c>
      <c r="C17" s="71">
        <v>84</v>
      </c>
      <c r="D17" s="71">
        <v>97</v>
      </c>
      <c r="E17" s="71">
        <v>99</v>
      </c>
      <c r="F17" s="71">
        <v>105</v>
      </c>
      <c r="G17" s="71">
        <v>101</v>
      </c>
      <c r="H17" s="71">
        <v>120</v>
      </c>
      <c r="I17" s="71">
        <v>133</v>
      </c>
      <c r="J17" s="71">
        <v>139</v>
      </c>
      <c r="K17" s="71">
        <v>130</v>
      </c>
      <c r="L17" s="71">
        <v>139</v>
      </c>
      <c r="M17" s="74">
        <v>139</v>
      </c>
      <c r="N17" s="74">
        <v>139</v>
      </c>
      <c r="O17" s="74">
        <v>139</v>
      </c>
      <c r="P17" s="74">
        <v>139</v>
      </c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 t="s">
        <v>124</v>
      </c>
      <c r="B18" s="71">
        <f t="shared" ref="B18:L18" si="7">B5</f>
        <v>16544.900000000001</v>
      </c>
      <c r="C18" s="71">
        <f t="shared" si="7"/>
        <v>17576</v>
      </c>
      <c r="D18" s="71">
        <f t="shared" si="7"/>
        <v>19089</v>
      </c>
      <c r="E18" s="71">
        <f t="shared" si="7"/>
        <v>20913</v>
      </c>
      <c r="F18" s="71">
        <f t="shared" si="7"/>
        <v>22031</v>
      </c>
      <c r="G18" s="71">
        <f t="shared" si="7"/>
        <v>22174</v>
      </c>
      <c r="H18" s="71">
        <f t="shared" si="7"/>
        <v>25707</v>
      </c>
      <c r="I18" s="71">
        <f t="shared" si="7"/>
        <v>27927</v>
      </c>
      <c r="J18" s="71">
        <f t="shared" si="7"/>
        <v>29080</v>
      </c>
      <c r="K18" s="71">
        <f t="shared" si="7"/>
        <v>30179</v>
      </c>
      <c r="L18" s="71">
        <f t="shared" si="7"/>
        <v>30017</v>
      </c>
      <c r="M18" s="74">
        <v>66</v>
      </c>
      <c r="N18" s="74">
        <v>66</v>
      </c>
      <c r="O18" s="74">
        <v>66</v>
      </c>
      <c r="P18" s="74">
        <v>66</v>
      </c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2" t="s">
        <v>125</v>
      </c>
      <c r="B19" s="75">
        <f t="shared" ref="B19:P19" si="8">IFERROR(B20/B7*1000,0)</f>
        <v>46.757742840751412</v>
      </c>
      <c r="C19" s="75">
        <f t="shared" si="8"/>
        <v>45.389865787930987</v>
      </c>
      <c r="D19" s="75">
        <f t="shared" si="8"/>
        <v>48.326826971275807</v>
      </c>
      <c r="E19" s="75">
        <f t="shared" si="8"/>
        <v>49.289981969666613</v>
      </c>
      <c r="F19" s="75">
        <f t="shared" si="8"/>
        <v>49.12545934567769</v>
      </c>
      <c r="G19" s="75">
        <f t="shared" si="8"/>
        <v>45.378175336488972</v>
      </c>
      <c r="H19" s="75">
        <f t="shared" si="8"/>
        <v>43.40968768733272</v>
      </c>
      <c r="I19" s="75">
        <f t="shared" si="8"/>
        <v>45.424897730137687</v>
      </c>
      <c r="J19" s="75">
        <f t="shared" si="8"/>
        <v>48.342105175664045</v>
      </c>
      <c r="K19" s="75">
        <f t="shared" si="8"/>
        <v>49.63822763615191</v>
      </c>
      <c r="L19" s="75">
        <f t="shared" si="8"/>
        <v>48.383913144369302</v>
      </c>
      <c r="M19" s="76">
        <f t="shared" si="8"/>
        <v>47.1986593808669</v>
      </c>
      <c r="N19" s="76">
        <f t="shared" si="8"/>
        <v>48.549506735896053</v>
      </c>
      <c r="O19" s="76">
        <f t="shared" si="8"/>
        <v>50.58392324426773</v>
      </c>
      <c r="P19" s="76">
        <f t="shared" si="8"/>
        <v>52.798672343742602</v>
      </c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1" t="s">
        <v>51</v>
      </c>
      <c r="B20" s="60">
        <f t="shared" ref="B20:L20" si="9">B5-B21</f>
        <v>16544.900000000001</v>
      </c>
      <c r="C20" s="60">
        <f t="shared" si="9"/>
        <v>17576</v>
      </c>
      <c r="D20" s="60">
        <f t="shared" si="9"/>
        <v>19089</v>
      </c>
      <c r="E20" s="60">
        <f t="shared" si="9"/>
        <v>20913</v>
      </c>
      <c r="F20" s="60">
        <f t="shared" si="9"/>
        <v>22031</v>
      </c>
      <c r="G20" s="60">
        <f t="shared" si="9"/>
        <v>22174</v>
      </c>
      <c r="H20" s="60">
        <f t="shared" si="9"/>
        <v>25707</v>
      </c>
      <c r="I20" s="60">
        <f t="shared" si="9"/>
        <v>27927</v>
      </c>
      <c r="J20" s="60">
        <f t="shared" si="9"/>
        <v>29080</v>
      </c>
      <c r="K20" s="60">
        <f t="shared" si="9"/>
        <v>30179</v>
      </c>
      <c r="L20" s="60">
        <f t="shared" si="9"/>
        <v>28281.316527233601</v>
      </c>
      <c r="M20" s="61">
        <f>M5-M21</f>
        <v>28026.469543040002</v>
      </c>
      <c r="N20" s="61">
        <f>N5-N21</f>
        <v>28828.600000761602</v>
      </c>
      <c r="O20" s="61">
        <f>O5-O21</f>
        <v>30036.632454599687</v>
      </c>
      <c r="P20" s="61">
        <f>P5-P21</f>
        <v>31351.746040369671</v>
      </c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 t="s">
        <v>126</v>
      </c>
      <c r="B21" s="44">
        <v>0</v>
      </c>
      <c r="C21" s="44">
        <v>0</v>
      </c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v>0</v>
      </c>
      <c r="L21" s="44">
        <v>1735.6834727664</v>
      </c>
      <c r="M21" s="48">
        <v>2899.3484000000003</v>
      </c>
      <c r="N21" s="48">
        <v>3334.2506600000002</v>
      </c>
      <c r="O21" s="48">
        <v>3734.3607392000004</v>
      </c>
      <c r="P21" s="48">
        <v>4107.7968131200005</v>
      </c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 t="s">
        <v>55</v>
      </c>
      <c r="B22" s="44">
        <f t="shared" ref="B22:P22" si="10">SUM(B20:B21)</f>
        <v>16544.900000000001</v>
      </c>
      <c r="C22" s="44">
        <f t="shared" si="10"/>
        <v>17576</v>
      </c>
      <c r="D22" s="44">
        <f t="shared" si="10"/>
        <v>19089</v>
      </c>
      <c r="E22" s="44">
        <f t="shared" si="10"/>
        <v>20913</v>
      </c>
      <c r="F22" s="44">
        <f t="shared" si="10"/>
        <v>22031</v>
      </c>
      <c r="G22" s="44">
        <f t="shared" si="10"/>
        <v>22174</v>
      </c>
      <c r="H22" s="44">
        <f t="shared" si="10"/>
        <v>25707</v>
      </c>
      <c r="I22" s="44">
        <f t="shared" si="10"/>
        <v>27927</v>
      </c>
      <c r="J22" s="44">
        <f t="shared" si="10"/>
        <v>29080</v>
      </c>
      <c r="K22" s="44">
        <f t="shared" si="10"/>
        <v>30179</v>
      </c>
      <c r="L22" s="44">
        <f t="shared" si="10"/>
        <v>30017</v>
      </c>
      <c r="M22" s="48">
        <f t="shared" si="10"/>
        <v>30925.817943040001</v>
      </c>
      <c r="N22" s="48">
        <f t="shared" si="10"/>
        <v>32162.850660761604</v>
      </c>
      <c r="O22" s="48">
        <f t="shared" si="10"/>
        <v>33770.993193799688</v>
      </c>
      <c r="P22" s="48">
        <f t="shared" si="10"/>
        <v>35459.542853489671</v>
      </c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 t="s">
        <v>59</v>
      </c>
      <c r="B23" s="44">
        <f t="shared" ref="B23:P23" si="11">B22-B5</f>
        <v>0</v>
      </c>
      <c r="C23" s="44">
        <f t="shared" si="11"/>
        <v>0</v>
      </c>
      <c r="D23" s="44">
        <f t="shared" si="11"/>
        <v>0</v>
      </c>
      <c r="E23" s="44">
        <f t="shared" si="11"/>
        <v>0</v>
      </c>
      <c r="F23" s="44">
        <f t="shared" si="11"/>
        <v>0</v>
      </c>
      <c r="G23" s="44">
        <f t="shared" si="11"/>
        <v>0</v>
      </c>
      <c r="H23" s="44">
        <f t="shared" si="11"/>
        <v>0</v>
      </c>
      <c r="I23" s="44">
        <f t="shared" si="11"/>
        <v>0</v>
      </c>
      <c r="J23" s="44">
        <f t="shared" si="11"/>
        <v>0</v>
      </c>
      <c r="K23" s="44">
        <f t="shared" si="11"/>
        <v>0</v>
      </c>
      <c r="L23" s="44">
        <f t="shared" si="11"/>
        <v>0</v>
      </c>
      <c r="M23" s="48">
        <f t="shared" si="11"/>
        <v>0</v>
      </c>
      <c r="N23" s="48">
        <f t="shared" si="11"/>
        <v>0</v>
      </c>
      <c r="O23" s="48">
        <f t="shared" si="11"/>
        <v>0</v>
      </c>
      <c r="P23" s="48">
        <f t="shared" si="11"/>
        <v>0</v>
      </c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 t="s">
        <v>127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2300</v>
      </c>
      <c r="M24" s="48">
        <v>3184.8336000000004</v>
      </c>
      <c r="N24" s="48">
        <v>3662.5586400000002</v>
      </c>
      <c r="O24" s="48">
        <v>4102.0656768000008</v>
      </c>
      <c r="P24" s="48">
        <v>4512.2722444800011</v>
      </c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 t="s">
        <v>128</v>
      </c>
      <c r="B25" s="71">
        <v>0</v>
      </c>
      <c r="C25" s="71">
        <v>0</v>
      </c>
      <c r="D25" s="71">
        <v>0</v>
      </c>
      <c r="E25" s="71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4">
        <v>100</v>
      </c>
      <c r="N25" s="74">
        <v>250</v>
      </c>
      <c r="O25" s="74">
        <v>500</v>
      </c>
      <c r="P25" s="74">
        <v>750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106" t="s">
        <v>129</v>
      </c>
      <c r="B26" s="110">
        <v>0</v>
      </c>
      <c r="C26" s="110">
        <v>0</v>
      </c>
      <c r="D26" s="110">
        <v>0</v>
      </c>
      <c r="E26" s="110">
        <v>0</v>
      </c>
      <c r="F26" s="110">
        <v>0</v>
      </c>
      <c r="G26" s="110">
        <v>0</v>
      </c>
      <c r="H26" s="110">
        <v>0</v>
      </c>
      <c r="I26" s="110">
        <v>0</v>
      </c>
      <c r="J26" s="110">
        <v>0</v>
      </c>
      <c r="K26" s="110">
        <v>0</v>
      </c>
      <c r="L26" s="110">
        <v>0</v>
      </c>
      <c r="M26" s="111">
        <v>0</v>
      </c>
      <c r="N26" s="111">
        <v>0</v>
      </c>
      <c r="O26" s="111">
        <v>0</v>
      </c>
      <c r="P26" s="111">
        <v>0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89"/>
      <c r="K28" s="89"/>
      <c r="L28" s="89"/>
      <c r="M28" s="8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mergeCells count="4">
    <mergeCell ref="A1:P1"/>
    <mergeCell ref="R1:V1"/>
    <mergeCell ref="A26:P26"/>
    <mergeCell ref="Q13:Y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workbookViewId="0"/>
  </sheetViews>
  <sheetFormatPr defaultRowHeight="13.8"/>
  <cols>
    <col min="1" max="3" width="25" customWidth="1"/>
    <col min="4" max="4" width="55" customWidth="1"/>
    <col min="5" max="5" width="25" customWidth="1"/>
    <col min="6" max="6" width="45" customWidth="1"/>
  </cols>
  <sheetData>
    <row r="1" spans="1:6" ht="25.05" customHeight="1">
      <c r="A1" s="95" t="s">
        <v>130</v>
      </c>
      <c r="B1" s="95"/>
      <c r="C1" s="95"/>
      <c r="D1" s="95"/>
      <c r="E1" s="95"/>
      <c r="F1" s="95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57" t="s">
        <v>131</v>
      </c>
      <c r="B4" s="57" t="s">
        <v>132</v>
      </c>
      <c r="C4" s="57" t="s">
        <v>133</v>
      </c>
      <c r="D4" s="57" t="s">
        <v>134</v>
      </c>
      <c r="E4" s="57" t="s">
        <v>135</v>
      </c>
      <c r="F4" s="57" t="s">
        <v>136</v>
      </c>
    </row>
    <row r="5" spans="1:6">
      <c r="A5" s="17" t="s">
        <v>137</v>
      </c>
      <c r="B5" s="17" t="s">
        <v>138</v>
      </c>
      <c r="C5" s="17" t="s">
        <v>139</v>
      </c>
      <c r="D5" s="17" t="s">
        <v>140</v>
      </c>
      <c r="E5" s="17" t="s">
        <v>141</v>
      </c>
      <c r="F5" s="17" t="s">
        <v>142</v>
      </c>
    </row>
    <row r="6" spans="1:6" ht="23.4">
      <c r="A6" s="17" t="s">
        <v>143</v>
      </c>
      <c r="B6" s="17" t="s">
        <v>143</v>
      </c>
      <c r="C6" s="17" t="s">
        <v>144</v>
      </c>
      <c r="D6" s="17" t="s">
        <v>145</v>
      </c>
      <c r="E6" s="17" t="s">
        <v>146</v>
      </c>
      <c r="F6" s="17" t="s">
        <v>147</v>
      </c>
    </row>
    <row r="7" spans="1:6" ht="23.4">
      <c r="A7" s="17" t="s">
        <v>148</v>
      </c>
      <c r="B7" s="17" t="s">
        <v>149</v>
      </c>
      <c r="C7" s="17" t="s">
        <v>150</v>
      </c>
      <c r="D7" s="17" t="s">
        <v>140</v>
      </c>
      <c r="E7" s="17" t="s">
        <v>151</v>
      </c>
      <c r="F7" s="17" t="s">
        <v>152</v>
      </c>
    </row>
    <row r="8" spans="1:6">
      <c r="A8" s="17" t="s">
        <v>153</v>
      </c>
      <c r="B8" s="17" t="s">
        <v>154</v>
      </c>
      <c r="C8" s="17" t="s">
        <v>155</v>
      </c>
      <c r="D8" s="17" t="s">
        <v>156</v>
      </c>
      <c r="E8" s="17" t="s">
        <v>157</v>
      </c>
      <c r="F8" s="17" t="s">
        <v>158</v>
      </c>
    </row>
    <row r="9" spans="1:6">
      <c r="A9" s="17" t="s">
        <v>159</v>
      </c>
      <c r="B9" s="17" t="s">
        <v>160</v>
      </c>
      <c r="C9" s="17" t="s">
        <v>161</v>
      </c>
      <c r="D9" s="17" t="s">
        <v>162</v>
      </c>
      <c r="E9" s="17" t="s">
        <v>163</v>
      </c>
      <c r="F9" s="17" t="s">
        <v>164</v>
      </c>
    </row>
    <row r="10" spans="1:6">
      <c r="A10" s="17" t="s">
        <v>165</v>
      </c>
      <c r="B10" s="17" t="s">
        <v>166</v>
      </c>
      <c r="C10" s="17" t="s">
        <v>167</v>
      </c>
      <c r="D10" s="17"/>
      <c r="E10" s="17" t="s">
        <v>168</v>
      </c>
      <c r="F10" s="17" t="s">
        <v>169</v>
      </c>
    </row>
    <row r="11" spans="1:6">
      <c r="A11" s="17" t="s">
        <v>170</v>
      </c>
      <c r="B11" s="17" t="s">
        <v>138</v>
      </c>
      <c r="C11" s="17" t="s">
        <v>171</v>
      </c>
      <c r="D11" s="17"/>
      <c r="E11" s="17" t="s">
        <v>172</v>
      </c>
      <c r="F11" s="17" t="s">
        <v>173</v>
      </c>
    </row>
    <row r="12" spans="1:6">
      <c r="A12" s="17" t="s">
        <v>174</v>
      </c>
      <c r="B12" s="17" t="s">
        <v>138</v>
      </c>
      <c r="C12" s="17" t="s">
        <v>175</v>
      </c>
      <c r="D12" s="17" t="s">
        <v>176</v>
      </c>
      <c r="E12" s="17" t="s">
        <v>177</v>
      </c>
      <c r="F12" s="17" t="s">
        <v>178</v>
      </c>
    </row>
    <row r="13" spans="1:6" ht="23.4">
      <c r="A13" s="17" t="s">
        <v>179</v>
      </c>
      <c r="B13" s="17" t="s">
        <v>180</v>
      </c>
      <c r="C13" s="17" t="s">
        <v>181</v>
      </c>
      <c r="D13" s="17" t="s">
        <v>182</v>
      </c>
      <c r="E13" s="17" t="s">
        <v>183</v>
      </c>
      <c r="F13" s="17" t="s">
        <v>184</v>
      </c>
    </row>
    <row r="14" spans="1:6" ht="23.4">
      <c r="A14" s="17" t="s">
        <v>179</v>
      </c>
      <c r="B14" s="17" t="s">
        <v>185</v>
      </c>
      <c r="C14" s="17" t="s">
        <v>186</v>
      </c>
      <c r="D14" s="17" t="s">
        <v>187</v>
      </c>
      <c r="E14" s="17" t="s">
        <v>188</v>
      </c>
      <c r="F14" s="17" t="s">
        <v>189</v>
      </c>
    </row>
    <row r="15" spans="1:6" ht="23.4">
      <c r="A15" s="17" t="s">
        <v>179</v>
      </c>
      <c r="B15" s="17" t="s">
        <v>143</v>
      </c>
      <c r="C15" s="17" t="s">
        <v>190</v>
      </c>
      <c r="D15" s="17" t="s">
        <v>145</v>
      </c>
      <c r="E15" s="17" t="s">
        <v>191</v>
      </c>
      <c r="F15" s="17" t="s">
        <v>192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27"/>
  <sheetViews>
    <sheetView showGridLines="0" topLeftCell="A10" workbookViewId="0">
      <selection sqref="A1:BI1"/>
    </sheetView>
  </sheetViews>
  <sheetFormatPr defaultRowHeight="13.8"/>
  <cols>
    <col min="1" max="1" width="38" customWidth="1"/>
    <col min="2" max="61" width="12" customWidth="1"/>
  </cols>
  <sheetData>
    <row r="1" spans="1:61" ht="25.05" customHeight="1">
      <c r="A1" s="95" t="s">
        <v>193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</row>
    <row r="2" spans="1:6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3" spans="1:6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</row>
    <row r="4" spans="1:61">
      <c r="A4" s="57" t="s">
        <v>102</v>
      </c>
      <c r="B4" s="57" t="s">
        <v>194</v>
      </c>
      <c r="C4" s="57" t="s">
        <v>195</v>
      </c>
      <c r="D4" s="57" t="s">
        <v>196</v>
      </c>
      <c r="E4" s="57" t="s">
        <v>197</v>
      </c>
      <c r="F4" s="57" t="s">
        <v>198</v>
      </c>
      <c r="G4" s="57" t="s">
        <v>199</v>
      </c>
      <c r="H4" s="57" t="s">
        <v>200</v>
      </c>
      <c r="I4" s="57" t="s">
        <v>201</v>
      </c>
      <c r="J4" s="57" t="s">
        <v>202</v>
      </c>
      <c r="K4" s="57" t="s">
        <v>203</v>
      </c>
      <c r="L4" s="57" t="s">
        <v>204</v>
      </c>
      <c r="M4" s="57" t="s">
        <v>205</v>
      </c>
      <c r="N4" s="57" t="s">
        <v>206</v>
      </c>
      <c r="O4" s="57" t="s">
        <v>207</v>
      </c>
      <c r="P4" s="57" t="s">
        <v>208</v>
      </c>
      <c r="Q4" s="57" t="s">
        <v>209</v>
      </c>
      <c r="R4" s="57" t="s">
        <v>210</v>
      </c>
      <c r="S4" s="57" t="s">
        <v>211</v>
      </c>
      <c r="T4" s="57" t="s">
        <v>212</v>
      </c>
      <c r="U4" s="57" t="s">
        <v>213</v>
      </c>
      <c r="V4" s="57" t="s">
        <v>214</v>
      </c>
      <c r="W4" s="57" t="s">
        <v>215</v>
      </c>
      <c r="X4" s="57" t="s">
        <v>216</v>
      </c>
      <c r="Y4" s="57" t="s">
        <v>217</v>
      </c>
      <c r="Z4" s="57" t="s">
        <v>218</v>
      </c>
      <c r="AA4" s="57" t="s">
        <v>219</v>
      </c>
      <c r="AB4" s="57" t="s">
        <v>220</v>
      </c>
      <c r="AC4" s="57" t="s">
        <v>221</v>
      </c>
      <c r="AD4" s="57" t="s">
        <v>222</v>
      </c>
      <c r="AE4" s="57" t="s">
        <v>223</v>
      </c>
      <c r="AF4" s="57" t="s">
        <v>224</v>
      </c>
      <c r="AG4" s="57" t="s">
        <v>225</v>
      </c>
      <c r="AH4" s="57" t="s">
        <v>226</v>
      </c>
      <c r="AI4" s="57" t="s">
        <v>227</v>
      </c>
      <c r="AJ4" s="57" t="s">
        <v>228</v>
      </c>
      <c r="AK4" s="57" t="s">
        <v>229</v>
      </c>
      <c r="AL4" s="57" t="s">
        <v>230</v>
      </c>
      <c r="AM4" s="57" t="s">
        <v>231</v>
      </c>
      <c r="AN4" s="57" t="s">
        <v>232</v>
      </c>
      <c r="AO4" s="57" t="s">
        <v>233</v>
      </c>
      <c r="AP4" s="57" t="s">
        <v>234</v>
      </c>
      <c r="AQ4" s="57" t="s">
        <v>235</v>
      </c>
      <c r="AR4" s="57" t="s">
        <v>236</v>
      </c>
      <c r="AS4" s="57" t="s">
        <v>237</v>
      </c>
      <c r="AT4" s="57" t="s">
        <v>238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>
      <c r="A5" s="2" t="s">
        <v>18</v>
      </c>
      <c r="B5" s="44">
        <v>4036.4</v>
      </c>
      <c r="C5" s="44">
        <v>4156.3999999999996</v>
      </c>
      <c r="D5" s="44">
        <v>4145.3999999999996</v>
      </c>
      <c r="E5" s="44">
        <v>4206.7</v>
      </c>
      <c r="F5" s="44">
        <v>4362</v>
      </c>
      <c r="G5" s="44">
        <v>4374</v>
      </c>
      <c r="H5" s="44">
        <v>4387</v>
      </c>
      <c r="I5" s="44">
        <v>4452</v>
      </c>
      <c r="J5" s="44">
        <v>4591</v>
      </c>
      <c r="K5" s="44">
        <v>4739</v>
      </c>
      <c r="L5" s="44">
        <v>4787</v>
      </c>
      <c r="M5" s="44">
        <v>4972</v>
      </c>
      <c r="N5" s="44">
        <v>5051</v>
      </c>
      <c r="O5" s="44">
        <v>5215</v>
      </c>
      <c r="P5" s="44">
        <v>5250</v>
      </c>
      <c r="Q5" s="44">
        <v>5397</v>
      </c>
      <c r="R5" s="44">
        <v>5485</v>
      </c>
      <c r="S5" s="44">
        <v>5517</v>
      </c>
      <c r="T5" s="44">
        <v>5586</v>
      </c>
      <c r="U5" s="44">
        <v>5444</v>
      </c>
      <c r="V5" s="44">
        <v>5059</v>
      </c>
      <c r="W5" s="44">
        <v>5424</v>
      </c>
      <c r="X5" s="44">
        <v>5702</v>
      </c>
      <c r="Y5" s="44">
        <v>5989</v>
      </c>
      <c r="Z5" s="44">
        <v>6154</v>
      </c>
      <c r="AA5" s="44">
        <v>6333</v>
      </c>
      <c r="AB5" s="44">
        <v>6524</v>
      </c>
      <c r="AC5" s="44">
        <v>6696</v>
      </c>
      <c r="AD5" s="44">
        <v>6780</v>
      </c>
      <c r="AE5" s="44">
        <v>6877</v>
      </c>
      <c r="AF5" s="44">
        <v>7075</v>
      </c>
      <c r="AG5" s="44">
        <v>7195</v>
      </c>
      <c r="AH5" s="44">
        <v>7226</v>
      </c>
      <c r="AI5" s="44">
        <v>7210</v>
      </c>
      <c r="AJ5" s="44">
        <v>7281</v>
      </c>
      <c r="AK5" s="44">
        <v>7363</v>
      </c>
      <c r="AL5" s="44">
        <v>7505</v>
      </c>
      <c r="AM5" s="44">
        <v>7670</v>
      </c>
      <c r="AN5" s="44">
        <v>7539</v>
      </c>
      <c r="AO5" s="44">
        <v>7465</v>
      </c>
      <c r="AP5" s="44">
        <v>7421</v>
      </c>
      <c r="AQ5" s="44">
        <v>7466</v>
      </c>
      <c r="AR5" s="44">
        <v>7509</v>
      </c>
      <c r="AS5" s="44">
        <v>7621</v>
      </c>
      <c r="AT5" s="44">
        <v>7624</v>
      </c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1">
      <c r="A6" s="2" t="s">
        <v>239</v>
      </c>
      <c r="B6" s="44">
        <v>3925.2</v>
      </c>
      <c r="C6" s="44">
        <v>4070</v>
      </c>
      <c r="D6" s="44">
        <v>4145.5</v>
      </c>
      <c r="E6" s="44">
        <v>4206.7</v>
      </c>
      <c r="F6" s="44">
        <f t="shared" ref="F6:AK6" si="0">IFERROR(F5/B5-1,0)</f>
        <v>8.0665939946486853E-2</v>
      </c>
      <c r="G6" s="44">
        <f t="shared" si="0"/>
        <v>5.2352997786546229E-2</v>
      </c>
      <c r="H6" s="44">
        <f t="shared" si="0"/>
        <v>5.8281468615815291E-2</v>
      </c>
      <c r="I6" s="44">
        <f t="shared" si="0"/>
        <v>5.8311740794446898E-2</v>
      </c>
      <c r="J6" s="44">
        <f t="shared" si="0"/>
        <v>5.2498853736818063E-2</v>
      </c>
      <c r="K6" s="44">
        <f t="shared" si="0"/>
        <v>8.3447645176040197E-2</v>
      </c>
      <c r="L6" s="44">
        <f t="shared" si="0"/>
        <v>9.1178481878276818E-2</v>
      </c>
      <c r="M6" s="44">
        <f t="shared" si="0"/>
        <v>0.11680143755615457</v>
      </c>
      <c r="N6" s="44">
        <f t="shared" si="0"/>
        <v>0.10019603572206481</v>
      </c>
      <c r="O6" s="44">
        <f t="shared" si="0"/>
        <v>0.10044313146233375</v>
      </c>
      <c r="P6" s="44">
        <f t="shared" si="0"/>
        <v>9.6720284102778331E-2</v>
      </c>
      <c r="Q6" s="44">
        <f t="shared" si="0"/>
        <v>8.5478680611424052E-2</v>
      </c>
      <c r="R6" s="44">
        <f t="shared" si="0"/>
        <v>8.5923579489210145E-2</v>
      </c>
      <c r="S6" s="44">
        <f t="shared" si="0"/>
        <v>5.7909875359539731E-2</v>
      </c>
      <c r="T6" s="44">
        <f t="shared" si="0"/>
        <v>6.4000000000000057E-2</v>
      </c>
      <c r="U6" s="44">
        <f t="shared" si="0"/>
        <v>8.7085417824717126E-3</v>
      </c>
      <c r="V6" s="44">
        <f t="shared" si="0"/>
        <v>-7.7666362807657263E-2</v>
      </c>
      <c r="W6" s="44">
        <f t="shared" si="0"/>
        <v>-1.6856987493202857E-2</v>
      </c>
      <c r="X6" s="44">
        <f t="shared" si="0"/>
        <v>2.0766201217329083E-2</v>
      </c>
      <c r="Y6" s="44">
        <f t="shared" si="0"/>
        <v>0.10011021307861867</v>
      </c>
      <c r="Z6" s="44">
        <f t="shared" si="0"/>
        <v>0.21644593793239775</v>
      </c>
      <c r="AA6" s="44">
        <f t="shared" si="0"/>
        <v>0.16758849557522115</v>
      </c>
      <c r="AB6" s="44">
        <f t="shared" si="0"/>
        <v>0.14415994387934061</v>
      </c>
      <c r="AC6" s="44">
        <f t="shared" si="0"/>
        <v>0.11804975788946392</v>
      </c>
      <c r="AD6" s="44">
        <f t="shared" si="0"/>
        <v>0.10172245693857662</v>
      </c>
      <c r="AE6" s="44">
        <f t="shared" si="0"/>
        <v>8.5899257855676536E-2</v>
      </c>
      <c r="AF6" s="44">
        <f t="shared" si="0"/>
        <v>8.4457388105456666E-2</v>
      </c>
      <c r="AG6" s="44">
        <f t="shared" si="0"/>
        <v>7.4522102747909269E-2</v>
      </c>
      <c r="AH6" s="44">
        <f t="shared" si="0"/>
        <v>6.5781710914454283E-2</v>
      </c>
      <c r="AI6" s="44">
        <f t="shared" si="0"/>
        <v>4.8422277155736548E-2</v>
      </c>
      <c r="AJ6" s="44">
        <f t="shared" si="0"/>
        <v>2.911660777385161E-2</v>
      </c>
      <c r="AK6" s="44">
        <f t="shared" si="0"/>
        <v>2.3349548297428857E-2</v>
      </c>
      <c r="AL6" s="44">
        <f t="shared" ref="AL6:BI6" si="1">IFERROR(AL5/AH5-1,0)</f>
        <v>3.8610572931082165E-2</v>
      </c>
      <c r="AM6" s="44">
        <f t="shared" si="1"/>
        <v>6.3800277392510374E-2</v>
      </c>
      <c r="AN6" s="44">
        <f t="shared" si="1"/>
        <v>3.5434693036670684E-2</v>
      </c>
      <c r="AO6" s="44">
        <f t="shared" si="1"/>
        <v>1.3853049028928366E-2</v>
      </c>
      <c r="AP6" s="44">
        <f t="shared" si="1"/>
        <v>-1.1192538307794764E-2</v>
      </c>
      <c r="AQ6" s="44">
        <f t="shared" si="1"/>
        <v>-2.6597131681877495E-2</v>
      </c>
      <c r="AR6" s="44">
        <f t="shared" si="1"/>
        <v>-3.9793076004774885E-3</v>
      </c>
      <c r="AS6" s="44">
        <f t="shared" si="1"/>
        <v>2.0897521768251881E-2</v>
      </c>
      <c r="AT6" s="44">
        <f t="shared" si="1"/>
        <v>2.7354803934779737E-2</v>
      </c>
      <c r="AU6" s="4">
        <f t="shared" si="1"/>
        <v>-1</v>
      </c>
      <c r="AV6" s="4">
        <f t="shared" si="1"/>
        <v>-1</v>
      </c>
      <c r="AW6" s="4">
        <f t="shared" si="1"/>
        <v>-1</v>
      </c>
      <c r="AX6" s="4">
        <f t="shared" si="1"/>
        <v>-1</v>
      </c>
      <c r="AY6" s="4">
        <f t="shared" si="1"/>
        <v>0</v>
      </c>
      <c r="AZ6" s="4">
        <f t="shared" si="1"/>
        <v>0</v>
      </c>
      <c r="BA6" s="4">
        <f t="shared" si="1"/>
        <v>0</v>
      </c>
      <c r="BB6" s="4">
        <f t="shared" si="1"/>
        <v>0</v>
      </c>
      <c r="BC6" s="4">
        <f t="shared" si="1"/>
        <v>0</v>
      </c>
      <c r="BD6" s="4">
        <f t="shared" si="1"/>
        <v>0</v>
      </c>
      <c r="BE6" s="4">
        <f t="shared" si="1"/>
        <v>0</v>
      </c>
      <c r="BF6" s="4">
        <f t="shared" si="1"/>
        <v>0</v>
      </c>
      <c r="BG6" s="4">
        <f t="shared" si="1"/>
        <v>0</v>
      </c>
      <c r="BH6" s="4">
        <f t="shared" si="1"/>
        <v>0</v>
      </c>
      <c r="BI6" s="4">
        <f t="shared" si="1"/>
        <v>0</v>
      </c>
    </row>
    <row r="7" spans="1:61">
      <c r="A7" s="2" t="s">
        <v>240</v>
      </c>
      <c r="B7" s="44">
        <v>111.2</v>
      </c>
      <c r="C7" s="44">
        <v>86.4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 spans="1:61">
      <c r="A8" s="2" t="s">
        <v>241</v>
      </c>
      <c r="B8" s="44">
        <v>2275.1</v>
      </c>
      <c r="C8" s="44">
        <v>2318</v>
      </c>
      <c r="D8" s="44">
        <v>2305.6</v>
      </c>
      <c r="E8" s="44">
        <v>2375.1</v>
      </c>
      <c r="F8" s="44">
        <v>2501</v>
      </c>
      <c r="G8" s="44">
        <v>2470</v>
      </c>
      <c r="H8" s="44">
        <v>2490</v>
      </c>
      <c r="I8" s="44">
        <v>2504</v>
      </c>
      <c r="J8" s="44">
        <v>2683</v>
      </c>
      <c r="K8" s="44">
        <v>2733</v>
      </c>
      <c r="L8" s="44">
        <v>2767</v>
      </c>
      <c r="M8" s="44">
        <v>2871</v>
      </c>
      <c r="N8" s="44">
        <v>2961</v>
      </c>
      <c r="O8" s="44">
        <v>3000</v>
      </c>
      <c r="P8" s="44">
        <v>3056</v>
      </c>
      <c r="Q8" s="44">
        <v>3144</v>
      </c>
      <c r="R8" s="44">
        <v>3264.73</v>
      </c>
      <c r="S8" s="44">
        <v>3263.93</v>
      </c>
      <c r="T8" s="44">
        <v>3275</v>
      </c>
      <c r="U8" s="44">
        <v>3158</v>
      </c>
      <c r="V8" s="44">
        <v>3065</v>
      </c>
      <c r="W8" s="44">
        <v>3205</v>
      </c>
      <c r="X8" s="44">
        <v>3329</v>
      </c>
      <c r="Y8" s="44">
        <v>3519</v>
      </c>
      <c r="Z8" s="44">
        <v>3670</v>
      </c>
      <c r="AA8" s="44">
        <v>3773</v>
      </c>
      <c r="AB8" s="44">
        <v>3915</v>
      </c>
      <c r="AC8" s="44">
        <v>4008</v>
      </c>
      <c r="AD8" s="44">
        <v>4175</v>
      </c>
      <c r="AE8" s="44">
        <v>4161</v>
      </c>
      <c r="AF8" s="44">
        <v>4241</v>
      </c>
      <c r="AG8" s="44">
        <v>4307</v>
      </c>
      <c r="AH8" s="44">
        <v>4370</v>
      </c>
      <c r="AI8" s="44">
        <v>4320</v>
      </c>
      <c r="AJ8" s="44">
        <v>4311</v>
      </c>
      <c r="AK8" s="44">
        <v>4334</v>
      </c>
      <c r="AL8" s="44">
        <v>4514</v>
      </c>
      <c r="AM8" s="44">
        <v>4741</v>
      </c>
      <c r="AN8" s="44">
        <v>4613</v>
      </c>
      <c r="AO8" s="44">
        <v>4570</v>
      </c>
      <c r="AP8" s="44">
        <v>4517</v>
      </c>
      <c r="AQ8" s="44">
        <v>4512</v>
      </c>
      <c r="AR8" s="44">
        <v>4444</v>
      </c>
      <c r="AS8" s="44">
        <v>4517</v>
      </c>
      <c r="AT8" s="44">
        <v>22</v>
      </c>
      <c r="AU8" s="4">
        <f t="shared" ref="AU8:BI8" si="2">AU5-AU7</f>
        <v>0</v>
      </c>
      <c r="AV8" s="4">
        <f t="shared" si="2"/>
        <v>0</v>
      </c>
      <c r="AW8" s="4">
        <f t="shared" si="2"/>
        <v>0</v>
      </c>
      <c r="AX8" s="4">
        <f t="shared" si="2"/>
        <v>0</v>
      </c>
      <c r="AY8" s="4">
        <f t="shared" si="2"/>
        <v>0</v>
      </c>
      <c r="AZ8" s="4">
        <f t="shared" si="2"/>
        <v>0</v>
      </c>
      <c r="BA8" s="4">
        <f t="shared" si="2"/>
        <v>0</v>
      </c>
      <c r="BB8" s="4">
        <f t="shared" si="2"/>
        <v>0</v>
      </c>
      <c r="BC8" s="4">
        <f t="shared" si="2"/>
        <v>0</v>
      </c>
      <c r="BD8" s="4">
        <f t="shared" si="2"/>
        <v>0</v>
      </c>
      <c r="BE8" s="4">
        <f t="shared" si="2"/>
        <v>0</v>
      </c>
      <c r="BF8" s="4">
        <f t="shared" si="2"/>
        <v>0</v>
      </c>
      <c r="BG8" s="4">
        <f t="shared" si="2"/>
        <v>0</v>
      </c>
      <c r="BH8" s="4">
        <f t="shared" si="2"/>
        <v>0</v>
      </c>
      <c r="BI8" s="4">
        <f t="shared" si="2"/>
        <v>0</v>
      </c>
    </row>
    <row r="9" spans="1:61">
      <c r="A9" s="2" t="s">
        <v>22</v>
      </c>
      <c r="B9" s="44">
        <f t="shared" ref="B9:AG9" si="3">IFERROR(B8/B5,0)</f>
        <v>0.56364582301060351</v>
      </c>
      <c r="C9" s="44">
        <f t="shared" si="3"/>
        <v>0.5576941584063132</v>
      </c>
      <c r="D9" s="44">
        <f t="shared" si="3"/>
        <v>0.55618275679065954</v>
      </c>
      <c r="E9" s="44">
        <f t="shared" si="3"/>
        <v>0.56459932964081105</v>
      </c>
      <c r="F9" s="44">
        <f t="shared" si="3"/>
        <v>0.57336084364970197</v>
      </c>
      <c r="G9" s="44">
        <f t="shared" si="3"/>
        <v>0.56470050297210794</v>
      </c>
      <c r="H9" s="44">
        <f t="shared" si="3"/>
        <v>0.56758604969227267</v>
      </c>
      <c r="I9" s="44">
        <f t="shared" si="3"/>
        <v>0.56244384546271342</v>
      </c>
      <c r="J9" s="44">
        <f t="shared" si="3"/>
        <v>0.58440426922239164</v>
      </c>
      <c r="K9" s="44">
        <f t="shared" si="3"/>
        <v>0.57670394598016461</v>
      </c>
      <c r="L9" s="44">
        <f t="shared" si="3"/>
        <v>0.57802381449759765</v>
      </c>
      <c r="M9" s="44">
        <f t="shared" si="3"/>
        <v>0.57743362831858402</v>
      </c>
      <c r="N9" s="44">
        <f t="shared" si="3"/>
        <v>0.58622055038606213</v>
      </c>
      <c r="O9" s="44">
        <f t="shared" si="3"/>
        <v>0.57526366251198469</v>
      </c>
      <c r="P9" s="44">
        <f t="shared" si="3"/>
        <v>0.58209523809523811</v>
      </c>
      <c r="Q9" s="44">
        <f t="shared" si="3"/>
        <v>0.58254585881045029</v>
      </c>
      <c r="R9" s="44">
        <f t="shared" si="3"/>
        <v>0.59521057429352786</v>
      </c>
      <c r="S9" s="44">
        <f t="shared" si="3"/>
        <v>0.59161319557730652</v>
      </c>
      <c r="T9" s="44">
        <f t="shared" si="3"/>
        <v>0.58628714643752233</v>
      </c>
      <c r="U9" s="44">
        <f t="shared" si="3"/>
        <v>0.58008817046289496</v>
      </c>
      <c r="V9" s="44">
        <f t="shared" si="3"/>
        <v>0.60585095868748762</v>
      </c>
      <c r="W9" s="44">
        <f t="shared" si="3"/>
        <v>0.59089233038348088</v>
      </c>
      <c r="X9" s="44">
        <f t="shared" si="3"/>
        <v>0.58383023500526132</v>
      </c>
      <c r="Y9" s="44">
        <f t="shared" si="3"/>
        <v>0.58757722491233932</v>
      </c>
      <c r="Z9" s="44">
        <f t="shared" si="3"/>
        <v>0.59636009099772502</v>
      </c>
      <c r="AA9" s="44">
        <f t="shared" si="3"/>
        <v>0.59576819832622774</v>
      </c>
      <c r="AB9" s="44">
        <f t="shared" si="3"/>
        <v>0.60009196811771914</v>
      </c>
      <c r="AC9" s="44">
        <f t="shared" si="3"/>
        <v>0.59856630824372759</v>
      </c>
      <c r="AD9" s="44">
        <f t="shared" si="3"/>
        <v>0.61578171091445433</v>
      </c>
      <c r="AE9" s="44">
        <f t="shared" si="3"/>
        <v>0.60506034608114001</v>
      </c>
      <c r="AF9" s="44">
        <f t="shared" si="3"/>
        <v>0.599434628975265</v>
      </c>
      <c r="AG9" s="44">
        <f t="shared" si="3"/>
        <v>0.59861014593467687</v>
      </c>
      <c r="AH9" s="44">
        <f t="shared" ref="AH9:BI9" si="4">IFERROR(AH8/AH5,0)</f>
        <v>0.60476058676999722</v>
      </c>
      <c r="AI9" s="44">
        <f t="shared" si="4"/>
        <v>0.5991678224687933</v>
      </c>
      <c r="AJ9" s="44">
        <f t="shared" si="4"/>
        <v>0.59208899876390608</v>
      </c>
      <c r="AK9" s="44">
        <f t="shared" si="4"/>
        <v>0.58861876952329217</v>
      </c>
      <c r="AL9" s="44">
        <f t="shared" si="4"/>
        <v>0.60146568954030644</v>
      </c>
      <c r="AM9" s="44">
        <f t="shared" si="4"/>
        <v>0.61812255541069105</v>
      </c>
      <c r="AN9" s="44">
        <f t="shared" si="4"/>
        <v>0.61188486536675957</v>
      </c>
      <c r="AO9" s="44">
        <f t="shared" si="4"/>
        <v>0.61219022103148024</v>
      </c>
      <c r="AP9" s="44">
        <f t="shared" si="4"/>
        <v>0.60867807573103361</v>
      </c>
      <c r="AQ9" s="44">
        <f t="shared" si="4"/>
        <v>0.60433967318510584</v>
      </c>
      <c r="AR9" s="44">
        <f t="shared" si="4"/>
        <v>0.59182314555866289</v>
      </c>
      <c r="AS9" s="44">
        <f t="shared" si="4"/>
        <v>0.59270436950531424</v>
      </c>
      <c r="AT9" s="44">
        <f t="shared" si="4"/>
        <v>2.8856243441762854E-3</v>
      </c>
      <c r="AU9" s="4">
        <f t="shared" si="4"/>
        <v>0</v>
      </c>
      <c r="AV9" s="4">
        <f t="shared" si="4"/>
        <v>0</v>
      </c>
      <c r="AW9" s="4">
        <f t="shared" si="4"/>
        <v>0</v>
      </c>
      <c r="AX9" s="4">
        <f t="shared" si="4"/>
        <v>0</v>
      </c>
      <c r="AY9" s="4">
        <f t="shared" si="4"/>
        <v>0</v>
      </c>
      <c r="AZ9" s="4">
        <f t="shared" si="4"/>
        <v>0</v>
      </c>
      <c r="BA9" s="4">
        <f t="shared" si="4"/>
        <v>0</v>
      </c>
      <c r="BB9" s="4">
        <f t="shared" si="4"/>
        <v>0</v>
      </c>
      <c r="BC9" s="4">
        <f t="shared" si="4"/>
        <v>0</v>
      </c>
      <c r="BD9" s="4">
        <f t="shared" si="4"/>
        <v>0</v>
      </c>
      <c r="BE9" s="4">
        <f t="shared" si="4"/>
        <v>0</v>
      </c>
      <c r="BF9" s="4">
        <f t="shared" si="4"/>
        <v>0</v>
      </c>
      <c r="BG9" s="4">
        <f t="shared" si="4"/>
        <v>0</v>
      </c>
      <c r="BH9" s="4">
        <f t="shared" si="4"/>
        <v>0</v>
      </c>
      <c r="BI9" s="4">
        <f t="shared" si="4"/>
        <v>0</v>
      </c>
    </row>
    <row r="10" spans="1:61">
      <c r="A10" s="2" t="s">
        <v>242</v>
      </c>
      <c r="B10" s="44">
        <v>507</v>
      </c>
      <c r="C10" s="44">
        <v>493.8</v>
      </c>
      <c r="D10" s="44">
        <v>533.4</v>
      </c>
      <c r="E10" s="44">
        <v>516.79999999999995</v>
      </c>
      <c r="F10" s="44">
        <v>558</v>
      </c>
      <c r="G10" s="44">
        <v>579</v>
      </c>
      <c r="H10" s="44">
        <v>566</v>
      </c>
      <c r="I10" s="44">
        <v>594</v>
      </c>
      <c r="J10" s="44">
        <v>626</v>
      </c>
      <c r="K10" s="44">
        <v>631</v>
      </c>
      <c r="L10" s="44">
        <v>604</v>
      </c>
      <c r="M10" s="44">
        <v>627</v>
      </c>
      <c r="N10" s="44">
        <v>618</v>
      </c>
      <c r="O10" s="44">
        <v>615</v>
      </c>
      <c r="P10" s="44">
        <v>640</v>
      </c>
      <c r="Q10" s="44">
        <v>653</v>
      </c>
      <c r="R10" s="44">
        <v>691</v>
      </c>
      <c r="S10" s="44">
        <v>715</v>
      </c>
      <c r="T10" s="44">
        <v>706</v>
      </c>
      <c r="U10" s="44">
        <v>737</v>
      </c>
      <c r="V10" s="44">
        <v>624</v>
      </c>
      <c r="W10" s="44">
        <v>648</v>
      </c>
      <c r="X10" s="44">
        <v>714</v>
      </c>
      <c r="Y10" s="44">
        <v>696</v>
      </c>
      <c r="Z10" s="44">
        <v>744</v>
      </c>
      <c r="AA10" s="44">
        <v>778</v>
      </c>
      <c r="AB10" s="44">
        <v>801</v>
      </c>
      <c r="AC10" s="44">
        <v>816</v>
      </c>
      <c r="AD10" s="44">
        <v>854</v>
      </c>
      <c r="AE10" s="44">
        <v>867</v>
      </c>
      <c r="AF10" s="44">
        <v>884</v>
      </c>
      <c r="AG10" s="44">
        <v>910</v>
      </c>
      <c r="AH10" s="44">
        <v>955</v>
      </c>
      <c r="AI10" s="44">
        <v>937</v>
      </c>
      <c r="AJ10" s="44">
        <v>934</v>
      </c>
      <c r="AK10" s="44">
        <v>903</v>
      </c>
      <c r="AL10" s="44">
        <v>915</v>
      </c>
      <c r="AM10" s="44">
        <v>882</v>
      </c>
      <c r="AN10" s="44">
        <v>892</v>
      </c>
      <c r="AO10" s="44">
        <v>877</v>
      </c>
      <c r="AP10" s="44">
        <v>880</v>
      </c>
      <c r="AQ10" s="44">
        <v>875</v>
      </c>
      <c r="AR10" s="44">
        <v>940</v>
      </c>
      <c r="AS10" s="44">
        <v>920</v>
      </c>
      <c r="AT10" s="4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</row>
    <row r="11" spans="1:61">
      <c r="A11" s="2" t="s">
        <v>243</v>
      </c>
      <c r="B11" s="44">
        <f t="shared" ref="B11:AG11" si="5">IFERROR(B10/B5,0)</f>
        <v>0.1256069765137251</v>
      </c>
      <c r="C11" s="44">
        <f t="shared" si="5"/>
        <v>0.11880473486671159</v>
      </c>
      <c r="D11" s="44">
        <f t="shared" si="5"/>
        <v>0.12867274569402229</v>
      </c>
      <c r="E11" s="44">
        <f t="shared" si="5"/>
        <v>0.12285164142914873</v>
      </c>
      <c r="F11" s="44">
        <f t="shared" si="5"/>
        <v>0.12792297111416781</v>
      </c>
      <c r="G11" s="44">
        <f t="shared" si="5"/>
        <v>0.13237311385459533</v>
      </c>
      <c r="H11" s="44">
        <f t="shared" si="5"/>
        <v>0.12901755185776156</v>
      </c>
      <c r="I11" s="44">
        <f t="shared" si="5"/>
        <v>0.13342318059299191</v>
      </c>
      <c r="J11" s="44">
        <f t="shared" si="5"/>
        <v>0.13635373556959268</v>
      </c>
      <c r="K11" s="44">
        <f t="shared" si="5"/>
        <v>0.13315045368221143</v>
      </c>
      <c r="L11" s="44">
        <f t="shared" si="5"/>
        <v>0.12617505744725296</v>
      </c>
      <c r="M11" s="44">
        <f t="shared" si="5"/>
        <v>0.12610619469026549</v>
      </c>
      <c r="N11" s="44">
        <f t="shared" si="5"/>
        <v>0.1223520095030687</v>
      </c>
      <c r="O11" s="44">
        <f t="shared" si="5"/>
        <v>0.11792905081495686</v>
      </c>
      <c r="P11" s="44">
        <f t="shared" si="5"/>
        <v>0.1219047619047619</v>
      </c>
      <c r="Q11" s="44">
        <f t="shared" si="5"/>
        <v>0.12099314433944784</v>
      </c>
      <c r="R11" s="44">
        <f t="shared" si="5"/>
        <v>0.12597994530537832</v>
      </c>
      <c r="S11" s="44">
        <f t="shared" si="5"/>
        <v>0.1295994199746239</v>
      </c>
      <c r="T11" s="44">
        <f t="shared" si="5"/>
        <v>0.1263873970640888</v>
      </c>
      <c r="U11" s="44">
        <f t="shared" si="5"/>
        <v>0.13537839823659073</v>
      </c>
      <c r="V11" s="44">
        <f t="shared" si="5"/>
        <v>0.1233445344929828</v>
      </c>
      <c r="W11" s="44">
        <f t="shared" si="5"/>
        <v>0.11946902654867257</v>
      </c>
      <c r="X11" s="44">
        <f t="shared" si="5"/>
        <v>0.12521922132585059</v>
      </c>
      <c r="Y11" s="44">
        <f t="shared" si="5"/>
        <v>0.11621305727166471</v>
      </c>
      <c r="Z11" s="44">
        <f t="shared" si="5"/>
        <v>0.12089697757556062</v>
      </c>
      <c r="AA11" s="44">
        <f t="shared" si="5"/>
        <v>0.12284857097741986</v>
      </c>
      <c r="AB11" s="44">
        <f t="shared" si="5"/>
        <v>0.12277743715511956</v>
      </c>
      <c r="AC11" s="44">
        <f t="shared" si="5"/>
        <v>0.12186379928315412</v>
      </c>
      <c r="AD11" s="44">
        <f t="shared" si="5"/>
        <v>0.12595870206489676</v>
      </c>
      <c r="AE11" s="44">
        <f t="shared" si="5"/>
        <v>0.12607241529736804</v>
      </c>
      <c r="AF11" s="44">
        <f t="shared" si="5"/>
        <v>0.12494699646643109</v>
      </c>
      <c r="AG11" s="44">
        <f t="shared" si="5"/>
        <v>0.12647671994440585</v>
      </c>
      <c r="AH11" s="44">
        <f t="shared" ref="AH11:BI11" si="6">IFERROR(AH10/AH5,0)</f>
        <v>0.13216163852753945</v>
      </c>
      <c r="AI11" s="44">
        <f t="shared" si="6"/>
        <v>0.12995839112343965</v>
      </c>
      <c r="AJ11" s="44">
        <f t="shared" si="6"/>
        <v>0.12827908254360665</v>
      </c>
      <c r="AK11" s="44">
        <f t="shared" si="6"/>
        <v>0.12264022816786636</v>
      </c>
      <c r="AL11" s="44">
        <f t="shared" si="6"/>
        <v>0.12191872085276483</v>
      </c>
      <c r="AM11" s="44">
        <f t="shared" si="6"/>
        <v>0.11499348109517601</v>
      </c>
      <c r="AN11" s="44">
        <f t="shared" si="6"/>
        <v>0.11831807932086484</v>
      </c>
      <c r="AO11" s="44">
        <f t="shared" si="6"/>
        <v>0.11748158070997991</v>
      </c>
      <c r="AP11" s="44">
        <f t="shared" si="6"/>
        <v>0.1185824012936262</v>
      </c>
      <c r="AQ11" s="44">
        <f t="shared" si="6"/>
        <v>0.11719796410393785</v>
      </c>
      <c r="AR11" s="44">
        <f t="shared" si="6"/>
        <v>0.12518311359701692</v>
      </c>
      <c r="AS11" s="44">
        <f t="shared" si="6"/>
        <v>0.12071906573940427</v>
      </c>
      <c r="AT11" s="44">
        <f t="shared" si="6"/>
        <v>0</v>
      </c>
      <c r="AU11" s="4">
        <f t="shared" si="6"/>
        <v>0</v>
      </c>
      <c r="AV11" s="4">
        <f t="shared" si="6"/>
        <v>0</v>
      </c>
      <c r="AW11" s="4">
        <f t="shared" si="6"/>
        <v>0</v>
      </c>
      <c r="AX11" s="4">
        <f t="shared" si="6"/>
        <v>0</v>
      </c>
      <c r="AY11" s="4">
        <f t="shared" si="6"/>
        <v>0</v>
      </c>
      <c r="AZ11" s="4">
        <f t="shared" si="6"/>
        <v>0</v>
      </c>
      <c r="BA11" s="4">
        <f t="shared" si="6"/>
        <v>0</v>
      </c>
      <c r="BB11" s="4">
        <f t="shared" si="6"/>
        <v>0</v>
      </c>
      <c r="BC11" s="4">
        <f t="shared" si="6"/>
        <v>0</v>
      </c>
      <c r="BD11" s="4">
        <f t="shared" si="6"/>
        <v>0</v>
      </c>
      <c r="BE11" s="4">
        <f t="shared" si="6"/>
        <v>0</v>
      </c>
      <c r="BF11" s="4">
        <f t="shared" si="6"/>
        <v>0</v>
      </c>
      <c r="BG11" s="4">
        <f t="shared" si="6"/>
        <v>0</v>
      </c>
      <c r="BH11" s="4">
        <f t="shared" si="6"/>
        <v>0</v>
      </c>
      <c r="BI11" s="4">
        <f t="shared" si="6"/>
        <v>0</v>
      </c>
    </row>
    <row r="12" spans="1:61">
      <c r="A12" s="2" t="s">
        <v>244</v>
      </c>
      <c r="B12" s="44">
        <v>6.2</v>
      </c>
      <c r="C12" s="44">
        <v>5.5</v>
      </c>
      <c r="D12" s="44">
        <v>3.7</v>
      </c>
      <c r="E12" s="44">
        <v>5.2</v>
      </c>
      <c r="F12" s="44">
        <v>7</v>
      </c>
      <c r="G12" s="44">
        <v>2</v>
      </c>
      <c r="H12" s="44">
        <v>5</v>
      </c>
      <c r="I12" s="44">
        <v>4</v>
      </c>
      <c r="J12" s="44">
        <v>5</v>
      </c>
      <c r="K12" s="44">
        <v>7</v>
      </c>
      <c r="L12" s="44">
        <v>10</v>
      </c>
      <c r="M12" s="44">
        <v>10</v>
      </c>
      <c r="N12" s="44">
        <v>7</v>
      </c>
      <c r="O12" s="44">
        <v>7</v>
      </c>
      <c r="P12" s="44">
        <v>5</v>
      </c>
      <c r="Q12" s="44">
        <v>8</v>
      </c>
      <c r="R12" s="44">
        <v>7</v>
      </c>
      <c r="S12" s="44">
        <v>5.35</v>
      </c>
      <c r="T12" s="44">
        <v>2</v>
      </c>
      <c r="U12" s="44">
        <v>5</v>
      </c>
      <c r="V12" s="44">
        <v>7</v>
      </c>
      <c r="W12" s="44">
        <v>10</v>
      </c>
      <c r="X12" s="44">
        <v>4</v>
      </c>
      <c r="Y12" s="44">
        <v>6</v>
      </c>
      <c r="Z12" s="44">
        <v>6</v>
      </c>
      <c r="AA12" s="44">
        <v>5</v>
      </c>
      <c r="AB12" s="44">
        <v>6</v>
      </c>
      <c r="AC12" s="44">
        <v>2</v>
      </c>
      <c r="AD12" s="44">
        <v>2</v>
      </c>
      <c r="AE12" s="44">
        <v>5</v>
      </c>
      <c r="AF12" s="44">
        <v>5</v>
      </c>
      <c r="AG12" s="44">
        <v>5</v>
      </c>
      <c r="AH12" s="44">
        <v>2</v>
      </c>
      <c r="AI12" s="44">
        <v>4</v>
      </c>
      <c r="AJ12" s="44">
        <v>3</v>
      </c>
      <c r="AK12" s="44">
        <v>5</v>
      </c>
      <c r="AL12" s="44">
        <v>5</v>
      </c>
      <c r="AM12" s="44">
        <v>2</v>
      </c>
      <c r="AN12" s="44">
        <v>5</v>
      </c>
      <c r="AO12" s="44">
        <v>3</v>
      </c>
      <c r="AP12" s="44">
        <v>3</v>
      </c>
      <c r="AQ12" s="44">
        <v>4</v>
      </c>
      <c r="AR12" s="44">
        <v>4</v>
      </c>
      <c r="AS12" s="44">
        <v>9</v>
      </c>
      <c r="AT12" s="4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</row>
    <row r="13" spans="1:61">
      <c r="A13" s="2" t="s">
        <v>245</v>
      </c>
      <c r="B13" s="44">
        <f t="shared" ref="B13:AG13" si="7">IFERROR(B12/B5,0)</f>
        <v>1.5360221979982163E-3</v>
      </c>
      <c r="C13" s="44">
        <f t="shared" si="7"/>
        <v>1.3232605139062651E-3</v>
      </c>
      <c r="D13" s="44">
        <f t="shared" si="7"/>
        <v>8.9255560380180452E-4</v>
      </c>
      <c r="E13" s="44">
        <f t="shared" si="7"/>
        <v>1.2361233270734781E-3</v>
      </c>
      <c r="F13" s="44">
        <f t="shared" si="7"/>
        <v>1.6047684548372307E-3</v>
      </c>
      <c r="G13" s="44">
        <f t="shared" si="7"/>
        <v>4.5724737082761773E-4</v>
      </c>
      <c r="H13" s="44">
        <f t="shared" si="7"/>
        <v>1.1397310234784591E-3</v>
      </c>
      <c r="I13" s="44">
        <f t="shared" si="7"/>
        <v>8.9847259658580418E-4</v>
      </c>
      <c r="J13" s="44">
        <f t="shared" si="7"/>
        <v>1.0890873448050533E-3</v>
      </c>
      <c r="K13" s="44">
        <f t="shared" si="7"/>
        <v>1.4771048744460858E-3</v>
      </c>
      <c r="L13" s="44">
        <f t="shared" si="7"/>
        <v>2.0889910173386254E-3</v>
      </c>
      <c r="M13" s="44">
        <f t="shared" si="7"/>
        <v>2.011263073209976E-3</v>
      </c>
      <c r="N13" s="44">
        <f t="shared" si="7"/>
        <v>1.3858641853098396E-3</v>
      </c>
      <c r="O13" s="44">
        <f t="shared" si="7"/>
        <v>1.3422818791946308E-3</v>
      </c>
      <c r="P13" s="44">
        <f t="shared" si="7"/>
        <v>9.5238095238095238E-4</v>
      </c>
      <c r="Q13" s="44">
        <f t="shared" si="7"/>
        <v>1.4823049842505095E-3</v>
      </c>
      <c r="R13" s="44">
        <f t="shared" si="7"/>
        <v>1.2762078395624431E-3</v>
      </c>
      <c r="S13" s="44">
        <f t="shared" si="7"/>
        <v>9.6972992568424867E-4</v>
      </c>
      <c r="T13" s="44">
        <f t="shared" si="7"/>
        <v>3.5803795202291446E-4</v>
      </c>
      <c r="U13" s="44">
        <f t="shared" si="7"/>
        <v>9.1844232182218956E-4</v>
      </c>
      <c r="V13" s="44">
        <f t="shared" si="7"/>
        <v>1.3836726625815379E-3</v>
      </c>
      <c r="W13" s="44">
        <f t="shared" si="7"/>
        <v>1.8436578171091445E-3</v>
      </c>
      <c r="X13" s="44">
        <f t="shared" si="7"/>
        <v>7.0150824272185194E-4</v>
      </c>
      <c r="Y13" s="44">
        <f t="shared" si="7"/>
        <v>1.0018367006177993E-3</v>
      </c>
      <c r="Z13" s="44">
        <f t="shared" si="7"/>
        <v>9.7497562560935978E-4</v>
      </c>
      <c r="AA13" s="44">
        <f t="shared" si="7"/>
        <v>7.8951523764408656E-4</v>
      </c>
      <c r="AB13" s="44">
        <f t="shared" si="7"/>
        <v>9.1968117719190676E-4</v>
      </c>
      <c r="AC13" s="44">
        <f t="shared" si="7"/>
        <v>2.9868578255675028E-4</v>
      </c>
      <c r="AD13" s="44">
        <f t="shared" si="7"/>
        <v>2.9498525073746312E-4</v>
      </c>
      <c r="AE13" s="44">
        <f t="shared" si="7"/>
        <v>7.2706121855460235E-4</v>
      </c>
      <c r="AF13" s="44">
        <f t="shared" si="7"/>
        <v>7.0671378091872788E-4</v>
      </c>
      <c r="AG13" s="44">
        <f t="shared" si="7"/>
        <v>6.9492703266157052E-4</v>
      </c>
      <c r="AH13" s="44">
        <f t="shared" ref="AH13:BI13" si="8">IFERROR(AH12/AH5,0)</f>
        <v>2.7677830058123442E-4</v>
      </c>
      <c r="AI13" s="44">
        <f t="shared" si="8"/>
        <v>5.5478502080443827E-4</v>
      </c>
      <c r="AJ13" s="44">
        <f t="shared" si="8"/>
        <v>4.1203131437989287E-4</v>
      </c>
      <c r="AK13" s="44">
        <f t="shared" si="8"/>
        <v>6.7907103082982475E-4</v>
      </c>
      <c r="AL13" s="44">
        <f t="shared" si="8"/>
        <v>6.6622251832111927E-4</v>
      </c>
      <c r="AM13" s="44">
        <f t="shared" si="8"/>
        <v>2.6075619295958278E-4</v>
      </c>
      <c r="AN13" s="44">
        <f t="shared" si="8"/>
        <v>6.6321793341291946E-4</v>
      </c>
      <c r="AO13" s="44">
        <f t="shared" si="8"/>
        <v>4.0187541862022773E-4</v>
      </c>
      <c r="AP13" s="44">
        <f t="shared" si="8"/>
        <v>4.0425818622827114E-4</v>
      </c>
      <c r="AQ13" s="44">
        <f t="shared" si="8"/>
        <v>5.3576212161800165E-4</v>
      </c>
      <c r="AR13" s="44">
        <f t="shared" si="8"/>
        <v>5.3269410041283788E-4</v>
      </c>
      <c r="AS13" s="44">
        <f t="shared" si="8"/>
        <v>1.1809473822333026E-3</v>
      </c>
      <c r="AT13" s="44">
        <f t="shared" si="8"/>
        <v>0</v>
      </c>
      <c r="AU13" s="4">
        <f t="shared" si="8"/>
        <v>0</v>
      </c>
      <c r="AV13" s="4">
        <f t="shared" si="8"/>
        <v>0</v>
      </c>
      <c r="AW13" s="4">
        <f t="shared" si="8"/>
        <v>0</v>
      </c>
      <c r="AX13" s="4">
        <f t="shared" si="8"/>
        <v>0</v>
      </c>
      <c r="AY13" s="4">
        <f t="shared" si="8"/>
        <v>0</v>
      </c>
      <c r="AZ13" s="4">
        <f t="shared" si="8"/>
        <v>0</v>
      </c>
      <c r="BA13" s="4">
        <f t="shared" si="8"/>
        <v>0</v>
      </c>
      <c r="BB13" s="4">
        <f t="shared" si="8"/>
        <v>0</v>
      </c>
      <c r="BC13" s="4">
        <f t="shared" si="8"/>
        <v>0</v>
      </c>
      <c r="BD13" s="4">
        <f t="shared" si="8"/>
        <v>0</v>
      </c>
      <c r="BE13" s="4">
        <f t="shared" si="8"/>
        <v>0</v>
      </c>
      <c r="BF13" s="4">
        <f t="shared" si="8"/>
        <v>0</v>
      </c>
      <c r="BG13" s="4">
        <f t="shared" si="8"/>
        <v>0</v>
      </c>
      <c r="BH13" s="4">
        <f t="shared" si="8"/>
        <v>0</v>
      </c>
      <c r="BI13" s="4">
        <f t="shared" si="8"/>
        <v>0</v>
      </c>
    </row>
    <row r="14" spans="1:61">
      <c r="A14" s="2" t="s">
        <v>246</v>
      </c>
      <c r="B14" s="44">
        <v>46.1</v>
      </c>
      <c r="C14" s="44">
        <v>46.4</v>
      </c>
      <c r="D14" s="44">
        <v>47.4</v>
      </c>
      <c r="E14" s="44">
        <v>49</v>
      </c>
      <c r="F14" s="44">
        <v>51</v>
      </c>
      <c r="G14" s="44">
        <v>51</v>
      </c>
      <c r="H14" s="44">
        <v>51</v>
      </c>
      <c r="I14" s="44">
        <v>54</v>
      </c>
      <c r="J14" s="44">
        <v>52</v>
      </c>
      <c r="K14" s="44">
        <v>49</v>
      </c>
      <c r="L14" s="44">
        <v>50</v>
      </c>
      <c r="M14" s="44">
        <v>49</v>
      </c>
      <c r="N14" s="44">
        <v>46</v>
      </c>
      <c r="O14" s="44">
        <v>45</v>
      </c>
      <c r="P14" s="44">
        <v>45</v>
      </c>
      <c r="Q14" s="44">
        <v>47</v>
      </c>
      <c r="R14" s="44">
        <v>33</v>
      </c>
      <c r="S14" s="44">
        <v>32.83</v>
      </c>
      <c r="T14" s="44">
        <v>31</v>
      </c>
      <c r="U14" s="44">
        <v>30</v>
      </c>
      <c r="V14" s="44">
        <v>27</v>
      </c>
      <c r="W14" s="44">
        <v>23</v>
      </c>
      <c r="X14" s="44">
        <v>21</v>
      </c>
      <c r="Y14" s="44">
        <v>27</v>
      </c>
      <c r="Z14" s="44">
        <v>25</v>
      </c>
      <c r="AA14" s="44">
        <v>24</v>
      </c>
      <c r="AB14" s="44">
        <v>28</v>
      </c>
      <c r="AC14" s="44">
        <v>28</v>
      </c>
      <c r="AD14" s="44">
        <v>28</v>
      </c>
      <c r="AE14" s="44">
        <v>30</v>
      </c>
      <c r="AF14" s="44">
        <v>32</v>
      </c>
      <c r="AG14" s="44">
        <v>34</v>
      </c>
      <c r="AH14" s="44">
        <v>35</v>
      </c>
      <c r="AI14" s="44">
        <v>34</v>
      </c>
      <c r="AJ14" s="44">
        <v>37</v>
      </c>
      <c r="AK14" s="44">
        <v>36</v>
      </c>
      <c r="AL14" s="44">
        <v>37</v>
      </c>
      <c r="AM14" s="44">
        <v>39</v>
      </c>
      <c r="AN14" s="44">
        <v>39</v>
      </c>
      <c r="AO14" s="44">
        <v>38</v>
      </c>
      <c r="AP14" s="44">
        <v>38</v>
      </c>
      <c r="AQ14" s="44">
        <v>38</v>
      </c>
      <c r="AR14" s="44">
        <v>38</v>
      </c>
      <c r="AS14" s="44">
        <v>41</v>
      </c>
      <c r="AT14" s="44"/>
      <c r="AU14" s="4"/>
      <c r="AV14" s="4">
        <f t="shared" ref="AV14:BI14" si="9">AV8-AV10-AV12</f>
        <v>0</v>
      </c>
      <c r="AW14" s="4">
        <f t="shared" si="9"/>
        <v>0</v>
      </c>
      <c r="AX14" s="4">
        <f t="shared" si="9"/>
        <v>0</v>
      </c>
      <c r="AY14" s="4">
        <f t="shared" si="9"/>
        <v>0</v>
      </c>
      <c r="AZ14" s="4">
        <f t="shared" si="9"/>
        <v>0</v>
      </c>
      <c r="BA14" s="4">
        <f t="shared" si="9"/>
        <v>0</v>
      </c>
      <c r="BB14" s="4">
        <f t="shared" si="9"/>
        <v>0</v>
      </c>
      <c r="BC14" s="4">
        <f t="shared" si="9"/>
        <v>0</v>
      </c>
      <c r="BD14" s="4">
        <f t="shared" si="9"/>
        <v>0</v>
      </c>
      <c r="BE14" s="4">
        <f t="shared" si="9"/>
        <v>0</v>
      </c>
      <c r="BF14" s="4">
        <f t="shared" si="9"/>
        <v>0</v>
      </c>
      <c r="BG14" s="4">
        <f t="shared" si="9"/>
        <v>0</v>
      </c>
      <c r="BH14" s="4">
        <f t="shared" si="9"/>
        <v>0</v>
      </c>
      <c r="BI14" s="4">
        <f t="shared" si="9"/>
        <v>0</v>
      </c>
    </row>
    <row r="15" spans="1:61">
      <c r="A15" s="2" t="s">
        <v>247</v>
      </c>
      <c r="B15" s="44">
        <f t="shared" ref="B15:AG15" si="10">IFERROR(B14/B5,0)</f>
        <v>1.1421068278664155E-2</v>
      </c>
      <c r="C15" s="44">
        <f t="shared" si="10"/>
        <v>1.1163506880954672E-2</v>
      </c>
      <c r="D15" s="44">
        <f t="shared" si="10"/>
        <v>1.1434360978433927E-2</v>
      </c>
      <c r="E15" s="44">
        <f t="shared" si="10"/>
        <v>1.1648085197423158E-2</v>
      </c>
      <c r="F15" s="44">
        <f t="shared" si="10"/>
        <v>1.1691884456671253E-2</v>
      </c>
      <c r="G15" s="44">
        <f t="shared" si="10"/>
        <v>1.1659807956104253E-2</v>
      </c>
      <c r="H15" s="44">
        <f t="shared" si="10"/>
        <v>1.1625256439480283E-2</v>
      </c>
      <c r="I15" s="44">
        <f t="shared" si="10"/>
        <v>1.2129380053908356E-2</v>
      </c>
      <c r="J15" s="44">
        <f t="shared" si="10"/>
        <v>1.1326508385972555E-2</v>
      </c>
      <c r="K15" s="44">
        <f t="shared" si="10"/>
        <v>1.03397341211226E-2</v>
      </c>
      <c r="L15" s="44">
        <f t="shared" si="10"/>
        <v>1.0444955086693127E-2</v>
      </c>
      <c r="M15" s="44">
        <f t="shared" si="10"/>
        <v>9.8551890587288814E-3</v>
      </c>
      <c r="N15" s="44">
        <f t="shared" si="10"/>
        <v>9.1071075034646603E-3</v>
      </c>
      <c r="O15" s="44">
        <f t="shared" si="10"/>
        <v>8.6289549376797701E-3</v>
      </c>
      <c r="P15" s="44">
        <f t="shared" si="10"/>
        <v>8.5714285714285719E-3</v>
      </c>
      <c r="Q15" s="44">
        <f t="shared" si="10"/>
        <v>8.7085417824717438E-3</v>
      </c>
      <c r="R15" s="44">
        <f t="shared" si="10"/>
        <v>6.0164083865086601E-3</v>
      </c>
      <c r="S15" s="44">
        <f t="shared" si="10"/>
        <v>5.9506978430306319E-3</v>
      </c>
      <c r="T15" s="44">
        <f t="shared" si="10"/>
        <v>5.5495882563551735E-3</v>
      </c>
      <c r="U15" s="44">
        <f t="shared" si="10"/>
        <v>5.5106539309331378E-3</v>
      </c>
      <c r="V15" s="44">
        <f t="shared" si="10"/>
        <v>5.3370231271002173E-3</v>
      </c>
      <c r="W15" s="44">
        <f t="shared" si="10"/>
        <v>4.2404129793510324E-3</v>
      </c>
      <c r="X15" s="44">
        <f t="shared" si="10"/>
        <v>3.6829182742897227E-3</v>
      </c>
      <c r="Y15" s="44">
        <f t="shared" si="10"/>
        <v>4.5082651527800967E-3</v>
      </c>
      <c r="Z15" s="44">
        <f t="shared" si="10"/>
        <v>4.0623984400389992E-3</v>
      </c>
      <c r="AA15" s="44">
        <f t="shared" si="10"/>
        <v>3.7896731406916154E-3</v>
      </c>
      <c r="AB15" s="44">
        <f t="shared" si="10"/>
        <v>4.2918454935622317E-3</v>
      </c>
      <c r="AC15" s="44">
        <f t="shared" si="10"/>
        <v>4.181600955794504E-3</v>
      </c>
      <c r="AD15" s="44">
        <f t="shared" si="10"/>
        <v>4.1297935103244837E-3</v>
      </c>
      <c r="AE15" s="44">
        <f t="shared" si="10"/>
        <v>4.3623673113276137E-3</v>
      </c>
      <c r="AF15" s="44">
        <f t="shared" si="10"/>
        <v>4.5229681978798588E-3</v>
      </c>
      <c r="AG15" s="44">
        <f t="shared" si="10"/>
        <v>4.7255038220986798E-3</v>
      </c>
      <c r="AH15" s="44">
        <f t="shared" ref="AH15:BI15" si="11">IFERROR(AH14/AH5,0)</f>
        <v>4.8436202601716029E-3</v>
      </c>
      <c r="AI15" s="44">
        <f t="shared" si="11"/>
        <v>4.7156726768377254E-3</v>
      </c>
      <c r="AJ15" s="44">
        <f t="shared" si="11"/>
        <v>5.0817195440186784E-3</v>
      </c>
      <c r="AK15" s="44">
        <f t="shared" si="11"/>
        <v>4.8893114219747385E-3</v>
      </c>
      <c r="AL15" s="44">
        <f t="shared" si="11"/>
        <v>4.9300466355762821E-3</v>
      </c>
      <c r="AM15" s="44">
        <f t="shared" si="11"/>
        <v>5.084745762711864E-3</v>
      </c>
      <c r="AN15" s="44">
        <f t="shared" si="11"/>
        <v>5.1730998806207721E-3</v>
      </c>
      <c r="AO15" s="44">
        <f t="shared" si="11"/>
        <v>5.090421969189551E-3</v>
      </c>
      <c r="AP15" s="44">
        <f t="shared" si="11"/>
        <v>5.1206036922247676E-3</v>
      </c>
      <c r="AQ15" s="44">
        <f t="shared" si="11"/>
        <v>5.0897401553710152E-3</v>
      </c>
      <c r="AR15" s="44">
        <f t="shared" si="11"/>
        <v>5.06059395392196E-3</v>
      </c>
      <c r="AS15" s="44">
        <f t="shared" si="11"/>
        <v>5.379871407951712E-3</v>
      </c>
      <c r="AT15" s="44">
        <f t="shared" si="11"/>
        <v>0</v>
      </c>
      <c r="AU15" s="4">
        <f t="shared" si="11"/>
        <v>0</v>
      </c>
      <c r="AV15" s="4">
        <f t="shared" si="11"/>
        <v>0</v>
      </c>
      <c r="AW15" s="4">
        <f t="shared" si="11"/>
        <v>0</v>
      </c>
      <c r="AX15" s="4">
        <f t="shared" si="11"/>
        <v>0</v>
      </c>
      <c r="AY15" s="4">
        <f t="shared" si="11"/>
        <v>0</v>
      </c>
      <c r="AZ15" s="4">
        <f t="shared" si="11"/>
        <v>0</v>
      </c>
      <c r="BA15" s="4">
        <f t="shared" si="11"/>
        <v>0</v>
      </c>
      <c r="BB15" s="4">
        <f t="shared" si="11"/>
        <v>0</v>
      </c>
      <c r="BC15" s="4">
        <f t="shared" si="11"/>
        <v>0</v>
      </c>
      <c r="BD15" s="4">
        <f t="shared" si="11"/>
        <v>0</v>
      </c>
      <c r="BE15" s="4">
        <f t="shared" si="11"/>
        <v>0</v>
      </c>
      <c r="BF15" s="4">
        <f t="shared" si="11"/>
        <v>0</v>
      </c>
      <c r="BG15" s="4">
        <f t="shared" si="11"/>
        <v>0</v>
      </c>
      <c r="BH15" s="4">
        <f t="shared" si="11"/>
        <v>0</v>
      </c>
      <c r="BI15" s="4">
        <f t="shared" si="11"/>
        <v>0</v>
      </c>
    </row>
    <row r="16" spans="1:61">
      <c r="A16" s="2" t="s">
        <v>248</v>
      </c>
      <c r="B16" s="44">
        <v>11.2</v>
      </c>
      <c r="C16" s="44">
        <v>11.8</v>
      </c>
      <c r="D16" s="44">
        <v>11.2</v>
      </c>
      <c r="E16" s="44">
        <v>10</v>
      </c>
      <c r="F16" s="44">
        <v>12</v>
      </c>
      <c r="G16" s="44">
        <v>11</v>
      </c>
      <c r="H16" s="44">
        <v>11</v>
      </c>
      <c r="I16" s="44">
        <v>10</v>
      </c>
      <c r="J16" s="44">
        <v>12</v>
      </c>
      <c r="K16" s="44">
        <v>12</v>
      </c>
      <c r="L16" s="44">
        <v>11</v>
      </c>
      <c r="M16" s="44">
        <v>8</v>
      </c>
      <c r="N16" s="44">
        <v>12</v>
      </c>
      <c r="O16" s="44">
        <v>13</v>
      </c>
      <c r="P16" s="44">
        <v>12</v>
      </c>
      <c r="Q16" s="44">
        <v>12</v>
      </c>
      <c r="R16" s="44">
        <v>12</v>
      </c>
      <c r="S16" s="44">
        <v>12.46</v>
      </c>
      <c r="T16" s="44">
        <v>12</v>
      </c>
      <c r="U16" s="44">
        <v>14</v>
      </c>
      <c r="V16" s="44">
        <v>17</v>
      </c>
      <c r="W16" s="44">
        <v>16</v>
      </c>
      <c r="X16" s="44">
        <v>13</v>
      </c>
      <c r="Y16" s="44">
        <v>16</v>
      </c>
      <c r="Z16" s="44">
        <v>17</v>
      </c>
      <c r="AA16" s="44">
        <v>14</v>
      </c>
      <c r="AB16" s="44">
        <v>18</v>
      </c>
      <c r="AC16" s="44">
        <v>19</v>
      </c>
      <c r="AD16" s="44">
        <v>18</v>
      </c>
      <c r="AE16" s="44">
        <v>21</v>
      </c>
      <c r="AF16" s="44">
        <v>28</v>
      </c>
      <c r="AG16" s="44">
        <v>26</v>
      </c>
      <c r="AH16" s="44">
        <v>26</v>
      </c>
      <c r="AI16" s="44">
        <v>21</v>
      </c>
      <c r="AJ16" s="44">
        <v>25</v>
      </c>
      <c r="AK16" s="44">
        <v>23</v>
      </c>
      <c r="AL16" s="44">
        <v>21</v>
      </c>
      <c r="AM16" s="44">
        <v>24</v>
      </c>
      <c r="AN16" s="44">
        <v>22</v>
      </c>
      <c r="AO16" s="44">
        <v>22</v>
      </c>
      <c r="AP16" s="44">
        <v>22</v>
      </c>
      <c r="AQ16" s="44">
        <v>21</v>
      </c>
      <c r="AR16" s="44">
        <v>25</v>
      </c>
      <c r="AS16" s="44">
        <v>29</v>
      </c>
      <c r="AT16" s="4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</row>
    <row r="17" spans="1:61">
      <c r="A17" s="2" t="s">
        <v>249</v>
      </c>
      <c r="B17" s="44">
        <v>50.9</v>
      </c>
      <c r="C17" s="44">
        <v>73.2</v>
      </c>
      <c r="D17" s="44">
        <v>63.2</v>
      </c>
      <c r="E17" s="44">
        <v>61.5</v>
      </c>
      <c r="F17" s="44">
        <v>56</v>
      </c>
      <c r="G17" s="44">
        <v>54</v>
      </c>
      <c r="H17" s="44">
        <v>55</v>
      </c>
      <c r="I17" s="44">
        <v>59</v>
      </c>
      <c r="J17" s="44">
        <v>55</v>
      </c>
      <c r="K17" s="44">
        <v>48</v>
      </c>
      <c r="L17" s="44">
        <v>66</v>
      </c>
      <c r="M17" s="44">
        <v>73</v>
      </c>
      <c r="N17" s="44">
        <v>70</v>
      </c>
      <c r="O17" s="44">
        <v>70</v>
      </c>
      <c r="P17" s="44">
        <v>72</v>
      </c>
      <c r="Q17" s="44">
        <v>98</v>
      </c>
      <c r="R17" s="44">
        <v>65</v>
      </c>
      <c r="S17" s="44">
        <v>81.5</v>
      </c>
      <c r="T17" s="44">
        <v>78</v>
      </c>
      <c r="U17" s="44">
        <v>62</v>
      </c>
      <c r="V17" s="44">
        <v>71</v>
      </c>
      <c r="W17" s="44">
        <v>38</v>
      </c>
      <c r="X17" s="44">
        <v>45</v>
      </c>
      <c r="Y17" s="44">
        <v>55</v>
      </c>
      <c r="Z17" s="44">
        <v>60</v>
      </c>
      <c r="AA17" s="44">
        <v>52</v>
      </c>
      <c r="AB17" s="44">
        <v>62</v>
      </c>
      <c r="AC17" s="44">
        <v>78</v>
      </c>
      <c r="AD17" s="44">
        <v>59</v>
      </c>
      <c r="AE17" s="44">
        <v>60</v>
      </c>
      <c r="AF17" s="44">
        <v>63</v>
      </c>
      <c r="AG17" s="44">
        <v>57</v>
      </c>
      <c r="AH17" s="44">
        <v>67</v>
      </c>
      <c r="AI17" s="44">
        <v>62</v>
      </c>
      <c r="AJ17" s="44">
        <v>62</v>
      </c>
      <c r="AK17" s="44">
        <v>64</v>
      </c>
      <c r="AL17" s="44">
        <v>84</v>
      </c>
      <c r="AM17" s="44">
        <v>56</v>
      </c>
      <c r="AN17" s="44">
        <v>49</v>
      </c>
      <c r="AO17" s="44">
        <v>64</v>
      </c>
      <c r="AP17" s="44">
        <v>64</v>
      </c>
      <c r="AQ17" s="44">
        <v>59</v>
      </c>
      <c r="AR17" s="44">
        <v>83</v>
      </c>
      <c r="AS17" s="44">
        <v>93</v>
      </c>
      <c r="AT17" s="44">
        <v>1468</v>
      </c>
      <c r="AU17" s="4">
        <f t="shared" ref="AU17:BI17" si="12">AU14+AU16</f>
        <v>0</v>
      </c>
      <c r="AV17" s="4">
        <f t="shared" si="12"/>
        <v>0</v>
      </c>
      <c r="AW17" s="4">
        <f t="shared" si="12"/>
        <v>0</v>
      </c>
      <c r="AX17" s="4">
        <f t="shared" si="12"/>
        <v>0</v>
      </c>
      <c r="AY17" s="4">
        <f t="shared" si="12"/>
        <v>0</v>
      </c>
      <c r="AZ17" s="4">
        <f t="shared" si="12"/>
        <v>0</v>
      </c>
      <c r="BA17" s="4">
        <f t="shared" si="12"/>
        <v>0</v>
      </c>
      <c r="BB17" s="4">
        <f t="shared" si="12"/>
        <v>0</v>
      </c>
      <c r="BC17" s="4">
        <f t="shared" si="12"/>
        <v>0</v>
      </c>
      <c r="BD17" s="4">
        <f t="shared" si="12"/>
        <v>0</v>
      </c>
      <c r="BE17" s="4">
        <f t="shared" si="12"/>
        <v>0</v>
      </c>
      <c r="BF17" s="4">
        <f t="shared" si="12"/>
        <v>0</v>
      </c>
      <c r="BG17" s="4">
        <f t="shared" si="12"/>
        <v>0</v>
      </c>
      <c r="BH17" s="4">
        <f t="shared" si="12"/>
        <v>0</v>
      </c>
      <c r="BI17" s="4">
        <f t="shared" si="12"/>
        <v>0</v>
      </c>
    </row>
    <row r="18" spans="1:61">
      <c r="A18" s="2" t="s">
        <v>250</v>
      </c>
      <c r="B18" s="44">
        <f t="shared" ref="B18:AG18" si="13">IFERROR(B17/B5,0)</f>
        <v>1.2610246754533743E-2</v>
      </c>
      <c r="C18" s="44">
        <f t="shared" si="13"/>
        <v>1.7611394475988838E-2</v>
      </c>
      <c r="D18" s="44">
        <f t="shared" si="13"/>
        <v>1.5245814637911904E-2</v>
      </c>
      <c r="E18" s="44">
        <f t="shared" si="13"/>
        <v>1.461953550288825E-2</v>
      </c>
      <c r="F18" s="44">
        <f t="shared" si="13"/>
        <v>1.2838147638697846E-2</v>
      </c>
      <c r="G18" s="44">
        <f t="shared" si="13"/>
        <v>1.2345679012345678E-2</v>
      </c>
      <c r="H18" s="44">
        <f t="shared" si="13"/>
        <v>1.253704125826305E-2</v>
      </c>
      <c r="I18" s="44">
        <f t="shared" si="13"/>
        <v>1.3252470799640611E-2</v>
      </c>
      <c r="J18" s="44">
        <f t="shared" si="13"/>
        <v>1.1979960792855586E-2</v>
      </c>
      <c r="K18" s="44">
        <f t="shared" si="13"/>
        <v>1.0128719139058873E-2</v>
      </c>
      <c r="L18" s="44">
        <f t="shared" si="13"/>
        <v>1.3787340714434928E-2</v>
      </c>
      <c r="M18" s="44">
        <f t="shared" si="13"/>
        <v>1.4682220434432824E-2</v>
      </c>
      <c r="N18" s="44">
        <f t="shared" si="13"/>
        <v>1.3858641853098397E-2</v>
      </c>
      <c r="O18" s="44">
        <f t="shared" si="13"/>
        <v>1.3422818791946308E-2</v>
      </c>
      <c r="P18" s="44">
        <f t="shared" si="13"/>
        <v>1.3714285714285714E-2</v>
      </c>
      <c r="Q18" s="44">
        <f t="shared" si="13"/>
        <v>1.8158236057068743E-2</v>
      </c>
      <c r="R18" s="44">
        <f t="shared" si="13"/>
        <v>1.1850501367365542E-2</v>
      </c>
      <c r="S18" s="44">
        <f t="shared" si="13"/>
        <v>1.4772521297806779E-2</v>
      </c>
      <c r="T18" s="44">
        <f t="shared" si="13"/>
        <v>1.3963480128893663E-2</v>
      </c>
      <c r="U18" s="44">
        <f t="shared" si="13"/>
        <v>1.1388684790595151E-2</v>
      </c>
      <c r="V18" s="44">
        <f t="shared" si="13"/>
        <v>1.4034394149041313E-2</v>
      </c>
      <c r="W18" s="44">
        <f t="shared" si="13"/>
        <v>7.0058997050147492E-3</v>
      </c>
      <c r="X18" s="44">
        <f t="shared" si="13"/>
        <v>7.8919677306208344E-3</v>
      </c>
      <c r="Y18" s="44">
        <f t="shared" si="13"/>
        <v>9.1835030889964933E-3</v>
      </c>
      <c r="Z18" s="44">
        <f t="shared" si="13"/>
        <v>9.7497562560935978E-3</v>
      </c>
      <c r="AA18" s="44">
        <f t="shared" si="13"/>
        <v>8.2109584714984991E-3</v>
      </c>
      <c r="AB18" s="44">
        <f t="shared" si="13"/>
        <v>9.5033721643163708E-3</v>
      </c>
      <c r="AC18" s="44">
        <f t="shared" si="13"/>
        <v>1.1648745519713262E-2</v>
      </c>
      <c r="AD18" s="44">
        <f t="shared" si="13"/>
        <v>8.7020648967551621E-3</v>
      </c>
      <c r="AE18" s="44">
        <f t="shared" si="13"/>
        <v>8.7247346226552273E-3</v>
      </c>
      <c r="AF18" s="44">
        <f t="shared" si="13"/>
        <v>8.9045936395759709E-3</v>
      </c>
      <c r="AG18" s="44">
        <f t="shared" si="13"/>
        <v>7.9221681723419049E-3</v>
      </c>
      <c r="AH18" s="44">
        <f t="shared" ref="AH18:BI18" si="14">IFERROR(AH17/AH5,0)</f>
        <v>9.2720730694713527E-3</v>
      </c>
      <c r="AI18" s="44">
        <f t="shared" si="14"/>
        <v>8.599167822468794E-3</v>
      </c>
      <c r="AJ18" s="44">
        <f t="shared" si="14"/>
        <v>8.5153138305177865E-3</v>
      </c>
      <c r="AK18" s="44">
        <f t="shared" si="14"/>
        <v>8.6921091946217579E-3</v>
      </c>
      <c r="AL18" s="44">
        <f t="shared" si="14"/>
        <v>1.1192538307794804E-2</v>
      </c>
      <c r="AM18" s="44">
        <f t="shared" si="14"/>
        <v>7.3011734028683179E-3</v>
      </c>
      <c r="AN18" s="44">
        <f t="shared" si="14"/>
        <v>6.4995357474466105E-3</v>
      </c>
      <c r="AO18" s="44">
        <f t="shared" si="14"/>
        <v>8.5733422638981909E-3</v>
      </c>
      <c r="AP18" s="44">
        <f t="shared" si="14"/>
        <v>8.6241746395364499E-3</v>
      </c>
      <c r="AQ18" s="44">
        <f t="shared" si="14"/>
        <v>7.9024912938655233E-3</v>
      </c>
      <c r="AR18" s="44">
        <f t="shared" si="14"/>
        <v>1.1053402583566387E-2</v>
      </c>
      <c r="AS18" s="44">
        <f t="shared" si="14"/>
        <v>1.2203122949744127E-2</v>
      </c>
      <c r="AT18" s="44">
        <f t="shared" si="14"/>
        <v>0.19254984260230851</v>
      </c>
      <c r="AU18" s="4">
        <f t="shared" si="14"/>
        <v>0</v>
      </c>
      <c r="AV18" s="4">
        <f t="shared" si="14"/>
        <v>0</v>
      </c>
      <c r="AW18" s="4">
        <f t="shared" si="14"/>
        <v>0</v>
      </c>
      <c r="AX18" s="4">
        <f t="shared" si="14"/>
        <v>0</v>
      </c>
      <c r="AY18" s="4">
        <f t="shared" si="14"/>
        <v>0</v>
      </c>
      <c r="AZ18" s="4">
        <f t="shared" si="14"/>
        <v>0</v>
      </c>
      <c r="BA18" s="4">
        <f t="shared" si="14"/>
        <v>0</v>
      </c>
      <c r="BB18" s="4">
        <f t="shared" si="14"/>
        <v>0</v>
      </c>
      <c r="BC18" s="4">
        <f t="shared" si="14"/>
        <v>0</v>
      </c>
      <c r="BD18" s="4">
        <f t="shared" si="14"/>
        <v>0</v>
      </c>
      <c r="BE18" s="4">
        <f t="shared" si="14"/>
        <v>0</v>
      </c>
      <c r="BF18" s="4">
        <f t="shared" si="14"/>
        <v>0</v>
      </c>
      <c r="BG18" s="4">
        <f t="shared" si="14"/>
        <v>0</v>
      </c>
      <c r="BH18" s="4">
        <f t="shared" si="14"/>
        <v>0</v>
      </c>
      <c r="BI18" s="4">
        <f t="shared" si="14"/>
        <v>0</v>
      </c>
    </row>
    <row r="19" spans="1:61">
      <c r="A19" s="2" t="s">
        <v>251</v>
      </c>
      <c r="B19" s="44">
        <v>1061.2</v>
      </c>
      <c r="C19" s="44">
        <v>1125.0999999999999</v>
      </c>
      <c r="D19" s="44">
        <v>1102.3</v>
      </c>
      <c r="E19" s="44">
        <v>1096</v>
      </c>
      <c r="F19" s="44">
        <v>1093</v>
      </c>
      <c r="G19" s="44">
        <v>1138</v>
      </c>
      <c r="H19" s="44">
        <v>1141</v>
      </c>
      <c r="I19" s="44">
        <v>1146</v>
      </c>
      <c r="J19" s="44">
        <v>1073</v>
      </c>
      <c r="K19" s="44">
        <v>1188</v>
      </c>
      <c r="L19" s="44">
        <v>1205</v>
      </c>
      <c r="M19" s="44">
        <v>1263</v>
      </c>
      <c r="N19" s="44">
        <v>1264</v>
      </c>
      <c r="O19" s="44">
        <v>1383</v>
      </c>
      <c r="P19" s="44">
        <v>1345</v>
      </c>
      <c r="Q19" s="44">
        <v>1354</v>
      </c>
      <c r="R19" s="44">
        <v>1324.7</v>
      </c>
      <c r="S19" s="44">
        <v>1325.67</v>
      </c>
      <c r="T19" s="44">
        <v>1398</v>
      </c>
      <c r="U19" s="44">
        <v>1366</v>
      </c>
      <c r="V19" s="44">
        <v>1194</v>
      </c>
      <c r="W19" s="44">
        <v>1422</v>
      </c>
      <c r="X19" s="44">
        <v>1517</v>
      </c>
      <c r="Y19" s="44">
        <v>1608</v>
      </c>
      <c r="Z19" s="44">
        <v>1570</v>
      </c>
      <c r="AA19" s="44">
        <v>1622</v>
      </c>
      <c r="AB19" s="44">
        <v>1633</v>
      </c>
      <c r="AC19" s="44">
        <v>1671</v>
      </c>
      <c r="AD19" s="44">
        <v>1566</v>
      </c>
      <c r="AE19" s="44">
        <v>1651</v>
      </c>
      <c r="AF19" s="44">
        <v>1736</v>
      </c>
      <c r="AG19" s="44">
        <v>1761</v>
      </c>
      <c r="AH19" s="44">
        <v>1674</v>
      </c>
      <c r="AI19" s="44">
        <v>1749</v>
      </c>
      <c r="AJ19" s="44">
        <v>1821</v>
      </c>
      <c r="AK19" s="44">
        <v>1914</v>
      </c>
      <c r="AL19" s="44">
        <v>1851</v>
      </c>
      <c r="AM19" s="44">
        <v>1846</v>
      </c>
      <c r="AN19" s="44">
        <v>1844</v>
      </c>
      <c r="AO19" s="44">
        <v>1807</v>
      </c>
      <c r="AP19" s="44">
        <v>1815</v>
      </c>
      <c r="AQ19" s="44">
        <v>1879</v>
      </c>
      <c r="AR19" s="44">
        <v>1889</v>
      </c>
      <c r="AS19" s="44">
        <v>1927</v>
      </c>
      <c r="AT19" s="4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</row>
    <row r="20" spans="1:61">
      <c r="A20" s="2" t="s">
        <v>82</v>
      </c>
      <c r="B20" s="8">
        <f t="shared" ref="B20:AT20" si="15">B19/B5</f>
        <v>0.26290754137350114</v>
      </c>
      <c r="C20" s="8">
        <f t="shared" si="15"/>
        <v>0.27069098258107976</v>
      </c>
      <c r="D20" s="8">
        <f t="shared" si="15"/>
        <v>0.2659092005596565</v>
      </c>
      <c r="E20" s="8">
        <f t="shared" si="15"/>
        <v>0.26053676278317922</v>
      </c>
      <c r="F20" s="8">
        <f t="shared" si="15"/>
        <v>0.2505731315910133</v>
      </c>
      <c r="G20" s="8">
        <f t="shared" si="15"/>
        <v>0.26017375400091447</v>
      </c>
      <c r="H20" s="8">
        <f t="shared" si="15"/>
        <v>0.26008661955778434</v>
      </c>
      <c r="I20" s="8">
        <f t="shared" si="15"/>
        <v>0.25741239892183287</v>
      </c>
      <c r="J20" s="8">
        <f t="shared" si="15"/>
        <v>0.23371814419516446</v>
      </c>
      <c r="K20" s="8">
        <f t="shared" si="15"/>
        <v>0.2506857986917071</v>
      </c>
      <c r="L20" s="8">
        <f t="shared" si="15"/>
        <v>0.25172341758930439</v>
      </c>
      <c r="M20" s="8">
        <f t="shared" si="15"/>
        <v>0.25402252614641996</v>
      </c>
      <c r="N20" s="8">
        <f t="shared" si="15"/>
        <v>0.25024747574737677</v>
      </c>
      <c r="O20" s="8">
        <f t="shared" si="15"/>
        <v>0.26519654841802492</v>
      </c>
      <c r="P20" s="8">
        <f t="shared" si="15"/>
        <v>0.25619047619047619</v>
      </c>
      <c r="Q20" s="8">
        <f t="shared" si="15"/>
        <v>0.25088011858439874</v>
      </c>
      <c r="R20" s="8">
        <f t="shared" si="15"/>
        <v>0.24151321786690977</v>
      </c>
      <c r="S20" s="8">
        <f t="shared" si="15"/>
        <v>0.24028820010875476</v>
      </c>
      <c r="T20" s="8">
        <f t="shared" si="15"/>
        <v>0.2502685284640172</v>
      </c>
      <c r="U20" s="8">
        <f t="shared" si="15"/>
        <v>0.2509184423218222</v>
      </c>
      <c r="V20" s="8">
        <f t="shared" si="15"/>
        <v>0.23601502273176517</v>
      </c>
      <c r="W20" s="8">
        <f t="shared" si="15"/>
        <v>0.26216814159292035</v>
      </c>
      <c r="X20" s="8">
        <f t="shared" si="15"/>
        <v>0.26604700105226237</v>
      </c>
      <c r="Y20" s="8">
        <f t="shared" si="15"/>
        <v>0.26849223576557019</v>
      </c>
      <c r="Z20" s="8">
        <f t="shared" si="15"/>
        <v>0.25511862203444913</v>
      </c>
      <c r="AA20" s="8">
        <f t="shared" si="15"/>
        <v>0.25611874309174165</v>
      </c>
      <c r="AB20" s="8">
        <f t="shared" si="15"/>
        <v>0.25030656039239729</v>
      </c>
      <c r="AC20" s="8">
        <f t="shared" si="15"/>
        <v>0.24955197132616488</v>
      </c>
      <c r="AD20" s="8">
        <f t="shared" si="15"/>
        <v>0.23097345132743363</v>
      </c>
      <c r="AE20" s="8">
        <f t="shared" si="15"/>
        <v>0.24007561436672967</v>
      </c>
      <c r="AF20" s="8">
        <f t="shared" si="15"/>
        <v>0.24537102473498235</v>
      </c>
      <c r="AG20" s="8">
        <f t="shared" si="15"/>
        <v>0.24475330090340514</v>
      </c>
      <c r="AH20" s="8">
        <f t="shared" si="15"/>
        <v>0.23166343758649321</v>
      </c>
      <c r="AI20" s="8">
        <f t="shared" si="15"/>
        <v>0.24257975034674065</v>
      </c>
      <c r="AJ20" s="8">
        <f t="shared" si="15"/>
        <v>0.25010300782859496</v>
      </c>
      <c r="AK20" s="8">
        <f t="shared" si="15"/>
        <v>0.25994839060165692</v>
      </c>
      <c r="AL20" s="8">
        <f t="shared" si="15"/>
        <v>0.24663557628247834</v>
      </c>
      <c r="AM20" s="8">
        <f t="shared" si="15"/>
        <v>0.24067796610169492</v>
      </c>
      <c r="AN20" s="8">
        <f t="shared" si="15"/>
        <v>0.24459477384268472</v>
      </c>
      <c r="AO20" s="8">
        <f t="shared" si="15"/>
        <v>0.24206296048225051</v>
      </c>
      <c r="AP20" s="8">
        <f t="shared" si="15"/>
        <v>0.24457620266810404</v>
      </c>
      <c r="AQ20" s="8">
        <f t="shared" si="15"/>
        <v>0.25167425663005627</v>
      </c>
      <c r="AR20" s="8">
        <f t="shared" si="15"/>
        <v>0.2515647889199627</v>
      </c>
      <c r="AS20" s="8">
        <f t="shared" si="15"/>
        <v>0.25285395617373047</v>
      </c>
      <c r="AT20" s="8">
        <f t="shared" si="15"/>
        <v>0</v>
      </c>
      <c r="AU20" s="4"/>
      <c r="AV20" s="4">
        <f t="shared" ref="AV20:BI20" si="16">AV14+AV19</f>
        <v>0</v>
      </c>
      <c r="AW20" s="4">
        <f t="shared" si="16"/>
        <v>0</v>
      </c>
      <c r="AX20" s="4">
        <f t="shared" si="16"/>
        <v>0</v>
      </c>
      <c r="AY20" s="4">
        <f t="shared" si="16"/>
        <v>0</v>
      </c>
      <c r="AZ20" s="4">
        <f t="shared" si="16"/>
        <v>0</v>
      </c>
      <c r="BA20" s="4">
        <f t="shared" si="16"/>
        <v>0</v>
      </c>
      <c r="BB20" s="4">
        <f t="shared" si="16"/>
        <v>0</v>
      </c>
      <c r="BC20" s="4">
        <f t="shared" si="16"/>
        <v>0</v>
      </c>
      <c r="BD20" s="4">
        <f t="shared" si="16"/>
        <v>0</v>
      </c>
      <c r="BE20" s="4">
        <f t="shared" si="16"/>
        <v>0</v>
      </c>
      <c r="BF20" s="4">
        <f t="shared" si="16"/>
        <v>0</v>
      </c>
      <c r="BG20" s="4">
        <f t="shared" si="16"/>
        <v>0</v>
      </c>
      <c r="BH20" s="4">
        <f t="shared" si="16"/>
        <v>0</v>
      </c>
      <c r="BI20" s="4">
        <f t="shared" si="16"/>
        <v>0</v>
      </c>
    </row>
    <row r="21" spans="1:61">
      <c r="A21" s="2" t="s">
        <v>252</v>
      </c>
      <c r="B21" s="44">
        <f t="shared" ref="B21:AG21" si="17">IFERROR(B20/B5,0)</f>
        <v>6.5134164446908419E-5</v>
      </c>
      <c r="C21" s="44">
        <f t="shared" si="17"/>
        <v>6.5126307040005725E-5</v>
      </c>
      <c r="D21" s="44">
        <f t="shared" si="17"/>
        <v>6.4145607314048474E-5</v>
      </c>
      <c r="E21" s="44">
        <f t="shared" si="17"/>
        <v>6.1933763468557124E-5</v>
      </c>
      <c r="F21" s="44">
        <f t="shared" si="17"/>
        <v>5.7444551029576637E-5</v>
      </c>
      <c r="G21" s="44">
        <f t="shared" si="17"/>
        <v>5.9481882487634768E-5</v>
      </c>
      <c r="H21" s="44">
        <f t="shared" si="17"/>
        <v>5.9285757820329234E-5</v>
      </c>
      <c r="I21" s="44">
        <f t="shared" si="17"/>
        <v>5.781949661317001E-5</v>
      </c>
      <c r="J21" s="44">
        <f t="shared" si="17"/>
        <v>5.0907894618855252E-5</v>
      </c>
      <c r="K21" s="44">
        <f t="shared" si="17"/>
        <v>5.2898459314561531E-5</v>
      </c>
      <c r="L21" s="44">
        <f t="shared" si="17"/>
        <v>5.2584795819783658E-5</v>
      </c>
      <c r="M21" s="44">
        <f t="shared" si="17"/>
        <v>5.1090612660181004E-5</v>
      </c>
      <c r="N21" s="44">
        <f t="shared" si="17"/>
        <v>4.9544144871783168E-5</v>
      </c>
      <c r="O21" s="44">
        <f t="shared" si="17"/>
        <v>5.0852645909496631E-5</v>
      </c>
      <c r="P21" s="44">
        <f t="shared" si="17"/>
        <v>4.8798185941043083E-5</v>
      </c>
      <c r="Q21" s="44">
        <f t="shared" si="17"/>
        <v>4.6485106278376642E-5</v>
      </c>
      <c r="R21" s="44">
        <f t="shared" si="17"/>
        <v>4.4031580285671788E-5</v>
      </c>
      <c r="S21" s="44">
        <f t="shared" si="17"/>
        <v>4.3554141763413952E-5</v>
      </c>
      <c r="T21" s="44">
        <f t="shared" si="17"/>
        <v>4.480281569352259E-5</v>
      </c>
      <c r="U21" s="44">
        <f t="shared" si="17"/>
        <v>4.6090823350812307E-5</v>
      </c>
      <c r="V21" s="44">
        <f t="shared" si="17"/>
        <v>4.6652504987500526E-5</v>
      </c>
      <c r="W21" s="44">
        <f t="shared" si="17"/>
        <v>4.8334834364476464E-5</v>
      </c>
      <c r="X21" s="44">
        <f t="shared" si="17"/>
        <v>4.6658541047397822E-5</v>
      </c>
      <c r="Y21" s="44">
        <f t="shared" si="17"/>
        <v>4.4830895936812522E-5</v>
      </c>
      <c r="Z21" s="44">
        <f t="shared" si="17"/>
        <v>4.1455739687105805E-5</v>
      </c>
      <c r="AA21" s="44">
        <f t="shared" si="17"/>
        <v>4.0441930063436234E-5</v>
      </c>
      <c r="AB21" s="44">
        <f t="shared" si="17"/>
        <v>3.8367038686756178E-5</v>
      </c>
      <c r="AC21" s="44">
        <f t="shared" si="17"/>
        <v>3.7268812922067636E-5</v>
      </c>
      <c r="AD21" s="44">
        <f t="shared" si="17"/>
        <v>3.4066880726760119E-5</v>
      </c>
      <c r="AE21" s="44">
        <f t="shared" si="17"/>
        <v>3.490993374534385E-5</v>
      </c>
      <c r="AF21" s="44">
        <f t="shared" si="17"/>
        <v>3.4681416923672414E-5</v>
      </c>
      <c r="AG21" s="44">
        <f t="shared" si="17"/>
        <v>3.4017137026185567E-5</v>
      </c>
      <c r="AH21" s="44">
        <f t="shared" ref="AH21:BI21" si="18">IFERROR(AH20/AH5,0)</f>
        <v>3.2059706280998231E-5</v>
      </c>
      <c r="AI21" s="44">
        <f t="shared" si="18"/>
        <v>3.3644902960712988E-5</v>
      </c>
      <c r="AJ21" s="44">
        <f t="shared" si="18"/>
        <v>3.4350090348660209E-5</v>
      </c>
      <c r="AK21" s="44">
        <f t="shared" si="18"/>
        <v>3.5304684313684222E-5</v>
      </c>
      <c r="AL21" s="44">
        <f t="shared" si="18"/>
        <v>3.2862834947698645E-5</v>
      </c>
      <c r="AM21" s="44">
        <f t="shared" si="18"/>
        <v>3.1379135084966744E-5</v>
      </c>
      <c r="AN21" s="44">
        <f t="shared" si="18"/>
        <v>3.2443928086309153E-5</v>
      </c>
      <c r="AO21" s="44">
        <f t="shared" si="18"/>
        <v>3.2426384525418686E-5</v>
      </c>
      <c r="AP21" s="44">
        <f t="shared" si="18"/>
        <v>3.2957310695068593E-5</v>
      </c>
      <c r="AQ21" s="44">
        <f t="shared" si="18"/>
        <v>3.3709383422188088E-5</v>
      </c>
      <c r="AR21" s="44">
        <f t="shared" si="18"/>
        <v>3.3501769732316246E-5</v>
      </c>
      <c r="AS21" s="44">
        <f t="shared" si="18"/>
        <v>3.3178579736744586E-5</v>
      </c>
      <c r="AT21" s="44">
        <f t="shared" si="18"/>
        <v>0</v>
      </c>
      <c r="AU21" s="4">
        <f t="shared" si="18"/>
        <v>0</v>
      </c>
      <c r="AV21" s="4">
        <f t="shared" si="18"/>
        <v>0</v>
      </c>
      <c r="AW21" s="4">
        <f t="shared" si="18"/>
        <v>0</v>
      </c>
      <c r="AX21" s="4">
        <f t="shared" si="18"/>
        <v>0</v>
      </c>
      <c r="AY21" s="4">
        <f t="shared" si="18"/>
        <v>0</v>
      </c>
      <c r="AZ21" s="4">
        <f t="shared" si="18"/>
        <v>0</v>
      </c>
      <c r="BA21" s="4">
        <f t="shared" si="18"/>
        <v>0</v>
      </c>
      <c r="BB21" s="4">
        <f t="shared" si="18"/>
        <v>0</v>
      </c>
      <c r="BC21" s="4">
        <f t="shared" si="18"/>
        <v>0</v>
      </c>
      <c r="BD21" s="4">
        <f t="shared" si="18"/>
        <v>0</v>
      </c>
      <c r="BE21" s="4">
        <f t="shared" si="18"/>
        <v>0</v>
      </c>
      <c r="BF21" s="4">
        <f t="shared" si="18"/>
        <v>0</v>
      </c>
      <c r="BG21" s="4">
        <f t="shared" si="18"/>
        <v>0</v>
      </c>
      <c r="BH21" s="4">
        <f t="shared" si="18"/>
        <v>0</v>
      </c>
      <c r="BI21" s="4">
        <f t="shared" si="18"/>
        <v>0</v>
      </c>
    </row>
    <row r="22" spans="1:61">
      <c r="A22" s="2" t="s">
        <v>31</v>
      </c>
      <c r="B22" s="44">
        <v>1182.5</v>
      </c>
      <c r="C22" s="44">
        <v>1228.4000000000001</v>
      </c>
      <c r="D22" s="44">
        <v>1208.2</v>
      </c>
      <c r="E22" s="44">
        <v>1229.8</v>
      </c>
      <c r="F22" s="44">
        <v>1236</v>
      </c>
      <c r="G22" s="44">
        <v>1295</v>
      </c>
      <c r="H22" s="44">
        <v>1316</v>
      </c>
      <c r="I22" s="44">
        <v>1294</v>
      </c>
      <c r="J22" s="44">
        <v>1218</v>
      </c>
      <c r="K22" s="44">
        <v>1315</v>
      </c>
      <c r="L22" s="44">
        <v>1339</v>
      </c>
      <c r="M22" s="44">
        <v>1415</v>
      </c>
      <c r="N22" s="44">
        <v>1442</v>
      </c>
      <c r="O22" s="44">
        <v>1468</v>
      </c>
      <c r="P22" s="44">
        <v>1506</v>
      </c>
      <c r="Q22" s="44">
        <v>1519</v>
      </c>
      <c r="R22" s="44">
        <v>1527.7</v>
      </c>
      <c r="S22" s="44">
        <v>1491.67</v>
      </c>
      <c r="T22" s="44">
        <v>1481</v>
      </c>
      <c r="U22" s="44">
        <v>1432</v>
      </c>
      <c r="V22" s="44">
        <v>1254</v>
      </c>
      <c r="W22" s="44">
        <v>1523</v>
      </c>
      <c r="X22" s="44">
        <v>1585</v>
      </c>
      <c r="Y22" s="44">
        <v>1717</v>
      </c>
      <c r="Z22" s="44">
        <v>1648</v>
      </c>
      <c r="AA22" s="44">
        <v>1753</v>
      </c>
      <c r="AB22" s="44">
        <v>1760</v>
      </c>
      <c r="AC22" s="44">
        <v>1769</v>
      </c>
      <c r="AD22" s="44">
        <v>1642</v>
      </c>
      <c r="AE22" s="44">
        <v>1753</v>
      </c>
      <c r="AF22" s="44">
        <v>1780</v>
      </c>
      <c r="AG22" s="44">
        <v>1871</v>
      </c>
      <c r="AH22" s="44">
        <v>1824</v>
      </c>
      <c r="AI22" s="44">
        <v>1851</v>
      </c>
      <c r="AJ22" s="44">
        <v>1907</v>
      </c>
      <c r="AK22" s="44">
        <v>2027</v>
      </c>
      <c r="AL22" s="44">
        <v>1945</v>
      </c>
      <c r="AM22" s="44">
        <v>1914</v>
      </c>
      <c r="AN22" s="44">
        <v>1963</v>
      </c>
      <c r="AO22" s="44">
        <v>1900</v>
      </c>
      <c r="AP22" s="44">
        <v>1987</v>
      </c>
      <c r="AQ22" s="44">
        <v>1952</v>
      </c>
      <c r="AR22" s="44">
        <v>1992</v>
      </c>
      <c r="AS22" s="44">
        <v>1979</v>
      </c>
      <c r="AT22" s="4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</row>
    <row r="23" spans="1:61">
      <c r="A23" s="2" t="s">
        <v>33</v>
      </c>
      <c r="B23" s="44">
        <f t="shared" ref="B23:AG23" si="19">IFERROR(B22/B20,0)</f>
        <v>4497.7789295137582</v>
      </c>
      <c r="C23" s="44">
        <f t="shared" si="19"/>
        <v>4538.0159630255093</v>
      </c>
      <c r="D23" s="44">
        <f t="shared" si="19"/>
        <v>4543.6562460310261</v>
      </c>
      <c r="E23" s="44">
        <f t="shared" si="19"/>
        <v>4720.2551642335766</v>
      </c>
      <c r="F23" s="44">
        <f t="shared" si="19"/>
        <v>4932.6916742909425</v>
      </c>
      <c r="G23" s="44">
        <f t="shared" si="19"/>
        <v>4977.4428822495611</v>
      </c>
      <c r="H23" s="44">
        <f t="shared" si="19"/>
        <v>5059.8527607361966</v>
      </c>
      <c r="I23" s="44">
        <f t="shared" si="19"/>
        <v>5026.952879581152</v>
      </c>
      <c r="J23" s="44">
        <f t="shared" si="19"/>
        <v>5211.405405405405</v>
      </c>
      <c r="K23" s="44">
        <f t="shared" si="19"/>
        <v>5245.6102693602697</v>
      </c>
      <c r="L23" s="44">
        <f t="shared" si="19"/>
        <v>5319.3302904564307</v>
      </c>
      <c r="M23" s="44">
        <f t="shared" si="19"/>
        <v>5570.3721298495648</v>
      </c>
      <c r="N23" s="44">
        <f t="shared" si="19"/>
        <v>5762.2958860759491</v>
      </c>
      <c r="O23" s="44">
        <f t="shared" si="19"/>
        <v>5535.5169920462758</v>
      </c>
      <c r="P23" s="44">
        <f t="shared" si="19"/>
        <v>5878.4386617100372</v>
      </c>
      <c r="Q23" s="44">
        <f t="shared" si="19"/>
        <v>6054.6846381093055</v>
      </c>
      <c r="R23" s="44">
        <f t="shared" si="19"/>
        <v>6325.5337057446968</v>
      </c>
      <c r="S23" s="44">
        <f t="shared" si="19"/>
        <v>6207.8370861526628</v>
      </c>
      <c r="T23" s="44">
        <f t="shared" si="19"/>
        <v>5917.6437768240339</v>
      </c>
      <c r="U23" s="44">
        <f t="shared" si="19"/>
        <v>5707.0336749633962</v>
      </c>
      <c r="V23" s="44">
        <f t="shared" si="19"/>
        <v>5313.2211055276384</v>
      </c>
      <c r="W23" s="44">
        <f t="shared" si="19"/>
        <v>5809.2489451476795</v>
      </c>
      <c r="X23" s="44">
        <f t="shared" si="19"/>
        <v>5957.5939353988133</v>
      </c>
      <c r="Y23" s="44">
        <f t="shared" si="19"/>
        <v>6394.9707711442788</v>
      </c>
      <c r="Z23" s="44">
        <f t="shared" si="19"/>
        <v>6459.7401273885353</v>
      </c>
      <c r="AA23" s="44">
        <f t="shared" si="19"/>
        <v>6844.4815043156605</v>
      </c>
      <c r="AB23" s="44">
        <f t="shared" si="19"/>
        <v>7031.3778322106555</v>
      </c>
      <c r="AC23" s="44">
        <f t="shared" si="19"/>
        <v>7088.7037701974859</v>
      </c>
      <c r="AD23" s="44">
        <f t="shared" si="19"/>
        <v>7109.0421455938695</v>
      </c>
      <c r="AE23" s="44">
        <f t="shared" si="19"/>
        <v>7301.8661417322837</v>
      </c>
      <c r="AF23" s="44">
        <f t="shared" si="19"/>
        <v>7254.3202764976959</v>
      </c>
      <c r="AG23" s="44">
        <f t="shared" si="19"/>
        <v>7644.4321408290743</v>
      </c>
      <c r="AH23" s="44">
        <f t="shared" ref="AH23:BI23" si="20">IFERROR(AH22/AH20,0)</f>
        <v>7873.4910394265235</v>
      </c>
      <c r="AI23" s="44">
        <f t="shared" si="20"/>
        <v>7630.4802744425388</v>
      </c>
      <c r="AJ23" s="44">
        <f t="shared" si="20"/>
        <v>7624.8583196046129</v>
      </c>
      <c r="AK23" s="44">
        <f t="shared" si="20"/>
        <v>7797.7016718913274</v>
      </c>
      <c r="AL23" s="44">
        <f t="shared" si="20"/>
        <v>7886.1291193949219</v>
      </c>
      <c r="AM23" s="44">
        <f t="shared" si="20"/>
        <v>7952.5352112676055</v>
      </c>
      <c r="AN23" s="44">
        <f t="shared" si="20"/>
        <v>8025.5189804772235</v>
      </c>
      <c r="AO23" s="44">
        <f t="shared" si="20"/>
        <v>7849.1975650249033</v>
      </c>
      <c r="AP23" s="44">
        <f t="shared" si="20"/>
        <v>8124.2573002754816</v>
      </c>
      <c r="AQ23" s="44">
        <f t="shared" si="20"/>
        <v>7756.0574773815852</v>
      </c>
      <c r="AR23" s="44">
        <f t="shared" si="20"/>
        <v>7918.4372683959773</v>
      </c>
      <c r="AS23" s="44">
        <f t="shared" si="20"/>
        <v>7826.6523092890511</v>
      </c>
      <c r="AT23" s="44">
        <f t="shared" si="20"/>
        <v>0</v>
      </c>
      <c r="AU23" s="4">
        <f t="shared" si="20"/>
        <v>0</v>
      </c>
      <c r="AV23" s="4">
        <f t="shared" si="20"/>
        <v>0</v>
      </c>
      <c r="AW23" s="4">
        <f t="shared" si="20"/>
        <v>0</v>
      </c>
      <c r="AX23" s="4">
        <f t="shared" si="20"/>
        <v>0</v>
      </c>
      <c r="AY23" s="4">
        <f t="shared" si="20"/>
        <v>0</v>
      </c>
      <c r="AZ23" s="4">
        <f t="shared" si="20"/>
        <v>0</v>
      </c>
      <c r="BA23" s="4">
        <f t="shared" si="20"/>
        <v>0</v>
      </c>
      <c r="BB23" s="4">
        <f t="shared" si="20"/>
        <v>0</v>
      </c>
      <c r="BC23" s="4">
        <f t="shared" si="20"/>
        <v>0</v>
      </c>
      <c r="BD23" s="4">
        <f t="shared" si="20"/>
        <v>0</v>
      </c>
      <c r="BE23" s="4">
        <f t="shared" si="20"/>
        <v>0</v>
      </c>
      <c r="BF23" s="4">
        <f t="shared" si="20"/>
        <v>0</v>
      </c>
      <c r="BG23" s="4">
        <f t="shared" si="20"/>
        <v>0</v>
      </c>
      <c r="BH23" s="4">
        <f t="shared" si="20"/>
        <v>0</v>
      </c>
      <c r="BI23" s="4">
        <f t="shared" si="20"/>
        <v>0</v>
      </c>
    </row>
    <row r="24" spans="1:61">
      <c r="A24" s="2" t="s">
        <v>37</v>
      </c>
      <c r="B24" s="44">
        <v>907.8</v>
      </c>
      <c r="C24" s="44">
        <v>932.2</v>
      </c>
      <c r="D24" s="44">
        <v>927.9</v>
      </c>
      <c r="E24" s="44">
        <v>938.5</v>
      </c>
      <c r="F24" s="44">
        <v>940</v>
      </c>
      <c r="G24" s="44">
        <v>986</v>
      </c>
      <c r="H24" s="44">
        <v>1006</v>
      </c>
      <c r="I24" s="44">
        <v>994</v>
      </c>
      <c r="J24" s="44">
        <v>924</v>
      </c>
      <c r="K24" s="44">
        <v>1003</v>
      </c>
      <c r="L24" s="44">
        <v>1014</v>
      </c>
      <c r="M24" s="44">
        <v>1073</v>
      </c>
      <c r="N24" s="44">
        <v>1085</v>
      </c>
      <c r="O24" s="44">
        <v>1123</v>
      </c>
      <c r="P24" s="44">
        <v>1142</v>
      </c>
      <c r="Q24" s="44">
        <v>1157</v>
      </c>
      <c r="R24" s="44">
        <v>1170.7</v>
      </c>
      <c r="S24" s="44">
        <v>1141.67</v>
      </c>
      <c r="T24" s="44">
        <v>1141</v>
      </c>
      <c r="U24" s="44">
        <v>1102</v>
      </c>
      <c r="V24" s="44">
        <v>930</v>
      </c>
      <c r="W24" s="44">
        <v>1145</v>
      </c>
      <c r="X24" s="44">
        <v>1183</v>
      </c>
      <c r="Y24" s="44">
        <v>1272</v>
      </c>
      <c r="Z24" s="44">
        <v>1224</v>
      </c>
      <c r="AA24" s="44">
        <v>1305</v>
      </c>
      <c r="AB24" s="44">
        <v>1308</v>
      </c>
      <c r="AC24" s="44">
        <v>1318</v>
      </c>
      <c r="AD24" s="44">
        <v>1223</v>
      </c>
      <c r="AE24" s="44">
        <v>1302</v>
      </c>
      <c r="AF24" s="44">
        <v>1323</v>
      </c>
      <c r="AG24" s="44">
        <v>1390</v>
      </c>
      <c r="AH24" s="44">
        <v>1353</v>
      </c>
      <c r="AI24" s="44">
        <v>1374</v>
      </c>
      <c r="AJ24" s="44">
        <v>1415</v>
      </c>
      <c r="AK24" s="44">
        <v>1504</v>
      </c>
      <c r="AL24" s="44">
        <v>1450</v>
      </c>
      <c r="AM24" s="44">
        <v>1427</v>
      </c>
      <c r="AN24" s="44">
        <v>1466</v>
      </c>
      <c r="AO24" s="44">
        <v>1425</v>
      </c>
      <c r="AP24" s="44">
        <v>1500</v>
      </c>
      <c r="AQ24" s="44">
        <v>1470</v>
      </c>
      <c r="AR24" s="44">
        <v>1510</v>
      </c>
      <c r="AS24" s="44">
        <v>1486</v>
      </c>
      <c r="AT24" s="44"/>
      <c r="AU24" s="4"/>
      <c r="AV24" s="4">
        <f t="shared" ref="AV24:BI24" si="21">AV20-AV22</f>
        <v>0</v>
      </c>
      <c r="AW24" s="4">
        <f t="shared" si="21"/>
        <v>0</v>
      </c>
      <c r="AX24" s="4">
        <f t="shared" si="21"/>
        <v>0</v>
      </c>
      <c r="AY24" s="4">
        <f t="shared" si="21"/>
        <v>0</v>
      </c>
      <c r="AZ24" s="4">
        <f t="shared" si="21"/>
        <v>0</v>
      </c>
      <c r="BA24" s="4">
        <f t="shared" si="21"/>
        <v>0</v>
      </c>
      <c r="BB24" s="4">
        <f t="shared" si="21"/>
        <v>0</v>
      </c>
      <c r="BC24" s="4">
        <f t="shared" si="21"/>
        <v>0</v>
      </c>
      <c r="BD24" s="4">
        <f t="shared" si="21"/>
        <v>0</v>
      </c>
      <c r="BE24" s="4">
        <f t="shared" si="21"/>
        <v>0</v>
      </c>
      <c r="BF24" s="4">
        <f t="shared" si="21"/>
        <v>0</v>
      </c>
      <c r="BG24" s="4">
        <f t="shared" si="21"/>
        <v>0</v>
      </c>
      <c r="BH24" s="4">
        <f t="shared" si="21"/>
        <v>0</v>
      </c>
      <c r="BI24" s="4">
        <f t="shared" si="21"/>
        <v>0</v>
      </c>
    </row>
    <row r="25" spans="1:61">
      <c r="A25" s="2" t="s">
        <v>253</v>
      </c>
      <c r="B25" s="44">
        <v>-10</v>
      </c>
      <c r="C25" s="44">
        <v>-5.8</v>
      </c>
      <c r="D25" s="44">
        <v>-2.4</v>
      </c>
      <c r="E25" s="44">
        <v>-0.8</v>
      </c>
      <c r="F25" s="44">
        <v>0</v>
      </c>
      <c r="G25" s="44">
        <v>-2</v>
      </c>
      <c r="H25" s="44">
        <v>-6</v>
      </c>
      <c r="I25" s="44">
        <v>-2</v>
      </c>
      <c r="J25" s="44">
        <v>-1</v>
      </c>
      <c r="K25" s="44">
        <v>-3</v>
      </c>
      <c r="L25" s="44">
        <v>-2</v>
      </c>
      <c r="M25" s="44">
        <v>-3</v>
      </c>
      <c r="N25" s="44">
        <v>-3</v>
      </c>
      <c r="O25" s="44">
        <v>-4</v>
      </c>
      <c r="P25" s="44">
        <v>-2</v>
      </c>
      <c r="Q25" s="44">
        <v>-3</v>
      </c>
      <c r="R25" s="44">
        <v>-3</v>
      </c>
      <c r="S25" s="44">
        <v>-3</v>
      </c>
      <c r="T25" s="44">
        <v>-3</v>
      </c>
      <c r="U25" s="44">
        <v>-6</v>
      </c>
      <c r="V25" s="44">
        <v>-5</v>
      </c>
      <c r="W25" s="44">
        <v>-4</v>
      </c>
      <c r="X25" s="44">
        <v>-3</v>
      </c>
      <c r="Y25" s="44">
        <v>-5</v>
      </c>
      <c r="Z25" s="44">
        <v>-3</v>
      </c>
      <c r="AA25" s="44">
        <v>-4</v>
      </c>
      <c r="AB25" s="44">
        <v>-5</v>
      </c>
      <c r="AC25" s="44">
        <v>-4</v>
      </c>
      <c r="AD25" s="44">
        <v>-5</v>
      </c>
      <c r="AE25" s="44">
        <v>-4</v>
      </c>
      <c r="AF25" s="44">
        <v>-5</v>
      </c>
      <c r="AG25" s="44">
        <v>-5</v>
      </c>
      <c r="AH25" s="44">
        <v>-6</v>
      </c>
      <c r="AI25" s="44">
        <v>-4</v>
      </c>
      <c r="AJ25" s="44">
        <v>-5</v>
      </c>
      <c r="AK25" s="44">
        <v>-8</v>
      </c>
      <c r="AL25" s="44">
        <v>-8</v>
      </c>
      <c r="AM25" s="44">
        <v>-6</v>
      </c>
      <c r="AN25" s="44">
        <v>-8</v>
      </c>
      <c r="AO25" s="44">
        <v>-7</v>
      </c>
      <c r="AP25" s="44">
        <v>-7</v>
      </c>
      <c r="AQ25" s="44">
        <v>-6</v>
      </c>
      <c r="AR25" s="44">
        <v>-7</v>
      </c>
      <c r="AS25" s="44">
        <v>-7</v>
      </c>
      <c r="AT25" s="4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</row>
    <row r="26" spans="1:61">
      <c r="A26" s="2" t="s">
        <v>254</v>
      </c>
      <c r="B26" s="44">
        <v>897.7</v>
      </c>
      <c r="C26" s="44">
        <v>926.5</v>
      </c>
      <c r="D26" s="44">
        <v>925.5</v>
      </c>
      <c r="E26" s="44">
        <v>937.7</v>
      </c>
      <c r="F26" s="44">
        <v>940</v>
      </c>
      <c r="G26" s="44">
        <v>984</v>
      </c>
      <c r="H26" s="44">
        <v>1000</v>
      </c>
      <c r="I26" s="44">
        <v>992</v>
      </c>
      <c r="J26" s="44">
        <v>923</v>
      </c>
      <c r="K26" s="44">
        <v>1000</v>
      </c>
      <c r="L26" s="44">
        <v>1012</v>
      </c>
      <c r="M26" s="44">
        <v>1070</v>
      </c>
      <c r="N26" s="44">
        <v>1082</v>
      </c>
      <c r="O26" s="44">
        <v>1119</v>
      </c>
      <c r="P26" s="44">
        <v>1140</v>
      </c>
      <c r="Q26" s="44">
        <v>1154</v>
      </c>
      <c r="R26" s="44">
        <v>1167.7</v>
      </c>
      <c r="S26" s="44">
        <v>1138.67</v>
      </c>
      <c r="T26" s="44">
        <v>1138</v>
      </c>
      <c r="U26" s="44">
        <v>1096</v>
      </c>
      <c r="V26" s="44">
        <v>925</v>
      </c>
      <c r="W26" s="44">
        <v>1141</v>
      </c>
      <c r="X26" s="44">
        <v>1180</v>
      </c>
      <c r="Y26" s="44">
        <v>1267</v>
      </c>
      <c r="Z26" s="44">
        <v>1221</v>
      </c>
      <c r="AA26" s="44">
        <v>1301</v>
      </c>
      <c r="AB26" s="44">
        <v>1303</v>
      </c>
      <c r="AC26" s="44">
        <v>1314</v>
      </c>
      <c r="AD26" s="44">
        <v>1218</v>
      </c>
      <c r="AE26" s="44">
        <v>1298</v>
      </c>
      <c r="AF26" s="44">
        <v>1318</v>
      </c>
      <c r="AG26" s="44">
        <v>1385</v>
      </c>
      <c r="AH26" s="44">
        <v>1347</v>
      </c>
      <c r="AI26" s="44">
        <v>1370</v>
      </c>
      <c r="AJ26" s="44">
        <v>1410</v>
      </c>
      <c r="AK26" s="44">
        <v>1496</v>
      </c>
      <c r="AL26" s="44">
        <v>1442</v>
      </c>
      <c r="AM26" s="44">
        <v>1421</v>
      </c>
      <c r="AN26" s="44">
        <v>1458</v>
      </c>
      <c r="AO26" s="44">
        <v>1418</v>
      </c>
      <c r="AP26" s="44">
        <v>1493</v>
      </c>
      <c r="AQ26" s="44">
        <v>1464</v>
      </c>
      <c r="AR26" s="44">
        <v>1503</v>
      </c>
      <c r="AS26" s="44">
        <v>1479</v>
      </c>
      <c r="AT26" s="44"/>
      <c r="AU26" s="4"/>
      <c r="AV26" s="4">
        <f t="shared" ref="AV26:BI26" si="22">AV24-AV25</f>
        <v>0</v>
      </c>
      <c r="AW26" s="4">
        <f t="shared" si="22"/>
        <v>0</v>
      </c>
      <c r="AX26" s="4">
        <f t="shared" si="22"/>
        <v>0</v>
      </c>
      <c r="AY26" s="4">
        <f t="shared" si="22"/>
        <v>0</v>
      </c>
      <c r="AZ26" s="4">
        <f t="shared" si="22"/>
        <v>0</v>
      </c>
      <c r="BA26" s="4">
        <f t="shared" si="22"/>
        <v>0</v>
      </c>
      <c r="BB26" s="4">
        <f t="shared" si="22"/>
        <v>0</v>
      </c>
      <c r="BC26" s="4">
        <f t="shared" si="22"/>
        <v>0</v>
      </c>
      <c r="BD26" s="4">
        <f t="shared" si="22"/>
        <v>0</v>
      </c>
      <c r="BE26" s="4">
        <f t="shared" si="22"/>
        <v>0</v>
      </c>
      <c r="BF26" s="4">
        <f t="shared" si="22"/>
        <v>0</v>
      </c>
      <c r="BG26" s="4">
        <f t="shared" si="22"/>
        <v>0</v>
      </c>
      <c r="BH26" s="4">
        <f t="shared" si="22"/>
        <v>0</v>
      </c>
      <c r="BI26" s="4">
        <f t="shared" si="22"/>
        <v>0</v>
      </c>
    </row>
    <row r="27" spans="1:61">
      <c r="A27" s="2" t="s">
        <v>35</v>
      </c>
      <c r="B27" s="44">
        <f t="shared" ref="B27:AG27" si="23">IFERROR(B26/B5,0)</f>
        <v>0.22240114953919335</v>
      </c>
      <c r="C27" s="44">
        <f t="shared" si="23"/>
        <v>0.22290924838802811</v>
      </c>
      <c r="D27" s="44">
        <f t="shared" si="23"/>
        <v>0.2232595165725865</v>
      </c>
      <c r="E27" s="44">
        <f t="shared" si="23"/>
        <v>0.22290631611476933</v>
      </c>
      <c r="F27" s="44">
        <f t="shared" si="23"/>
        <v>0.21549747822099954</v>
      </c>
      <c r="G27" s="44">
        <f t="shared" si="23"/>
        <v>0.22496570644718794</v>
      </c>
      <c r="H27" s="44">
        <f t="shared" si="23"/>
        <v>0.22794620469569182</v>
      </c>
      <c r="I27" s="44">
        <f t="shared" si="23"/>
        <v>0.22282120395327942</v>
      </c>
      <c r="J27" s="44">
        <f t="shared" si="23"/>
        <v>0.20104552385101285</v>
      </c>
      <c r="K27" s="44">
        <f t="shared" si="23"/>
        <v>0.21101498206372651</v>
      </c>
      <c r="L27" s="44">
        <f t="shared" si="23"/>
        <v>0.21140589095466888</v>
      </c>
      <c r="M27" s="44">
        <f t="shared" si="23"/>
        <v>0.21520514883346742</v>
      </c>
      <c r="N27" s="44">
        <f t="shared" si="23"/>
        <v>0.21421500692932094</v>
      </c>
      <c r="O27" s="44">
        <f t="shared" si="23"/>
        <v>0.21457334611697026</v>
      </c>
      <c r="P27" s="44">
        <f t="shared" si="23"/>
        <v>0.21714285714285714</v>
      </c>
      <c r="Q27" s="44">
        <f t="shared" si="23"/>
        <v>0.21382249397813599</v>
      </c>
      <c r="R27" s="44">
        <f t="shared" si="23"/>
        <v>0.21288969917958067</v>
      </c>
      <c r="S27" s="44">
        <f t="shared" si="23"/>
        <v>0.20639296719231467</v>
      </c>
      <c r="T27" s="44">
        <f t="shared" si="23"/>
        <v>0.20372359470103832</v>
      </c>
      <c r="U27" s="44">
        <f t="shared" si="23"/>
        <v>0.20132255694342396</v>
      </c>
      <c r="V27" s="44">
        <f t="shared" si="23"/>
        <v>0.18284245898398893</v>
      </c>
      <c r="W27" s="44">
        <f t="shared" si="23"/>
        <v>0.21036135693215338</v>
      </c>
      <c r="X27" s="44">
        <f t="shared" si="23"/>
        <v>0.20694493160294633</v>
      </c>
      <c r="Y27" s="44">
        <f t="shared" si="23"/>
        <v>0.21155451661379196</v>
      </c>
      <c r="Z27" s="44">
        <f t="shared" si="23"/>
        <v>0.19840753981150472</v>
      </c>
      <c r="AA27" s="44">
        <f t="shared" si="23"/>
        <v>0.20543186483499132</v>
      </c>
      <c r="AB27" s="44">
        <f t="shared" si="23"/>
        <v>0.19972409564684243</v>
      </c>
      <c r="AC27" s="44">
        <f t="shared" si="23"/>
        <v>0.19623655913978494</v>
      </c>
      <c r="AD27" s="44">
        <f t="shared" si="23"/>
        <v>0.17964601769911503</v>
      </c>
      <c r="AE27" s="44">
        <f t="shared" si="23"/>
        <v>0.18874509233677475</v>
      </c>
      <c r="AF27" s="44">
        <f t="shared" si="23"/>
        <v>0.18628975265017667</v>
      </c>
      <c r="AG27" s="44">
        <f t="shared" si="23"/>
        <v>0.19249478804725503</v>
      </c>
      <c r="AH27" s="44">
        <f t="shared" ref="AH27:BI27" si="24">IFERROR(AH26/AH5,0)</f>
        <v>0.1864101854414614</v>
      </c>
      <c r="AI27" s="44">
        <f t="shared" si="24"/>
        <v>0.19001386962552011</v>
      </c>
      <c r="AJ27" s="44">
        <f t="shared" si="24"/>
        <v>0.19365471775854964</v>
      </c>
      <c r="AK27" s="44">
        <f t="shared" si="24"/>
        <v>0.20317805242428358</v>
      </c>
      <c r="AL27" s="44">
        <f t="shared" si="24"/>
        <v>0.19213857428381079</v>
      </c>
      <c r="AM27" s="44">
        <f t="shared" si="24"/>
        <v>0.18526727509778357</v>
      </c>
      <c r="AN27" s="44">
        <f t="shared" si="24"/>
        <v>0.19339434938320732</v>
      </c>
      <c r="AO27" s="44">
        <f t="shared" si="24"/>
        <v>0.18995311453449432</v>
      </c>
      <c r="AP27" s="44">
        <f t="shared" si="24"/>
        <v>0.20118582401293625</v>
      </c>
      <c r="AQ27" s="44">
        <f t="shared" si="24"/>
        <v>0.19608893651218859</v>
      </c>
      <c r="AR27" s="44">
        <f t="shared" si="24"/>
        <v>0.20015980823012386</v>
      </c>
      <c r="AS27" s="44">
        <f t="shared" si="24"/>
        <v>0.19406901981367275</v>
      </c>
      <c r="AT27" s="44">
        <f t="shared" si="24"/>
        <v>0</v>
      </c>
      <c r="AU27" s="4">
        <f t="shared" si="24"/>
        <v>0</v>
      </c>
      <c r="AV27" s="4">
        <f t="shared" si="24"/>
        <v>0</v>
      </c>
      <c r="AW27" s="4">
        <f t="shared" si="24"/>
        <v>0</v>
      </c>
      <c r="AX27" s="4">
        <f t="shared" si="24"/>
        <v>0</v>
      </c>
      <c r="AY27" s="4">
        <f t="shared" si="24"/>
        <v>0</v>
      </c>
      <c r="AZ27" s="4">
        <f t="shared" si="24"/>
        <v>0</v>
      </c>
      <c r="BA27" s="4">
        <f t="shared" si="24"/>
        <v>0</v>
      </c>
      <c r="BB27" s="4">
        <f t="shared" si="24"/>
        <v>0</v>
      </c>
      <c r="BC27" s="4">
        <f t="shared" si="24"/>
        <v>0</v>
      </c>
      <c r="BD27" s="4">
        <f t="shared" si="24"/>
        <v>0</v>
      </c>
      <c r="BE27" s="4">
        <f t="shared" si="24"/>
        <v>0</v>
      </c>
      <c r="BF27" s="4">
        <f t="shared" si="24"/>
        <v>0</v>
      </c>
      <c r="BG27" s="4">
        <f t="shared" si="24"/>
        <v>0</v>
      </c>
      <c r="BH27" s="4">
        <f t="shared" si="24"/>
        <v>0</v>
      </c>
      <c r="BI27" s="4">
        <f t="shared" si="24"/>
        <v>0</v>
      </c>
    </row>
  </sheetData>
  <mergeCells count="1">
    <mergeCell ref="A1:B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29"/>
  <sheetViews>
    <sheetView showGridLines="0" workbookViewId="0">
      <selection sqref="A1:P1"/>
    </sheetView>
  </sheetViews>
  <sheetFormatPr defaultRowHeight="13.8"/>
  <cols>
    <col min="1" max="1" width="38" customWidth="1"/>
    <col min="2" max="16" width="12" customWidth="1"/>
  </cols>
  <sheetData>
    <row r="1" spans="1:18" ht="25.05" customHeight="1">
      <c r="A1" s="95" t="s">
        <v>255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57" t="s">
        <v>102</v>
      </c>
      <c r="B4" s="57" t="s">
        <v>2</v>
      </c>
      <c r="C4" s="57" t="s">
        <v>3</v>
      </c>
      <c r="D4" s="57" t="s">
        <v>4</v>
      </c>
      <c r="E4" s="57" t="s">
        <v>5</v>
      </c>
      <c r="F4" s="57" t="s">
        <v>6</v>
      </c>
      <c r="G4" s="57" t="s">
        <v>7</v>
      </c>
      <c r="H4" s="57" t="s">
        <v>8</v>
      </c>
      <c r="I4" s="57" t="s">
        <v>9</v>
      </c>
      <c r="J4" s="57" t="s">
        <v>10</v>
      </c>
      <c r="K4" s="57" t="s">
        <v>11</v>
      </c>
      <c r="L4" s="57" t="s">
        <v>12</v>
      </c>
      <c r="M4" s="57" t="s">
        <v>13</v>
      </c>
      <c r="N4" s="57" t="s">
        <v>14</v>
      </c>
      <c r="O4" s="57" t="s">
        <v>15</v>
      </c>
      <c r="P4" s="57" t="s">
        <v>16</v>
      </c>
      <c r="Q4" s="2"/>
      <c r="R4" s="2"/>
    </row>
    <row r="5" spans="1:18">
      <c r="A5" s="2" t="s">
        <v>256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8"/>
      <c r="N5" s="48"/>
      <c r="O5" s="48"/>
      <c r="P5" s="48"/>
      <c r="Q5" s="2"/>
      <c r="R5" s="2"/>
    </row>
    <row r="6" spans="1:18" s="40" customFormat="1">
      <c r="A6" s="89" t="s">
        <v>257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8"/>
      <c r="N6" s="48"/>
      <c r="O6" s="48"/>
      <c r="P6" s="48"/>
      <c r="Q6" s="2"/>
      <c r="R6" s="2"/>
    </row>
    <row r="7" spans="1:18">
      <c r="A7" s="2" t="s">
        <v>258</v>
      </c>
      <c r="B7" s="44">
        <v>16544.900000000001</v>
      </c>
      <c r="C7" s="44">
        <v>17576</v>
      </c>
      <c r="D7" s="44">
        <v>19089</v>
      </c>
      <c r="E7" s="44">
        <v>20913</v>
      </c>
      <c r="F7" s="44">
        <v>22031</v>
      </c>
      <c r="G7" s="44">
        <v>22174</v>
      </c>
      <c r="H7" s="44">
        <v>25707</v>
      </c>
      <c r="I7" s="44">
        <v>27927</v>
      </c>
      <c r="J7" s="44">
        <v>29080</v>
      </c>
      <c r="K7" s="44">
        <v>30179</v>
      </c>
      <c r="L7" s="44">
        <v>30017</v>
      </c>
      <c r="M7" s="48">
        <v>30925.817943040001</v>
      </c>
      <c r="N7" s="48">
        <v>32162.850660761604</v>
      </c>
      <c r="O7" s="48">
        <v>33770.993193799688</v>
      </c>
      <c r="P7" s="48">
        <v>35459.542853489671</v>
      </c>
      <c r="Q7" s="2"/>
      <c r="R7" s="2"/>
    </row>
    <row r="8" spans="1:18">
      <c r="A8" s="2" t="s">
        <v>259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8">
        <v>0</v>
      </c>
      <c r="N8" s="48">
        <v>0</v>
      </c>
      <c r="O8" s="48">
        <v>0</v>
      </c>
      <c r="P8" s="48">
        <v>0</v>
      </c>
      <c r="Q8" s="2"/>
      <c r="R8" s="2"/>
    </row>
    <row r="9" spans="1:18" s="40" customFormat="1">
      <c r="A9" s="89" t="s">
        <v>18</v>
      </c>
      <c r="B9" s="44">
        <v>16544.900000000001</v>
      </c>
      <c r="C9" s="44">
        <v>17576</v>
      </c>
      <c r="D9" s="44">
        <v>19089</v>
      </c>
      <c r="E9" s="44">
        <v>20913</v>
      </c>
      <c r="F9" s="44">
        <v>22031</v>
      </c>
      <c r="G9" s="44">
        <v>22174</v>
      </c>
      <c r="H9" s="44">
        <v>25707</v>
      </c>
      <c r="I9" s="44">
        <v>27927</v>
      </c>
      <c r="J9" s="44">
        <v>29080</v>
      </c>
      <c r="K9" s="44">
        <v>30179</v>
      </c>
      <c r="L9" s="44">
        <v>30017</v>
      </c>
      <c r="M9" s="48">
        <v>30925.817943040001</v>
      </c>
      <c r="N9" s="48">
        <v>32162.850660761604</v>
      </c>
      <c r="O9" s="48">
        <v>33770.993193799688</v>
      </c>
      <c r="P9" s="48">
        <v>35459.542853489671</v>
      </c>
      <c r="Q9" s="2"/>
      <c r="R9" s="2"/>
    </row>
    <row r="10" spans="1:18">
      <c r="A10" s="2" t="s">
        <v>260</v>
      </c>
      <c r="B10" s="44">
        <v>6379.1</v>
      </c>
      <c r="C10" s="44">
        <v>6884</v>
      </c>
      <c r="D10" s="44">
        <v>7807</v>
      </c>
      <c r="E10" s="44">
        <v>8647</v>
      </c>
      <c r="F10" s="44">
        <v>9216</v>
      </c>
      <c r="G10" s="44">
        <v>9714</v>
      </c>
      <c r="H10" s="44">
        <v>11280</v>
      </c>
      <c r="I10" s="44">
        <v>12284</v>
      </c>
      <c r="J10" s="44">
        <v>13188</v>
      </c>
      <c r="K10" s="44">
        <v>13668</v>
      </c>
      <c r="L10" s="44">
        <v>13817</v>
      </c>
      <c r="M10" s="48">
        <v>14231.204159657569</v>
      </c>
      <c r="N10" s="48">
        <v>14786.51873941968</v>
      </c>
      <c r="O10" s="48">
        <v>15517.370031277251</v>
      </c>
      <c r="P10" s="48">
        <v>16284.376536209869</v>
      </c>
      <c r="Q10" s="2"/>
      <c r="R10" s="2"/>
    </row>
    <row r="11" spans="1:18">
      <c r="A11" s="2" t="s">
        <v>261</v>
      </c>
      <c r="B11" s="44">
        <v>1190.4000000000001</v>
      </c>
      <c r="C11" s="44">
        <v>1243</v>
      </c>
      <c r="D11" s="44">
        <v>1307</v>
      </c>
      <c r="E11" s="44">
        <v>1525</v>
      </c>
      <c r="F11" s="44">
        <v>1755</v>
      </c>
      <c r="G11" s="44">
        <v>1709</v>
      </c>
      <c r="H11" s="44">
        <v>2251</v>
      </c>
      <c r="I11" s="44">
        <v>2559</v>
      </c>
      <c r="J11" s="44">
        <v>1810</v>
      </c>
      <c r="K11" s="44">
        <v>1305</v>
      </c>
      <c r="L11" s="44">
        <v>1566</v>
      </c>
      <c r="M11" s="48">
        <v>1612.9453364712856</v>
      </c>
      <c r="N11" s="48">
        <v>1675.8839361606151</v>
      </c>
      <c r="O11" s="48">
        <v>1758.7176282101886</v>
      </c>
      <c r="P11" s="48">
        <v>1845.6491029676956</v>
      </c>
      <c r="Q11" s="2"/>
      <c r="R11" s="2"/>
    </row>
    <row r="12" spans="1:18">
      <c r="A12" s="2" t="s">
        <v>262</v>
      </c>
      <c r="B12" s="44">
        <v>391.3</v>
      </c>
      <c r="C12" s="44">
        <v>418</v>
      </c>
      <c r="D12" s="44">
        <v>419</v>
      </c>
      <c r="E12" s="44">
        <v>325</v>
      </c>
      <c r="F12" s="44">
        <v>267</v>
      </c>
      <c r="G12" s="44">
        <v>198</v>
      </c>
      <c r="H12" s="44">
        <v>155</v>
      </c>
      <c r="I12" s="44">
        <v>231</v>
      </c>
      <c r="J12" s="44">
        <v>446</v>
      </c>
      <c r="K12" s="44">
        <v>1376</v>
      </c>
      <c r="L12" s="44">
        <v>491</v>
      </c>
      <c r="M12" s="48">
        <v>505.71913167777853</v>
      </c>
      <c r="N12" s="48">
        <v>525.45275393030784</v>
      </c>
      <c r="O12" s="48">
        <v>551.42423719744738</v>
      </c>
      <c r="P12" s="48">
        <v>578.68052972997361</v>
      </c>
      <c r="Q12" s="2"/>
      <c r="R12" s="2"/>
    </row>
    <row r="13" spans="1:18">
      <c r="A13" s="2" t="s">
        <v>263</v>
      </c>
      <c r="B13" s="44">
        <v>205.7</v>
      </c>
      <c r="C13" s="44">
        <v>217</v>
      </c>
      <c r="D13" s="44">
        <v>244</v>
      </c>
      <c r="E13" s="44">
        <v>236</v>
      </c>
      <c r="F13" s="44">
        <v>377</v>
      </c>
      <c r="G13" s="44">
        <v>417</v>
      </c>
      <c r="H13" s="44">
        <v>478</v>
      </c>
      <c r="I13" s="44">
        <v>474</v>
      </c>
      <c r="J13" s="44">
        <v>461</v>
      </c>
      <c r="K13" s="44">
        <v>483</v>
      </c>
      <c r="L13" s="44">
        <v>489</v>
      </c>
      <c r="M13" s="48">
        <v>503.65917594793018</v>
      </c>
      <c r="N13" s="48">
        <v>523.31241684708857</v>
      </c>
      <c r="O13" s="48">
        <v>549.17810995835396</v>
      </c>
      <c r="P13" s="48">
        <v>576.32337889604298</v>
      </c>
      <c r="Q13" s="2"/>
      <c r="R13" s="2"/>
    </row>
    <row r="14" spans="1:18">
      <c r="A14" s="2" t="s">
        <v>264</v>
      </c>
      <c r="B14" s="44">
        <v>243.4</v>
      </c>
      <c r="C14" s="44">
        <v>268</v>
      </c>
      <c r="D14" s="44">
        <v>291</v>
      </c>
      <c r="E14" s="44">
        <v>333</v>
      </c>
      <c r="F14" s="44">
        <v>321.55</v>
      </c>
      <c r="G14" s="44">
        <v>119</v>
      </c>
      <c r="H14" s="44">
        <v>174</v>
      </c>
      <c r="I14" s="44">
        <v>225</v>
      </c>
      <c r="J14" s="44">
        <v>249</v>
      </c>
      <c r="K14" s="44">
        <v>276</v>
      </c>
      <c r="L14" s="44">
        <v>261</v>
      </c>
      <c r="M14" s="48">
        <v>268.82422274521423</v>
      </c>
      <c r="N14" s="48">
        <v>279.31398936010254</v>
      </c>
      <c r="O14" s="48">
        <v>293.11960470169811</v>
      </c>
      <c r="P14" s="48">
        <v>307.60818382794929</v>
      </c>
      <c r="Q14" s="2"/>
      <c r="R14" s="2"/>
    </row>
    <row r="15" spans="1:18" s="41" customFormat="1">
      <c r="A15" s="90" t="s">
        <v>265</v>
      </c>
      <c r="B15" s="44">
        <v>124.6</v>
      </c>
      <c r="C15" s="44">
        <v>115</v>
      </c>
      <c r="D15" s="44">
        <v>123</v>
      </c>
      <c r="E15" s="44">
        <v>140</v>
      </c>
      <c r="F15" s="44">
        <v>172.82999999999998</v>
      </c>
      <c r="G15" s="44">
        <v>194</v>
      </c>
      <c r="H15" s="44">
        <v>206</v>
      </c>
      <c r="I15" s="44">
        <v>186</v>
      </c>
      <c r="J15" s="44">
        <v>178</v>
      </c>
      <c r="K15" s="44">
        <v>190</v>
      </c>
      <c r="L15" s="44">
        <v>210</v>
      </c>
      <c r="M15" s="48">
        <v>216.29535163408045</v>
      </c>
      <c r="N15" s="48">
        <v>224.73539373801353</v>
      </c>
      <c r="O15" s="48">
        <v>235.84336010481456</v>
      </c>
      <c r="P15" s="48">
        <v>247.50083756271781</v>
      </c>
      <c r="Q15" s="2"/>
      <c r="R15" s="2"/>
    </row>
    <row r="16" spans="1:18">
      <c r="A16" s="2" t="s">
        <v>266</v>
      </c>
      <c r="B16" s="44">
        <v>329.9</v>
      </c>
      <c r="C16" s="44">
        <v>343</v>
      </c>
      <c r="D16" s="44">
        <v>410</v>
      </c>
      <c r="E16" s="44">
        <v>426</v>
      </c>
      <c r="F16" s="44">
        <v>253.28</v>
      </c>
      <c r="G16" s="44">
        <v>189</v>
      </c>
      <c r="H16" s="44">
        <v>182</v>
      </c>
      <c r="I16" s="44">
        <v>205</v>
      </c>
      <c r="J16" s="44">
        <v>233</v>
      </c>
      <c r="K16" s="44">
        <v>255</v>
      </c>
      <c r="L16" s="44">
        <v>261</v>
      </c>
      <c r="M16" s="48">
        <v>268.82422274521423</v>
      </c>
      <c r="N16" s="48">
        <v>279.31398936010254</v>
      </c>
      <c r="O16" s="48">
        <v>293.11960470169811</v>
      </c>
      <c r="P16" s="48">
        <v>307.60818382794929</v>
      </c>
      <c r="Q16" s="2"/>
      <c r="R16" s="2"/>
    </row>
    <row r="17" spans="1:18">
      <c r="A17" s="2" t="s">
        <v>267</v>
      </c>
      <c r="B17" s="44">
        <v>409.5</v>
      </c>
      <c r="C17" s="44">
        <v>477</v>
      </c>
      <c r="D17" s="44">
        <v>453</v>
      </c>
      <c r="E17" s="44">
        <v>528</v>
      </c>
      <c r="F17" s="44">
        <v>599</v>
      </c>
      <c r="G17" s="44">
        <v>578</v>
      </c>
      <c r="H17" s="44">
        <v>640</v>
      </c>
      <c r="I17" s="44">
        <v>720</v>
      </c>
      <c r="J17" s="44">
        <v>770</v>
      </c>
      <c r="K17" s="44">
        <v>885</v>
      </c>
      <c r="L17" s="44">
        <v>895</v>
      </c>
      <c r="M17" s="48">
        <v>921.83018910715236</v>
      </c>
      <c r="N17" s="48">
        <v>957.8008447405814</v>
      </c>
      <c r="O17" s="48">
        <v>1005.1419394943288</v>
      </c>
      <c r="P17" s="48">
        <v>1054.824998183964</v>
      </c>
      <c r="Q17" s="2"/>
      <c r="R17" s="2"/>
    </row>
    <row r="18" spans="1:18">
      <c r="A18" s="2" t="s">
        <v>241</v>
      </c>
      <c r="B18" s="44">
        <v>9273.9</v>
      </c>
      <c r="C18" s="44">
        <v>9965</v>
      </c>
      <c r="D18" s="44">
        <v>11054</v>
      </c>
      <c r="E18" s="44">
        <v>12160</v>
      </c>
      <c r="F18" s="44">
        <v>12961.66</v>
      </c>
      <c r="G18" s="44">
        <v>13118</v>
      </c>
      <c r="H18" s="44">
        <v>15366</v>
      </c>
      <c r="I18" s="44">
        <v>16884</v>
      </c>
      <c r="J18" s="44">
        <v>17335</v>
      </c>
      <c r="K18" s="44">
        <v>18438</v>
      </c>
      <c r="L18" s="44">
        <v>17990</v>
      </c>
      <c r="M18" s="48">
        <v>18529.301789986224</v>
      </c>
      <c r="N18" s="48">
        <v>19252.332063556492</v>
      </c>
      <c r="O18" s="48">
        <v>20203.914515645782</v>
      </c>
      <c r="P18" s="48">
        <v>21202.57175120616</v>
      </c>
      <c r="Q18" s="2"/>
      <c r="R18" s="2"/>
    </row>
    <row r="19" spans="1:18">
      <c r="A19" s="2" t="s">
        <v>22</v>
      </c>
      <c r="B19" s="44">
        <v>7271</v>
      </c>
      <c r="C19" s="44">
        <v>7611</v>
      </c>
      <c r="D19" s="44">
        <v>8035</v>
      </c>
      <c r="E19" s="44">
        <v>8753</v>
      </c>
      <c r="F19" s="44">
        <v>9069.34</v>
      </c>
      <c r="G19" s="44">
        <v>9056</v>
      </c>
      <c r="H19" s="44">
        <v>10341</v>
      </c>
      <c r="I19" s="44">
        <v>11043</v>
      </c>
      <c r="J19" s="44">
        <v>11745</v>
      </c>
      <c r="K19" s="44">
        <v>11741</v>
      </c>
      <c r="L19" s="44">
        <v>12027</v>
      </c>
      <c r="M19" s="48">
        <v>12396.516153053777</v>
      </c>
      <c r="N19" s="48">
        <v>12910.518597205111</v>
      </c>
      <c r="O19" s="48">
        <v>13567.078678153906</v>
      </c>
      <c r="P19" s="48">
        <v>14256.971102283511</v>
      </c>
      <c r="Q19" s="2"/>
      <c r="R19" s="2"/>
    </row>
    <row r="20" spans="1:18">
      <c r="A20" s="2" t="s">
        <v>242</v>
      </c>
      <c r="B20" s="44">
        <v>2050.9</v>
      </c>
      <c r="C20" s="44">
        <v>2297</v>
      </c>
      <c r="D20" s="44">
        <v>2488</v>
      </c>
      <c r="E20" s="44">
        <v>2526</v>
      </c>
      <c r="F20" s="44">
        <v>2849</v>
      </c>
      <c r="G20" s="44">
        <v>2682</v>
      </c>
      <c r="H20" s="44">
        <v>3140</v>
      </c>
      <c r="I20" s="44">
        <v>3515</v>
      </c>
      <c r="J20" s="44">
        <v>3729</v>
      </c>
      <c r="K20" s="44">
        <v>3565</v>
      </c>
      <c r="L20" s="44">
        <v>3615</v>
      </c>
      <c r="M20" s="48">
        <v>3417.0877797892281</v>
      </c>
      <c r="N20" s="48">
        <v>3471.3984416397252</v>
      </c>
      <c r="O20" s="48">
        <v>3644.9683637217117</v>
      </c>
      <c r="P20" s="48">
        <v>3827.2167819077972</v>
      </c>
      <c r="Q20" s="2"/>
      <c r="R20" s="2"/>
    </row>
    <row r="21" spans="1:18">
      <c r="A21" s="2" t="s">
        <v>268</v>
      </c>
      <c r="B21" s="44">
        <v>89.5</v>
      </c>
      <c r="C21" s="44">
        <v>76</v>
      </c>
      <c r="D21" s="44">
        <v>87</v>
      </c>
      <c r="E21" s="44">
        <v>92</v>
      </c>
      <c r="F21" s="44">
        <v>62</v>
      </c>
      <c r="G21" s="44">
        <v>77</v>
      </c>
      <c r="H21" s="44">
        <v>83</v>
      </c>
      <c r="I21" s="44">
        <v>86</v>
      </c>
      <c r="J21" s="44">
        <v>101</v>
      </c>
      <c r="K21" s="44">
        <v>77</v>
      </c>
      <c r="L21" s="44">
        <v>84</v>
      </c>
      <c r="M21" s="48">
        <v>79.401209820828541</v>
      </c>
      <c r="N21" s="48">
        <v>80.663200303661668</v>
      </c>
      <c r="O21" s="48">
        <v>84.696360318844768</v>
      </c>
      <c r="P21" s="48">
        <v>88.931178334786992</v>
      </c>
      <c r="Q21" s="2"/>
      <c r="R21" s="2"/>
    </row>
    <row r="22" spans="1:18">
      <c r="A22" s="2" t="s">
        <v>244</v>
      </c>
      <c r="B22" s="44">
        <v>20.6</v>
      </c>
      <c r="C22" s="44">
        <v>19</v>
      </c>
      <c r="D22" s="44">
        <v>32</v>
      </c>
      <c r="E22" s="44">
        <v>27</v>
      </c>
      <c r="F22" s="44">
        <v>19.350000000000001</v>
      </c>
      <c r="G22" s="44">
        <v>27</v>
      </c>
      <c r="H22" s="44">
        <v>18</v>
      </c>
      <c r="I22" s="44">
        <v>17</v>
      </c>
      <c r="J22" s="44">
        <v>14</v>
      </c>
      <c r="K22" s="44">
        <v>15</v>
      </c>
      <c r="L22" s="44">
        <v>21</v>
      </c>
      <c r="M22" s="48">
        <v>19.850302455207135</v>
      </c>
      <c r="N22" s="48">
        <v>20.165800075915417</v>
      </c>
      <c r="O22" s="48">
        <v>21.174090079711192</v>
      </c>
      <c r="P22" s="48">
        <v>22.232794583696748</v>
      </c>
      <c r="Q22" s="2"/>
      <c r="R22" s="2"/>
    </row>
    <row r="23" spans="1:18">
      <c r="A23" s="2" t="s">
        <v>269</v>
      </c>
      <c r="B23" s="44">
        <v>81.8</v>
      </c>
      <c r="C23" s="44">
        <v>79</v>
      </c>
      <c r="D23" s="44">
        <v>68</v>
      </c>
      <c r="E23" s="44">
        <v>58</v>
      </c>
      <c r="F23" s="44">
        <v>118.95</v>
      </c>
      <c r="G23" s="44">
        <v>133</v>
      </c>
      <c r="H23" s="44">
        <v>139</v>
      </c>
      <c r="I23" s="44">
        <v>149</v>
      </c>
      <c r="J23" s="44">
        <v>141</v>
      </c>
      <c r="K23" s="44">
        <v>136</v>
      </c>
      <c r="L23" s="44">
        <v>137</v>
      </c>
      <c r="M23" s="48">
        <v>129.49959220777987</v>
      </c>
      <c r="N23" s="48">
        <v>131.55783859049581</v>
      </c>
      <c r="O23" s="48">
        <v>138.13573052002062</v>
      </c>
      <c r="P23" s="48">
        <v>145.04251704602163</v>
      </c>
      <c r="Q23" s="2"/>
      <c r="R23" s="2"/>
    </row>
    <row r="24" spans="1:18">
      <c r="A24" s="2" t="s">
        <v>270</v>
      </c>
      <c r="B24" s="44">
        <v>188.9</v>
      </c>
      <c r="C24" s="44">
        <v>207</v>
      </c>
      <c r="D24" s="44">
        <v>200</v>
      </c>
      <c r="E24" s="44">
        <v>183</v>
      </c>
      <c r="F24" s="44">
        <v>126.83</v>
      </c>
      <c r="G24" s="44">
        <v>98</v>
      </c>
      <c r="H24" s="44">
        <v>105</v>
      </c>
      <c r="I24" s="44">
        <v>124</v>
      </c>
      <c r="J24" s="44">
        <v>142</v>
      </c>
      <c r="K24" s="44">
        <v>153</v>
      </c>
      <c r="L24" s="44">
        <v>154</v>
      </c>
      <c r="M24" s="48">
        <v>145.56888467151899</v>
      </c>
      <c r="N24" s="48">
        <v>147.88253389004637</v>
      </c>
      <c r="O24" s="48">
        <v>155.27666058454872</v>
      </c>
      <c r="P24" s="48">
        <v>163.04049361377614</v>
      </c>
      <c r="Q24" s="2"/>
      <c r="R24" s="2"/>
    </row>
    <row r="25" spans="1:18">
      <c r="A25" s="2" t="s">
        <v>247</v>
      </c>
      <c r="B25" s="44">
        <v>161.80000000000001</v>
      </c>
      <c r="C25" s="44">
        <v>147</v>
      </c>
      <c r="D25" s="44">
        <v>146</v>
      </c>
      <c r="E25" s="44">
        <v>162</v>
      </c>
      <c r="F25" s="44">
        <v>142.31</v>
      </c>
      <c r="G25" s="44">
        <v>27</v>
      </c>
      <c r="H25" s="44">
        <v>39</v>
      </c>
      <c r="I25" s="44">
        <v>106</v>
      </c>
      <c r="J25" s="44">
        <v>110</v>
      </c>
      <c r="K25" s="44">
        <v>104</v>
      </c>
      <c r="L25" s="44">
        <v>111</v>
      </c>
      <c r="M25" s="48">
        <v>104.92302726323771</v>
      </c>
      <c r="N25" s="48">
        <v>106.59065754412433</v>
      </c>
      <c r="O25" s="48">
        <v>111.92019042133057</v>
      </c>
      <c r="P25" s="48">
        <v>117.51619994239709</v>
      </c>
      <c r="Q25" s="2"/>
      <c r="R25" s="2"/>
    </row>
    <row r="26" spans="1:18">
      <c r="A26" s="2" t="s">
        <v>248</v>
      </c>
      <c r="B26" s="44">
        <v>44.2</v>
      </c>
      <c r="C26" s="44">
        <v>43</v>
      </c>
      <c r="D26" s="44">
        <v>42</v>
      </c>
      <c r="E26" s="44">
        <v>48</v>
      </c>
      <c r="F26" s="44">
        <v>50.46</v>
      </c>
      <c r="G26" s="44">
        <v>62</v>
      </c>
      <c r="H26" s="44">
        <v>69</v>
      </c>
      <c r="I26" s="44">
        <v>92</v>
      </c>
      <c r="J26" s="44">
        <v>95</v>
      </c>
      <c r="K26" s="44">
        <v>90</v>
      </c>
      <c r="L26" s="44">
        <v>97</v>
      </c>
      <c r="M26" s="48">
        <v>91.689492293099619</v>
      </c>
      <c r="N26" s="48">
        <v>93.146790826847393</v>
      </c>
      <c r="O26" s="48">
        <v>97.804130368189774</v>
      </c>
      <c r="P26" s="48">
        <v>102.69433688659926</v>
      </c>
      <c r="Q26" s="2"/>
      <c r="R26" s="2"/>
    </row>
    <row r="27" spans="1:18">
      <c r="A27" s="2" t="s">
        <v>271</v>
      </c>
      <c r="B27" s="44">
        <v>248.70000000000002</v>
      </c>
      <c r="C27" s="44">
        <v>225</v>
      </c>
      <c r="D27" s="44">
        <v>242</v>
      </c>
      <c r="E27" s="44">
        <v>310</v>
      </c>
      <c r="F27" s="44">
        <v>286.5</v>
      </c>
      <c r="G27" s="44">
        <v>209</v>
      </c>
      <c r="H27" s="44">
        <v>252</v>
      </c>
      <c r="I27" s="44">
        <v>240</v>
      </c>
      <c r="J27" s="44">
        <v>255</v>
      </c>
      <c r="K27" s="44">
        <v>253</v>
      </c>
      <c r="L27" s="44">
        <v>298</v>
      </c>
      <c r="M27" s="48">
        <v>281.68524436436792</v>
      </c>
      <c r="N27" s="48">
        <v>286.16230583918065</v>
      </c>
      <c r="O27" s="48">
        <v>300.47042113113974</v>
      </c>
      <c r="P27" s="48">
        <v>315.49394218769669</v>
      </c>
      <c r="Q27" s="2"/>
      <c r="R27" s="2"/>
    </row>
    <row r="28" spans="1:18">
      <c r="A28" s="2" t="s">
        <v>272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165</v>
      </c>
      <c r="H28" s="44">
        <v>0</v>
      </c>
      <c r="I28" s="44">
        <v>0</v>
      </c>
      <c r="J28" s="44">
        <v>115</v>
      </c>
      <c r="K28" s="44">
        <v>0</v>
      </c>
      <c r="L28" s="44">
        <v>507</v>
      </c>
      <c r="M28" s="48">
        <v>0</v>
      </c>
      <c r="N28" s="48">
        <v>0</v>
      </c>
      <c r="O28" s="48">
        <v>0</v>
      </c>
      <c r="P28" s="48">
        <v>0</v>
      </c>
      <c r="Q28" s="2"/>
      <c r="R28" s="26"/>
    </row>
    <row r="29" spans="1:18">
      <c r="A29" s="2" t="s">
        <v>250</v>
      </c>
      <c r="B29" s="44">
        <v>2886.3999999999996</v>
      </c>
      <c r="C29" s="44">
        <v>3093</v>
      </c>
      <c r="D29" s="44">
        <v>3305</v>
      </c>
      <c r="E29" s="44">
        <v>3406</v>
      </c>
      <c r="F29" s="44">
        <v>3655.34</v>
      </c>
      <c r="G29" s="44">
        <v>3480</v>
      </c>
      <c r="H29" s="44">
        <v>3845</v>
      </c>
      <c r="I29" s="44">
        <v>4329</v>
      </c>
      <c r="J29" s="44">
        <v>4702</v>
      </c>
      <c r="K29" s="44">
        <v>4393</v>
      </c>
      <c r="L29" s="44">
        <v>5024</v>
      </c>
      <c r="M29" s="48">
        <v>4748.9485492838403</v>
      </c>
      <c r="N29" s="48">
        <v>4824.4275991142404</v>
      </c>
      <c r="O29" s="48">
        <v>5065.6489790699534</v>
      </c>
      <c r="P29" s="48">
        <v>5318.9314280234503</v>
      </c>
      <c r="Q29" s="2"/>
      <c r="R29" s="26"/>
    </row>
    <row r="30" spans="1:18">
      <c r="A30" s="38" t="s">
        <v>251</v>
      </c>
      <c r="B30" s="62">
        <v>4384.6000000000004</v>
      </c>
      <c r="C30" s="62">
        <v>4518</v>
      </c>
      <c r="D30" s="62">
        <v>4730</v>
      </c>
      <c r="E30" s="62">
        <v>5347</v>
      </c>
      <c r="F30" s="62">
        <v>5414</v>
      </c>
      <c r="G30" s="62">
        <v>5576</v>
      </c>
      <c r="H30" s="62">
        <v>6496</v>
      </c>
      <c r="I30" s="62">
        <v>6714</v>
      </c>
      <c r="J30" s="62">
        <v>7043</v>
      </c>
      <c r="K30" s="62">
        <v>7348</v>
      </c>
      <c r="L30" s="62">
        <v>7003</v>
      </c>
      <c r="M30" s="68">
        <v>7647.5676037699368</v>
      </c>
      <c r="N30" s="68">
        <v>8086.0909980908709</v>
      </c>
      <c r="O30" s="68">
        <v>8501.4296990839539</v>
      </c>
      <c r="P30" s="68">
        <v>8938.0396742600606</v>
      </c>
      <c r="Q30" s="2"/>
      <c r="R30" s="2"/>
    </row>
    <row r="31" spans="1:18">
      <c r="A31" s="18" t="s">
        <v>82</v>
      </c>
      <c r="B31" s="23">
        <v>0.26501217897962515</v>
      </c>
      <c r="C31" s="23">
        <v>0.25705507510241238</v>
      </c>
      <c r="D31" s="23">
        <v>0.24778668343024779</v>
      </c>
      <c r="E31" s="23">
        <v>0.2556782862334433</v>
      </c>
      <c r="F31" s="23">
        <v>0.24574463256320639</v>
      </c>
      <c r="G31" s="23">
        <v>0.25146568052674301</v>
      </c>
      <c r="H31" s="23">
        <v>0.25269381880421676</v>
      </c>
      <c r="I31" s="23">
        <v>0.24041250402835965</v>
      </c>
      <c r="J31" s="23">
        <v>0.2421939477303989</v>
      </c>
      <c r="K31" s="23">
        <v>0.24348056595645978</v>
      </c>
      <c r="L31" s="23">
        <v>0.23330112936002931</v>
      </c>
      <c r="M31" s="51">
        <v>0.24728748057223357</v>
      </c>
      <c r="N31" s="51">
        <v>0.25141089275260764</v>
      </c>
      <c r="O31" s="51">
        <v>0.25173762732701643</v>
      </c>
      <c r="P31" s="51">
        <v>0.25206302605732672</v>
      </c>
      <c r="Q31" s="2"/>
      <c r="R31" s="2"/>
    </row>
    <row r="32" spans="1:18">
      <c r="A32" s="18" t="s">
        <v>273</v>
      </c>
      <c r="B32" s="46">
        <v>464.3</v>
      </c>
      <c r="C32" s="46">
        <v>624</v>
      </c>
      <c r="D32" s="46">
        <v>557</v>
      </c>
      <c r="E32" s="46">
        <v>589</v>
      </c>
      <c r="F32" s="46">
        <v>519</v>
      </c>
      <c r="G32" s="46">
        <v>338</v>
      </c>
      <c r="H32" s="46">
        <v>434</v>
      </c>
      <c r="I32" s="46">
        <v>332</v>
      </c>
      <c r="J32" s="46">
        <v>441</v>
      </c>
      <c r="K32" s="46">
        <v>374</v>
      </c>
      <c r="L32" s="46">
        <v>400</v>
      </c>
      <c r="M32" s="50">
        <v>514.29302645706116</v>
      </c>
      <c r="N32" s="50">
        <v>319.54218792355306</v>
      </c>
      <c r="O32" s="50">
        <v>308.72045825378638</v>
      </c>
      <c r="P32" s="50">
        <v>307.89016537700201</v>
      </c>
      <c r="Q32" s="2"/>
      <c r="R32" s="2"/>
    </row>
    <row r="33" spans="1:18" ht="25.05" customHeight="1">
      <c r="A33" s="112" t="s">
        <v>274</v>
      </c>
      <c r="B33" s="113">
        <v>4848.8999999999996</v>
      </c>
      <c r="C33" s="113">
        <v>5142</v>
      </c>
      <c r="D33" s="113">
        <v>5287</v>
      </c>
      <c r="E33" s="113">
        <v>5936</v>
      </c>
      <c r="F33" s="113">
        <v>5933</v>
      </c>
      <c r="G33" s="113">
        <v>5914</v>
      </c>
      <c r="H33" s="113">
        <v>6930</v>
      </c>
      <c r="I33" s="113">
        <v>7046</v>
      </c>
      <c r="J33" s="113">
        <v>7484</v>
      </c>
      <c r="K33" s="113">
        <v>7722</v>
      </c>
      <c r="L33" s="114">
        <v>7403</v>
      </c>
      <c r="M33" s="115">
        <v>8161.8606302269982</v>
      </c>
      <c r="N33" s="115">
        <v>8405.6331860144237</v>
      </c>
      <c r="O33" s="115">
        <v>8810.1501573377409</v>
      </c>
      <c r="P33" s="115">
        <v>9245.9298396370632</v>
      </c>
      <c r="Q33" s="2"/>
      <c r="R33" s="2"/>
    </row>
    <row r="34" spans="1:18">
      <c r="A34" s="2" t="s">
        <v>33</v>
      </c>
      <c r="B34" s="44">
        <v>1142.4000000000001</v>
      </c>
      <c r="C34" s="44">
        <v>1215</v>
      </c>
      <c r="D34" s="44">
        <v>1273</v>
      </c>
      <c r="E34" s="44">
        <v>1428</v>
      </c>
      <c r="F34" s="44">
        <v>1377</v>
      </c>
      <c r="G34" s="44">
        <v>1513</v>
      </c>
      <c r="H34" s="44">
        <v>1775</v>
      </c>
      <c r="I34" s="44">
        <v>1808</v>
      </c>
      <c r="J34" s="44">
        <v>1919</v>
      </c>
      <c r="K34" s="44">
        <v>1954</v>
      </c>
      <c r="L34" s="44">
        <v>1842</v>
      </c>
      <c r="M34" s="48">
        <v>2007.8177150358415</v>
      </c>
      <c r="N34" s="48">
        <v>2067.785763759548</v>
      </c>
      <c r="O34" s="48">
        <v>2167.2969387050844</v>
      </c>
      <c r="P34" s="48">
        <v>2274.4987405507177</v>
      </c>
      <c r="Q34" s="2"/>
      <c r="R34" s="2"/>
    </row>
    <row r="35" spans="1:18">
      <c r="A35" s="2" t="s">
        <v>275</v>
      </c>
      <c r="B35" s="8">
        <v>0.23559982676483329</v>
      </c>
      <c r="C35" s="8">
        <v>0.23628938156359394</v>
      </c>
      <c r="D35" s="8">
        <v>0.24077926990731985</v>
      </c>
      <c r="E35" s="8">
        <v>0.24056603773584906</v>
      </c>
      <c r="F35" s="8">
        <v>0.23209169054441262</v>
      </c>
      <c r="G35" s="8">
        <v>0.25583361515049036</v>
      </c>
      <c r="H35" s="8">
        <v>0.25613275613275616</v>
      </c>
      <c r="I35" s="8">
        <v>0.25659948907181379</v>
      </c>
      <c r="J35" s="8">
        <v>0.25641368252271513</v>
      </c>
      <c r="K35" s="8">
        <v>0.25304325304325304</v>
      </c>
      <c r="L35" s="8">
        <v>0.248818046737809</v>
      </c>
      <c r="M35" s="49">
        <v>0.246</v>
      </c>
      <c r="N35" s="49">
        <v>0.24599999999999997</v>
      </c>
      <c r="O35" s="49">
        <v>0.24600000000000002</v>
      </c>
      <c r="P35" s="49">
        <v>0.24600000000000002</v>
      </c>
      <c r="Q35" s="2"/>
      <c r="R35" s="2"/>
    </row>
    <row r="36" spans="1:18">
      <c r="A36" s="3" t="s">
        <v>276</v>
      </c>
      <c r="B36" s="63">
        <v>3706.4</v>
      </c>
      <c r="C36" s="63">
        <v>3927</v>
      </c>
      <c r="D36" s="63">
        <v>4014</v>
      </c>
      <c r="E36" s="63">
        <v>4508</v>
      </c>
      <c r="F36" s="63">
        <v>4556</v>
      </c>
      <c r="G36" s="63">
        <v>4401</v>
      </c>
      <c r="H36" s="63">
        <v>5155</v>
      </c>
      <c r="I36" s="63">
        <v>5238</v>
      </c>
      <c r="J36" s="63">
        <v>5565</v>
      </c>
      <c r="K36" s="63">
        <v>5768</v>
      </c>
      <c r="L36" s="63">
        <v>5561</v>
      </c>
      <c r="M36" s="69">
        <v>6154.0429151911567</v>
      </c>
      <c r="N36" s="69">
        <v>6337.8474222548757</v>
      </c>
      <c r="O36" s="69">
        <v>6642.8532186326565</v>
      </c>
      <c r="P36" s="69">
        <v>6971.4310990863451</v>
      </c>
      <c r="Q36" s="2"/>
      <c r="R36" s="2"/>
    </row>
    <row r="37" spans="1:18">
      <c r="A37" s="2" t="s">
        <v>277</v>
      </c>
      <c r="B37" s="44">
        <v>19</v>
      </c>
      <c r="C37" s="44">
        <v>10</v>
      </c>
      <c r="D37" s="44">
        <v>9</v>
      </c>
      <c r="E37" s="44">
        <v>14</v>
      </c>
      <c r="F37" s="44">
        <v>15</v>
      </c>
      <c r="G37" s="44">
        <v>17</v>
      </c>
      <c r="H37" s="44">
        <v>16</v>
      </c>
      <c r="I37" s="44">
        <v>19</v>
      </c>
      <c r="J37" s="44">
        <v>23</v>
      </c>
      <c r="K37" s="44">
        <v>29</v>
      </c>
      <c r="L37" s="44">
        <v>27</v>
      </c>
      <c r="M37" s="48">
        <v>30.770214575955784</v>
      </c>
      <c r="N37" s="48">
        <v>31.68923711127438</v>
      </c>
      <c r="O37" s="48">
        <v>33.214266093163282</v>
      </c>
      <c r="P37" s="48">
        <v>34.857155495431726</v>
      </c>
      <c r="Q37" s="2"/>
      <c r="R37" s="2"/>
    </row>
    <row r="38" spans="1:18">
      <c r="A38" s="2" t="s">
        <v>278</v>
      </c>
      <c r="B38" s="44">
        <v>3687.4</v>
      </c>
      <c r="C38" s="44">
        <v>3917</v>
      </c>
      <c r="D38" s="44">
        <v>4005</v>
      </c>
      <c r="E38" s="44">
        <v>4494</v>
      </c>
      <c r="F38" s="44">
        <v>4541</v>
      </c>
      <c r="G38" s="44">
        <v>4384</v>
      </c>
      <c r="H38" s="44">
        <v>5139</v>
      </c>
      <c r="I38" s="44">
        <v>5219</v>
      </c>
      <c r="J38" s="44">
        <v>5542</v>
      </c>
      <c r="K38" s="44">
        <v>5739</v>
      </c>
      <c r="L38" s="44">
        <v>5534</v>
      </c>
      <c r="M38" s="48">
        <v>6123.2727006152008</v>
      </c>
      <c r="N38" s="48">
        <v>6306.1581851436013</v>
      </c>
      <c r="O38" s="48">
        <v>6609.6389525394934</v>
      </c>
      <c r="P38" s="48">
        <v>6936.5739435909136</v>
      </c>
      <c r="Q38" s="2"/>
      <c r="R38" s="2"/>
    </row>
    <row r="39" spans="1:18">
      <c r="A39" s="2" t="s">
        <v>279</v>
      </c>
      <c r="B39" s="8">
        <v>0.22287230506077399</v>
      </c>
      <c r="C39" s="8">
        <v>0.22286071916249431</v>
      </c>
      <c r="D39" s="8">
        <v>0.20980669495520982</v>
      </c>
      <c r="E39" s="8">
        <v>0.21489025964710945</v>
      </c>
      <c r="F39" s="8">
        <v>0.20611865099178431</v>
      </c>
      <c r="G39" s="8">
        <v>0.19770902859204473</v>
      </c>
      <c r="H39" s="8">
        <v>0.19990664021472751</v>
      </c>
      <c r="I39" s="8">
        <v>0.18688008020911662</v>
      </c>
      <c r="J39" s="8">
        <v>0.1905777166437414</v>
      </c>
      <c r="K39" s="8">
        <v>0.1901653467643063</v>
      </c>
      <c r="L39" s="8">
        <v>0.18436219475630475</v>
      </c>
      <c r="M39" s="49">
        <v>0.19799873076577015</v>
      </c>
      <c r="N39" s="49">
        <v>0.19606962864262087</v>
      </c>
      <c r="O39" s="49">
        <v>0.19571941265123985</v>
      </c>
      <c r="P39" s="49">
        <v>0.19561938438550022</v>
      </c>
      <c r="Q39" s="2"/>
      <c r="R39" s="2"/>
    </row>
    <row r="40" spans="1:18">
      <c r="A40" s="2" t="s">
        <v>280</v>
      </c>
      <c r="B40" s="44">
        <f t="shared" ref="B40:P40" si="0">SUM(B37:B39)</f>
        <v>3706.6228723050608</v>
      </c>
      <c r="C40" s="44">
        <f t="shared" si="0"/>
        <v>3927.2228607191623</v>
      </c>
      <c r="D40" s="44">
        <f t="shared" si="0"/>
        <v>4014.2098066949552</v>
      </c>
      <c r="E40" s="44">
        <f t="shared" si="0"/>
        <v>4508.2148902596473</v>
      </c>
      <c r="F40" s="44">
        <f t="shared" si="0"/>
        <v>4556.2061186509918</v>
      </c>
      <c r="G40" s="44">
        <f t="shared" si="0"/>
        <v>4401.1977090285918</v>
      </c>
      <c r="H40" s="44">
        <f t="shared" si="0"/>
        <v>5155.199906640215</v>
      </c>
      <c r="I40" s="44">
        <f t="shared" si="0"/>
        <v>5238.1868800802094</v>
      </c>
      <c r="J40" s="44">
        <f t="shared" si="0"/>
        <v>5565.1905777166439</v>
      </c>
      <c r="K40" s="44">
        <f t="shared" si="0"/>
        <v>5768.1901653467639</v>
      </c>
      <c r="L40" s="44">
        <f t="shared" si="0"/>
        <v>5561.1843621947564</v>
      </c>
      <c r="M40" s="48">
        <f t="shared" si="0"/>
        <v>6154.2409139219226</v>
      </c>
      <c r="N40" s="48">
        <f t="shared" si="0"/>
        <v>6338.0434918835181</v>
      </c>
      <c r="O40" s="48">
        <f t="shared" si="0"/>
        <v>6643.0489380453082</v>
      </c>
      <c r="P40" s="48">
        <f t="shared" si="0"/>
        <v>6971.6267184707303</v>
      </c>
      <c r="Q40" s="2"/>
      <c r="R40" s="2"/>
    </row>
    <row r="41" spans="1:18">
      <c r="A41" s="2" t="s">
        <v>281</v>
      </c>
      <c r="B41" s="44">
        <v>287.5</v>
      </c>
      <c r="C41" s="44">
        <v>296</v>
      </c>
      <c r="D41" s="44">
        <v>312</v>
      </c>
      <c r="E41" s="44">
        <v>294</v>
      </c>
      <c r="F41" s="44">
        <v>495.95</v>
      </c>
      <c r="G41" s="44">
        <v>550</v>
      </c>
      <c r="H41" s="44">
        <v>617</v>
      </c>
      <c r="I41" s="44">
        <v>623</v>
      </c>
      <c r="J41" s="44">
        <v>602</v>
      </c>
      <c r="K41" s="44">
        <v>619</v>
      </c>
      <c r="L41" s="44">
        <v>626</v>
      </c>
      <c r="M41" s="48">
        <v>633.15876815571005</v>
      </c>
      <c r="N41" s="48">
        <v>654.87025543758432</v>
      </c>
      <c r="O41" s="48">
        <v>687.31384047837457</v>
      </c>
      <c r="P41" s="48">
        <v>721.36589594206464</v>
      </c>
      <c r="Q41" s="2"/>
      <c r="R41" s="2"/>
    </row>
    <row r="42" spans="1:18">
      <c r="A42" s="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54"/>
      <c r="N42" s="54"/>
      <c r="O42" s="54"/>
      <c r="P42" s="54"/>
      <c r="Q42" s="2"/>
      <c r="R42" s="2"/>
    </row>
    <row r="43" spans="1:18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54"/>
      <c r="N43" s="54"/>
      <c r="O43" s="54"/>
      <c r="P43" s="54"/>
      <c r="Q43" s="2"/>
      <c r="R43" s="2"/>
    </row>
    <row r="44" spans="1:18">
      <c r="A44" s="95" t="s">
        <v>282</v>
      </c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7"/>
      <c r="N44" s="117"/>
      <c r="O44" s="117"/>
      <c r="P44" s="117"/>
      <c r="Q44" s="2"/>
      <c r="R44" s="2"/>
    </row>
    <row r="45" spans="1:18">
      <c r="A45" s="2"/>
      <c r="B45" s="4">
        <f t="shared" ref="B45:P45" si="1">SUM(B40:B44)</f>
        <v>3994.1228723050608</v>
      </c>
      <c r="C45" s="4">
        <f t="shared" si="1"/>
        <v>4223.2228607191628</v>
      </c>
      <c r="D45" s="4">
        <f t="shared" si="1"/>
        <v>4326.2098066949548</v>
      </c>
      <c r="E45" s="4">
        <f t="shared" si="1"/>
        <v>4802.2148902596473</v>
      </c>
      <c r="F45" s="4">
        <f t="shared" si="1"/>
        <v>5052.1561186509916</v>
      </c>
      <c r="G45" s="4">
        <f t="shared" si="1"/>
        <v>4951.1977090285918</v>
      </c>
      <c r="H45" s="4">
        <f t="shared" si="1"/>
        <v>5772.199906640215</v>
      </c>
      <c r="I45" s="4">
        <f t="shared" si="1"/>
        <v>5861.1868800802094</v>
      </c>
      <c r="J45" s="4">
        <f t="shared" si="1"/>
        <v>6167.1905777166439</v>
      </c>
      <c r="K45" s="4">
        <f t="shared" si="1"/>
        <v>6387.1901653467639</v>
      </c>
      <c r="L45" s="4">
        <f t="shared" si="1"/>
        <v>6187.1843621947564</v>
      </c>
      <c r="M45" s="54">
        <f t="shared" si="1"/>
        <v>6787.3996820776329</v>
      </c>
      <c r="N45" s="54">
        <f t="shared" si="1"/>
        <v>6992.9137473211022</v>
      </c>
      <c r="O45" s="54">
        <f t="shared" si="1"/>
        <v>7330.3627785236831</v>
      </c>
      <c r="P45" s="54">
        <f t="shared" si="1"/>
        <v>7692.9926144127949</v>
      </c>
      <c r="Q45" s="2"/>
      <c r="R45" s="2"/>
    </row>
    <row r="46" spans="1:18">
      <c r="A46" s="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54"/>
      <c r="N46" s="54"/>
      <c r="O46" s="54"/>
      <c r="P46" s="54"/>
      <c r="Q46" s="2"/>
      <c r="R46" s="2"/>
    </row>
    <row r="47" spans="1:18">
      <c r="A47" s="66" t="s">
        <v>102</v>
      </c>
      <c r="B47" s="67" t="s">
        <v>2</v>
      </c>
      <c r="C47" s="67" t="s">
        <v>3</v>
      </c>
      <c r="D47" s="67" t="s">
        <v>4</v>
      </c>
      <c r="E47" s="67" t="s">
        <v>5</v>
      </c>
      <c r="F47" s="67" t="s">
        <v>6</v>
      </c>
      <c r="G47" s="67" t="s">
        <v>7</v>
      </c>
      <c r="H47" s="67" t="s">
        <v>8</v>
      </c>
      <c r="I47" s="67" t="s">
        <v>9</v>
      </c>
      <c r="J47" s="67" t="s">
        <v>10</v>
      </c>
      <c r="K47" s="67" t="s">
        <v>11</v>
      </c>
      <c r="L47" s="67" t="s">
        <v>12</v>
      </c>
      <c r="M47" s="70" t="s">
        <v>13</v>
      </c>
      <c r="N47" s="70" t="s">
        <v>14</v>
      </c>
      <c r="O47" s="70" t="s">
        <v>15</v>
      </c>
      <c r="P47" s="70" t="s">
        <v>16</v>
      </c>
      <c r="Q47" s="2"/>
      <c r="R47" s="2"/>
    </row>
    <row r="48" spans="1:18">
      <c r="A48" s="2" t="s">
        <v>282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8"/>
      <c r="N48" s="48"/>
      <c r="O48" s="48"/>
      <c r="P48" s="48"/>
      <c r="Q48" s="2"/>
      <c r="R48" s="2"/>
    </row>
    <row r="49" spans="1:18">
      <c r="A49" s="2" t="s">
        <v>283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8"/>
      <c r="N49" s="48"/>
      <c r="O49" s="48"/>
      <c r="P49" s="48"/>
      <c r="Q49" s="2"/>
      <c r="R49" s="2"/>
    </row>
    <row r="50" spans="1:18">
      <c r="A50" s="2" t="s">
        <v>284</v>
      </c>
      <c r="B50" s="44">
        <v>950</v>
      </c>
      <c r="C50" s="44">
        <v>555</v>
      </c>
      <c r="D50" s="44">
        <v>751</v>
      </c>
      <c r="E50" s="44">
        <v>1045</v>
      </c>
      <c r="F50" s="44">
        <v>1146</v>
      </c>
      <c r="G50" s="44">
        <v>934</v>
      </c>
      <c r="H50" s="44">
        <v>1650</v>
      </c>
      <c r="I50" s="44">
        <v>866</v>
      </c>
      <c r="J50" s="44">
        <v>1081</v>
      </c>
      <c r="K50" s="44">
        <v>976</v>
      </c>
      <c r="L50" s="44">
        <v>678</v>
      </c>
      <c r="M50" s="48">
        <v>2094.9549515993967</v>
      </c>
      <c r="N50" s="48">
        <v>2781.5640890512068</v>
      </c>
      <c r="O50" s="48">
        <v>3815.5382321152374</v>
      </c>
      <c r="P50" s="48">
        <v>4989.0311678472872</v>
      </c>
      <c r="Q50" s="2"/>
      <c r="R50" s="2"/>
    </row>
    <row r="51" spans="1:18">
      <c r="A51" s="2" t="s">
        <v>285</v>
      </c>
      <c r="B51" s="44">
        <v>8</v>
      </c>
      <c r="C51" s="44">
        <v>66</v>
      </c>
      <c r="D51" s="44">
        <v>316</v>
      </c>
      <c r="E51" s="44">
        <v>785</v>
      </c>
      <c r="F51" s="44">
        <v>107</v>
      </c>
      <c r="G51" s="44">
        <v>308</v>
      </c>
      <c r="H51" s="44">
        <v>728</v>
      </c>
      <c r="I51" s="44">
        <v>392</v>
      </c>
      <c r="J51" s="44">
        <v>456</v>
      </c>
      <c r="K51" s="44">
        <v>727</v>
      </c>
      <c r="L51" s="44">
        <v>622</v>
      </c>
      <c r="M51" s="48">
        <v>667.86614953361345</v>
      </c>
      <c r="N51" s="48">
        <v>613.68076969165918</v>
      </c>
      <c r="O51" s="48">
        <v>454.26107623126694</v>
      </c>
      <c r="P51" s="48">
        <v>373.26602568026908</v>
      </c>
      <c r="Q51" s="2"/>
      <c r="R51" s="2"/>
    </row>
    <row r="52" spans="1:18">
      <c r="A52" s="2" t="s">
        <v>286</v>
      </c>
      <c r="B52" s="44">
        <f t="shared" ref="B52:P52" si="2">SUM(B46:B51)</f>
        <v>958</v>
      </c>
      <c r="C52" s="44">
        <f t="shared" si="2"/>
        <v>621</v>
      </c>
      <c r="D52" s="44">
        <f t="shared" si="2"/>
        <v>1067</v>
      </c>
      <c r="E52" s="44">
        <f t="shared" si="2"/>
        <v>1830</v>
      </c>
      <c r="F52" s="44">
        <f t="shared" si="2"/>
        <v>1253</v>
      </c>
      <c r="G52" s="44">
        <f t="shared" si="2"/>
        <v>1242</v>
      </c>
      <c r="H52" s="44">
        <f t="shared" si="2"/>
        <v>2378</v>
      </c>
      <c r="I52" s="44">
        <f t="shared" si="2"/>
        <v>1258</v>
      </c>
      <c r="J52" s="44">
        <f t="shared" si="2"/>
        <v>1537</v>
      </c>
      <c r="K52" s="44">
        <f t="shared" si="2"/>
        <v>1703</v>
      </c>
      <c r="L52" s="44">
        <f t="shared" si="2"/>
        <v>1300</v>
      </c>
      <c r="M52" s="48">
        <f t="shared" si="2"/>
        <v>2762.8211011330104</v>
      </c>
      <c r="N52" s="48">
        <f t="shared" si="2"/>
        <v>3395.2448587428662</v>
      </c>
      <c r="O52" s="48">
        <f t="shared" si="2"/>
        <v>4269.7993083465044</v>
      </c>
      <c r="P52" s="48">
        <f t="shared" si="2"/>
        <v>5362.2971935275564</v>
      </c>
      <c r="Q52" s="2"/>
      <c r="R52" s="2"/>
    </row>
    <row r="53" spans="1:18">
      <c r="A53" s="2" t="s">
        <v>287</v>
      </c>
      <c r="B53" s="44">
        <v>3393</v>
      </c>
      <c r="C53" s="44">
        <v>6421</v>
      </c>
      <c r="D53" s="44">
        <v>5490</v>
      </c>
      <c r="E53" s="44">
        <v>4208</v>
      </c>
      <c r="F53" s="44">
        <v>3465</v>
      </c>
      <c r="G53" s="44">
        <v>3973</v>
      </c>
      <c r="H53" s="44">
        <v>3998</v>
      </c>
      <c r="I53" s="44">
        <v>4487</v>
      </c>
      <c r="J53" s="44">
        <v>3776</v>
      </c>
      <c r="K53" s="44">
        <v>3592</v>
      </c>
      <c r="L53" s="44">
        <v>3570</v>
      </c>
      <c r="M53" s="48">
        <v>3833.2510511816722</v>
      </c>
      <c r="N53" s="48">
        <v>3522.2513630212593</v>
      </c>
      <c r="O53" s="48">
        <v>2607.254087050841</v>
      </c>
      <c r="P53" s="48">
        <v>2142.3789576825729</v>
      </c>
      <c r="Q53" s="2"/>
      <c r="R53" s="2"/>
    </row>
    <row r="54" spans="1:18">
      <c r="A54" s="2" t="s">
        <v>288</v>
      </c>
      <c r="B54" s="44">
        <v>619</v>
      </c>
      <c r="C54" s="44">
        <v>695</v>
      </c>
      <c r="D54" s="44">
        <v>661</v>
      </c>
      <c r="E54" s="44">
        <v>1446</v>
      </c>
      <c r="F54" s="44">
        <v>1347</v>
      </c>
      <c r="G54" s="44">
        <v>1781</v>
      </c>
      <c r="H54" s="44">
        <v>1065</v>
      </c>
      <c r="I54" s="44">
        <v>405</v>
      </c>
      <c r="J54" s="44">
        <v>320</v>
      </c>
      <c r="K54" s="44">
        <v>428</v>
      </c>
      <c r="L54" s="44">
        <v>433</v>
      </c>
      <c r="M54" s="48">
        <v>260.52294103767161</v>
      </c>
      <c r="N54" s="48">
        <v>270.9438586791785</v>
      </c>
      <c r="O54" s="48">
        <v>284.49105161313742</v>
      </c>
      <c r="P54" s="48">
        <v>298.71560419379432</v>
      </c>
      <c r="Q54" s="2"/>
      <c r="R54" s="2"/>
    </row>
    <row r="55" spans="1:18">
      <c r="A55" s="2" t="s">
        <v>289</v>
      </c>
      <c r="B55" s="44">
        <f t="shared" ref="B55:P55" si="3">SUM(B53:B54)</f>
        <v>4012</v>
      </c>
      <c r="C55" s="44">
        <f t="shared" si="3"/>
        <v>7116</v>
      </c>
      <c r="D55" s="44">
        <f t="shared" si="3"/>
        <v>6151</v>
      </c>
      <c r="E55" s="44">
        <f t="shared" si="3"/>
        <v>5654</v>
      </c>
      <c r="F55" s="44">
        <f t="shared" si="3"/>
        <v>4812</v>
      </c>
      <c r="G55" s="44">
        <f t="shared" si="3"/>
        <v>5754</v>
      </c>
      <c r="H55" s="44">
        <f t="shared" si="3"/>
        <v>5063</v>
      </c>
      <c r="I55" s="44">
        <f t="shared" si="3"/>
        <v>4892</v>
      </c>
      <c r="J55" s="44">
        <f t="shared" si="3"/>
        <v>4096</v>
      </c>
      <c r="K55" s="44">
        <f t="shared" si="3"/>
        <v>4020</v>
      </c>
      <c r="L55" s="44">
        <f t="shared" si="3"/>
        <v>4003</v>
      </c>
      <c r="M55" s="48">
        <f t="shared" si="3"/>
        <v>4093.7739922193437</v>
      </c>
      <c r="N55" s="48">
        <f t="shared" si="3"/>
        <v>3793.1952217004377</v>
      </c>
      <c r="O55" s="48">
        <f t="shared" si="3"/>
        <v>2891.7451386639787</v>
      </c>
      <c r="P55" s="48">
        <f t="shared" si="3"/>
        <v>2441.0945618763672</v>
      </c>
      <c r="Q55" s="2"/>
      <c r="R55" s="2"/>
    </row>
    <row r="56" spans="1:18">
      <c r="A56" s="2" t="s">
        <v>290</v>
      </c>
      <c r="B56" s="44">
        <v>5</v>
      </c>
      <c r="C56" s="44">
        <v>4</v>
      </c>
      <c r="D56" s="44">
        <v>6</v>
      </c>
      <c r="E56" s="44">
        <v>268</v>
      </c>
      <c r="F56" s="44">
        <v>1</v>
      </c>
      <c r="G56" s="44">
        <v>3</v>
      </c>
      <c r="H56" s="44">
        <v>1</v>
      </c>
      <c r="I56" s="44">
        <v>1</v>
      </c>
      <c r="J56" s="44">
        <v>18</v>
      </c>
      <c r="K56" s="44">
        <v>30</v>
      </c>
      <c r="L56" s="44">
        <v>133</v>
      </c>
      <c r="M56" s="48">
        <v>80.022058101640468</v>
      </c>
      <c r="N56" s="48">
        <v>83.222940425706099</v>
      </c>
      <c r="O56" s="48">
        <v>87.384087446991416</v>
      </c>
      <c r="P56" s="48">
        <v>91.753291819340987</v>
      </c>
      <c r="Q56" s="2"/>
      <c r="R56" s="2"/>
    </row>
    <row r="57" spans="1:18">
      <c r="A57" s="2" t="s">
        <v>54</v>
      </c>
      <c r="B57" s="44">
        <f t="shared" ref="B57:P57" si="4">B55+B56</f>
        <v>4017</v>
      </c>
      <c r="C57" s="44">
        <f t="shared" si="4"/>
        <v>7120</v>
      </c>
      <c r="D57" s="44">
        <f t="shared" si="4"/>
        <v>6157</v>
      </c>
      <c r="E57" s="44">
        <f t="shared" si="4"/>
        <v>5922</v>
      </c>
      <c r="F57" s="44">
        <f t="shared" si="4"/>
        <v>4813</v>
      </c>
      <c r="G57" s="44">
        <f t="shared" si="4"/>
        <v>5757</v>
      </c>
      <c r="H57" s="44">
        <f t="shared" si="4"/>
        <v>5064</v>
      </c>
      <c r="I57" s="44">
        <f t="shared" si="4"/>
        <v>4893</v>
      </c>
      <c r="J57" s="44">
        <f t="shared" si="4"/>
        <v>4114</v>
      </c>
      <c r="K57" s="44">
        <f t="shared" si="4"/>
        <v>4050</v>
      </c>
      <c r="L57" s="44">
        <f t="shared" si="4"/>
        <v>4136</v>
      </c>
      <c r="M57" s="48">
        <f t="shared" si="4"/>
        <v>4173.7960503209842</v>
      </c>
      <c r="N57" s="48">
        <f t="shared" si="4"/>
        <v>3876.4181621261437</v>
      </c>
      <c r="O57" s="48">
        <f t="shared" si="4"/>
        <v>2979.1292261109702</v>
      </c>
      <c r="P57" s="48">
        <f t="shared" si="4"/>
        <v>2532.8478536957082</v>
      </c>
      <c r="Q57" s="2"/>
      <c r="R57" s="2"/>
    </row>
    <row r="58" spans="1:18">
      <c r="A58" s="2" t="s">
        <v>56</v>
      </c>
      <c r="B58" s="44">
        <f t="shared" ref="B58:P58" si="5">B52+B57</f>
        <v>4975</v>
      </c>
      <c r="C58" s="44">
        <f t="shared" si="5"/>
        <v>7741</v>
      </c>
      <c r="D58" s="44">
        <f t="shared" si="5"/>
        <v>7224</v>
      </c>
      <c r="E58" s="44">
        <f t="shared" si="5"/>
        <v>7752</v>
      </c>
      <c r="F58" s="44">
        <f t="shared" si="5"/>
        <v>6066</v>
      </c>
      <c r="G58" s="44">
        <f t="shared" si="5"/>
        <v>6999</v>
      </c>
      <c r="H58" s="44">
        <f t="shared" si="5"/>
        <v>7442</v>
      </c>
      <c r="I58" s="44">
        <f t="shared" si="5"/>
        <v>6151</v>
      </c>
      <c r="J58" s="44">
        <f t="shared" si="5"/>
        <v>5651</v>
      </c>
      <c r="K58" s="44">
        <f t="shared" si="5"/>
        <v>5753</v>
      </c>
      <c r="L58" s="44">
        <f t="shared" si="5"/>
        <v>5436</v>
      </c>
      <c r="M58" s="48">
        <f t="shared" si="5"/>
        <v>6936.6171514539947</v>
      </c>
      <c r="N58" s="48">
        <f t="shared" si="5"/>
        <v>7271.6630208690094</v>
      </c>
      <c r="O58" s="48">
        <f t="shared" si="5"/>
        <v>7248.9285344574746</v>
      </c>
      <c r="P58" s="48">
        <f t="shared" si="5"/>
        <v>7895.1450472232646</v>
      </c>
      <c r="Q58" s="2"/>
      <c r="R58" s="2"/>
    </row>
    <row r="59" spans="1:18">
      <c r="A59" s="2" t="s">
        <v>291</v>
      </c>
      <c r="B59" s="44">
        <f t="shared" ref="B59:P59" si="6">ROUND(B45-B58,1)</f>
        <v>-980.9</v>
      </c>
      <c r="C59" s="44">
        <f t="shared" si="6"/>
        <v>-3517.8</v>
      </c>
      <c r="D59" s="44">
        <f t="shared" si="6"/>
        <v>-2897.8</v>
      </c>
      <c r="E59" s="44">
        <f t="shared" si="6"/>
        <v>-2949.8</v>
      </c>
      <c r="F59" s="44">
        <f t="shared" si="6"/>
        <v>-1013.8</v>
      </c>
      <c r="G59" s="44">
        <f t="shared" si="6"/>
        <v>-2047.8</v>
      </c>
      <c r="H59" s="44">
        <f t="shared" si="6"/>
        <v>-1669.8</v>
      </c>
      <c r="I59" s="44">
        <f t="shared" si="6"/>
        <v>-289.8</v>
      </c>
      <c r="J59" s="44">
        <f t="shared" si="6"/>
        <v>516.20000000000005</v>
      </c>
      <c r="K59" s="44">
        <f t="shared" si="6"/>
        <v>634.20000000000005</v>
      </c>
      <c r="L59" s="44">
        <f t="shared" si="6"/>
        <v>751.2</v>
      </c>
      <c r="M59" s="48">
        <f t="shared" si="6"/>
        <v>-149.19999999999999</v>
      </c>
      <c r="N59" s="48">
        <f t="shared" si="6"/>
        <v>-278.7</v>
      </c>
      <c r="O59" s="48">
        <f t="shared" si="6"/>
        <v>81.400000000000006</v>
      </c>
      <c r="P59" s="48">
        <f t="shared" si="6"/>
        <v>-202.2</v>
      </c>
      <c r="Q59" s="2"/>
      <c r="R59" s="2"/>
    </row>
    <row r="60" spans="1:18">
      <c r="A60" s="2" t="s">
        <v>292</v>
      </c>
      <c r="B60" s="44">
        <v>52</v>
      </c>
      <c r="C60" s="44">
        <v>53</v>
      </c>
      <c r="D60" s="44">
        <v>46</v>
      </c>
      <c r="E60" s="44">
        <v>35</v>
      </c>
      <c r="F60" s="44">
        <v>29</v>
      </c>
      <c r="G60" s="44">
        <v>29</v>
      </c>
      <c r="H60" s="44">
        <v>29</v>
      </c>
      <c r="I60" s="44">
        <v>32</v>
      </c>
      <c r="J60" s="44">
        <v>34</v>
      </c>
      <c r="K60" s="44">
        <v>32</v>
      </c>
      <c r="L60" s="44">
        <v>23</v>
      </c>
      <c r="M60" s="48">
        <v>24.696015175680241</v>
      </c>
      <c r="N60" s="48">
        <v>22.692375728148168</v>
      </c>
      <c r="O60" s="48">
        <v>16.797435294725304</v>
      </c>
      <c r="P60" s="48">
        <v>13.802441464061395</v>
      </c>
      <c r="Q60" s="2"/>
      <c r="R60" s="2"/>
    </row>
    <row r="61" spans="1:18">
      <c r="A61" s="112" t="s">
        <v>293</v>
      </c>
      <c r="B61" s="113">
        <v>0</v>
      </c>
      <c r="C61" s="113">
        <v>10</v>
      </c>
      <c r="D61" s="113">
        <v>14</v>
      </c>
      <c r="E61" s="113">
        <v>14</v>
      </c>
      <c r="F61" s="113">
        <v>10</v>
      </c>
      <c r="G61" s="113">
        <v>8</v>
      </c>
      <c r="H61" s="113">
        <v>19</v>
      </c>
      <c r="I61" s="113">
        <v>18</v>
      </c>
      <c r="J61" s="113">
        <v>15</v>
      </c>
      <c r="K61" s="113">
        <v>11</v>
      </c>
      <c r="L61" s="113">
        <v>10</v>
      </c>
      <c r="M61" s="115">
        <v>10.288333402879582</v>
      </c>
      <c r="N61" s="115">
        <v>10.699866738994764</v>
      </c>
      <c r="O61" s="115">
        <v>11.234860075944505</v>
      </c>
      <c r="P61" s="115">
        <v>11.796603079741731</v>
      </c>
      <c r="Q61" s="2"/>
      <c r="R61" s="2"/>
    </row>
    <row r="62" spans="1:18">
      <c r="A62" s="2" t="s">
        <v>294</v>
      </c>
      <c r="B62" s="44">
        <v>0</v>
      </c>
      <c r="C62" s="44">
        <v>22</v>
      </c>
      <c r="D62" s="44">
        <v>35</v>
      </c>
      <c r="E62" s="44">
        <v>57</v>
      </c>
      <c r="F62" s="44">
        <v>43</v>
      </c>
      <c r="G62" s="44">
        <v>37</v>
      </c>
      <c r="H62" s="44">
        <v>7</v>
      </c>
      <c r="I62" s="44">
        <v>24</v>
      </c>
      <c r="J62" s="44">
        <v>2</v>
      </c>
      <c r="K62" s="44">
        <v>4</v>
      </c>
      <c r="L62" s="44">
        <v>12</v>
      </c>
      <c r="M62" s="48">
        <v>22.03249367370568</v>
      </c>
      <c r="N62" s="48">
        <v>22.91379342065391</v>
      </c>
      <c r="O62" s="48">
        <v>24.059483091686609</v>
      </c>
      <c r="P62" s="48">
        <v>25.262457246270937</v>
      </c>
      <c r="Q62" s="2"/>
      <c r="R62" s="2"/>
    </row>
    <row r="63" spans="1:18">
      <c r="A63" s="2" t="s">
        <v>295</v>
      </c>
      <c r="B63" s="44">
        <v>510</v>
      </c>
      <c r="C63" s="44">
        <v>129</v>
      </c>
      <c r="D63" s="44">
        <v>410</v>
      </c>
      <c r="E63" s="44">
        <v>115</v>
      </c>
      <c r="F63" s="44">
        <v>115</v>
      </c>
      <c r="G63" s="44">
        <v>120</v>
      </c>
      <c r="H63" s="44">
        <v>176</v>
      </c>
      <c r="I63" s="44">
        <v>120</v>
      </c>
      <c r="J63" s="44">
        <v>123</v>
      </c>
      <c r="K63" s="44">
        <v>123</v>
      </c>
      <c r="L63" s="44">
        <v>252</v>
      </c>
      <c r="M63" s="48">
        <v>0</v>
      </c>
      <c r="N63" s="48">
        <v>0</v>
      </c>
      <c r="O63" s="48">
        <v>60.235917013378518</v>
      </c>
      <c r="P63" s="48">
        <v>1.1738838682186679</v>
      </c>
      <c r="Q63" s="2"/>
      <c r="R63" s="2"/>
    </row>
    <row r="64" spans="1:18">
      <c r="A64" s="3" t="s">
        <v>296</v>
      </c>
      <c r="B64" s="63">
        <v>674</v>
      </c>
      <c r="C64" s="63">
        <v>739</v>
      </c>
      <c r="D64" s="63">
        <v>635</v>
      </c>
      <c r="E64" s="63">
        <v>581</v>
      </c>
      <c r="F64" s="63">
        <v>326</v>
      </c>
      <c r="G64" s="63">
        <v>251</v>
      </c>
      <c r="H64" s="63">
        <v>262</v>
      </c>
      <c r="I64" s="63">
        <v>314</v>
      </c>
      <c r="J64" s="63">
        <v>192</v>
      </c>
      <c r="K64" s="63">
        <v>184</v>
      </c>
      <c r="L64" s="63">
        <v>152</v>
      </c>
      <c r="M64" s="69">
        <v>0</v>
      </c>
      <c r="N64" s="69">
        <v>0</v>
      </c>
      <c r="O64" s="69">
        <v>36.332775341402915</v>
      </c>
      <c r="P64" s="69">
        <v>0.70805693638586309</v>
      </c>
      <c r="Q64" s="2"/>
      <c r="R64" s="2"/>
    </row>
    <row r="65" spans="1:18">
      <c r="A65" s="2" t="s">
        <v>297</v>
      </c>
      <c r="B65" s="44">
        <v>435</v>
      </c>
      <c r="C65" s="44">
        <v>433</v>
      </c>
      <c r="D65" s="44">
        <v>527</v>
      </c>
      <c r="E65" s="44">
        <v>381</v>
      </c>
      <c r="F65" s="44">
        <v>372</v>
      </c>
      <c r="G65" s="44">
        <v>532</v>
      </c>
      <c r="H65" s="44">
        <v>486</v>
      </c>
      <c r="I65" s="44">
        <v>399</v>
      </c>
      <c r="J65" s="44">
        <v>405</v>
      </c>
      <c r="K65" s="44">
        <v>415</v>
      </c>
      <c r="L65" s="44">
        <v>468</v>
      </c>
      <c r="M65" s="48">
        <v>0</v>
      </c>
      <c r="N65" s="48">
        <v>0</v>
      </c>
      <c r="O65" s="48">
        <v>111.86670302484582</v>
      </c>
      <c r="P65" s="48">
        <v>2.180070040977526</v>
      </c>
      <c r="Q65" s="2"/>
      <c r="R65" s="2"/>
    </row>
    <row r="66" spans="1:18">
      <c r="A66" s="2" t="s">
        <v>298</v>
      </c>
      <c r="B66" s="44">
        <v>1780</v>
      </c>
      <c r="C66" s="44">
        <v>1811</v>
      </c>
      <c r="D66" s="44">
        <v>1784</v>
      </c>
      <c r="E66" s="44">
        <v>1685</v>
      </c>
      <c r="F66" s="44">
        <v>1583</v>
      </c>
      <c r="G66" s="44">
        <v>1653</v>
      </c>
      <c r="H66" s="44">
        <v>1596</v>
      </c>
      <c r="I66" s="44">
        <v>1410</v>
      </c>
      <c r="J66" s="44">
        <v>1346</v>
      </c>
      <c r="K66" s="44">
        <v>1514</v>
      </c>
      <c r="L66" s="44">
        <v>1500</v>
      </c>
      <c r="M66" s="48">
        <v>1603.94045879891</v>
      </c>
      <c r="N66" s="48">
        <v>1806.4910964583248</v>
      </c>
      <c r="O66" s="48">
        <v>2102.3216330398386</v>
      </c>
      <c r="P66" s="48">
        <v>2330.1911004066806</v>
      </c>
      <c r="Q66" s="2"/>
      <c r="R66" s="2"/>
    </row>
    <row r="67" spans="1:18">
      <c r="A67" s="2" t="s">
        <v>299</v>
      </c>
      <c r="B67" s="44">
        <v>20</v>
      </c>
      <c r="C67" s="44">
        <v>7</v>
      </c>
      <c r="D67" s="44">
        <v>2</v>
      </c>
      <c r="E67" s="44">
        <v>26</v>
      </c>
      <c r="F67" s="44">
        <v>37</v>
      </c>
      <c r="G67" s="44">
        <v>65</v>
      </c>
      <c r="H67" s="44">
        <v>145</v>
      </c>
      <c r="I67" s="44">
        <v>105</v>
      </c>
      <c r="J67" s="44">
        <v>61</v>
      </c>
      <c r="K67" s="44">
        <v>109</v>
      </c>
      <c r="L67" s="44">
        <v>19</v>
      </c>
      <c r="M67" s="48">
        <v>19</v>
      </c>
      <c r="N67" s="48">
        <v>19</v>
      </c>
      <c r="O67" s="48">
        <v>19</v>
      </c>
      <c r="P67" s="48">
        <v>19</v>
      </c>
      <c r="Q67" s="2"/>
      <c r="R67" s="2"/>
    </row>
    <row r="68" spans="1:18">
      <c r="A68" s="2" t="s">
        <v>300</v>
      </c>
      <c r="B68" s="44">
        <v>0</v>
      </c>
      <c r="C68" s="44">
        <v>0</v>
      </c>
      <c r="D68" s="44">
        <v>0</v>
      </c>
      <c r="E68" s="44">
        <v>0</v>
      </c>
      <c r="F68" s="44">
        <v>1060</v>
      </c>
      <c r="G68" s="44">
        <v>1040</v>
      </c>
      <c r="H68" s="44">
        <v>1009</v>
      </c>
      <c r="I68" s="44">
        <v>919</v>
      </c>
      <c r="J68" s="44">
        <v>946</v>
      </c>
      <c r="K68" s="44">
        <v>1086</v>
      </c>
      <c r="L68" s="44">
        <v>1166</v>
      </c>
      <c r="M68" s="48">
        <v>1246.7963833063527</v>
      </c>
      <c r="N68" s="48">
        <v>1404.2457456469381</v>
      </c>
      <c r="O68" s="48">
        <v>1634.2046827496347</v>
      </c>
      <c r="P68" s="48">
        <v>1811.335215382793</v>
      </c>
      <c r="Q68" s="2"/>
      <c r="R68" s="2"/>
    </row>
    <row r="69" spans="1:18">
      <c r="A69" s="2" t="s">
        <v>301</v>
      </c>
      <c r="B69" s="44">
        <v>575</v>
      </c>
      <c r="C69" s="44">
        <v>574</v>
      </c>
      <c r="D69" s="44">
        <v>597</v>
      </c>
      <c r="E69" s="44">
        <v>555</v>
      </c>
      <c r="F69" s="44">
        <v>510</v>
      </c>
      <c r="G69" s="44">
        <v>538</v>
      </c>
      <c r="H69" s="44">
        <v>520</v>
      </c>
      <c r="I69" s="44">
        <v>488</v>
      </c>
      <c r="J69" s="44">
        <v>478</v>
      </c>
      <c r="K69" s="44">
        <v>471</v>
      </c>
      <c r="L69" s="44">
        <v>1194</v>
      </c>
      <c r="M69" s="48">
        <v>1194</v>
      </c>
      <c r="N69" s="48">
        <v>1194</v>
      </c>
      <c r="O69" s="48">
        <v>1194</v>
      </c>
      <c r="P69" s="48">
        <v>1194</v>
      </c>
      <c r="Q69" s="2"/>
      <c r="R69" s="2"/>
    </row>
    <row r="70" spans="1:18">
      <c r="A70" s="2" t="s">
        <v>302</v>
      </c>
      <c r="B70" s="44">
        <v>117</v>
      </c>
      <c r="C70" s="44">
        <v>84</v>
      </c>
      <c r="D70" s="44">
        <v>130</v>
      </c>
      <c r="E70" s="44">
        <v>157</v>
      </c>
      <c r="F70" s="44">
        <v>215</v>
      </c>
      <c r="G70" s="44">
        <v>206</v>
      </c>
      <c r="H70" s="44">
        <v>251</v>
      </c>
      <c r="I70" s="44">
        <v>326</v>
      </c>
      <c r="J70" s="44">
        <v>394</v>
      </c>
      <c r="K70" s="44">
        <v>388</v>
      </c>
      <c r="L70" s="44">
        <v>224</v>
      </c>
      <c r="M70" s="48">
        <v>0</v>
      </c>
      <c r="N70" s="48">
        <v>0</v>
      </c>
      <c r="O70" s="48">
        <v>53.543037345225351</v>
      </c>
      <c r="P70" s="48">
        <v>1.0434523273054825</v>
      </c>
      <c r="Q70" s="2"/>
      <c r="R70" s="2"/>
    </row>
    <row r="71" spans="1:18">
      <c r="A71" s="2" t="s">
        <v>303</v>
      </c>
      <c r="B71" s="44">
        <v>4226</v>
      </c>
      <c r="C71" s="44">
        <v>3862</v>
      </c>
      <c r="D71" s="44">
        <v>4180</v>
      </c>
      <c r="E71" s="44">
        <v>3606</v>
      </c>
      <c r="F71" s="44">
        <v>4346</v>
      </c>
      <c r="G71" s="44">
        <v>4577</v>
      </c>
      <c r="H71" s="44">
        <v>4663</v>
      </c>
      <c r="I71" s="44">
        <v>4317</v>
      </c>
      <c r="J71" s="44">
        <v>4266</v>
      </c>
      <c r="K71" s="44">
        <v>4537</v>
      </c>
      <c r="L71" s="44">
        <v>5161</v>
      </c>
      <c r="M71" s="48">
        <v>4272.1509947823506</v>
      </c>
      <c r="N71" s="48">
        <v>4619.1570074569245</v>
      </c>
      <c r="O71" s="48">
        <v>5366.5721085660853</v>
      </c>
      <c r="P71" s="48">
        <v>5495.1082479886372</v>
      </c>
      <c r="Q71" s="2"/>
      <c r="R71" s="2"/>
    </row>
    <row r="72" spans="1:18">
      <c r="A72" s="2" t="s">
        <v>62</v>
      </c>
      <c r="B72" s="44">
        <v>13769</v>
      </c>
      <c r="C72" s="44">
        <v>16248</v>
      </c>
      <c r="D72" s="44">
        <v>16669</v>
      </c>
      <c r="E72" s="44">
        <v>16936</v>
      </c>
      <c r="F72" s="44">
        <v>16309</v>
      </c>
      <c r="G72" s="44">
        <v>18103</v>
      </c>
      <c r="H72" s="44">
        <v>18972</v>
      </c>
      <c r="I72" s="44">
        <v>17728</v>
      </c>
      <c r="J72" s="44">
        <v>17816</v>
      </c>
      <c r="K72" s="44">
        <v>18931</v>
      </c>
      <c r="L72" s="44">
        <v>19502</v>
      </c>
      <c r="M72" s="48">
        <v>20484.757518248931</v>
      </c>
      <c r="N72" s="48">
        <v>21537.848975219025</v>
      </c>
      <c r="O72" s="48">
        <v>22744.881037261301</v>
      </c>
      <c r="P72" s="48">
        <v>24026.102709161532</v>
      </c>
      <c r="Q72" s="2"/>
      <c r="R72" s="2"/>
    </row>
    <row r="73" spans="1:18">
      <c r="A73" s="2" t="s">
        <v>304</v>
      </c>
      <c r="B73" s="44">
        <v>1138</v>
      </c>
      <c r="C73" s="44">
        <v>756</v>
      </c>
      <c r="D73" s="44">
        <v>783</v>
      </c>
      <c r="E73" s="44">
        <v>910</v>
      </c>
      <c r="F73" s="44">
        <v>894</v>
      </c>
      <c r="G73" s="44">
        <v>1071</v>
      </c>
      <c r="H73" s="44">
        <v>1063</v>
      </c>
      <c r="I73" s="44">
        <v>1278</v>
      </c>
      <c r="J73" s="44">
        <v>1197</v>
      </c>
      <c r="K73" s="44">
        <v>1628</v>
      </c>
      <c r="L73" s="44">
        <v>1566</v>
      </c>
      <c r="M73" s="48">
        <v>1612.2606957347205</v>
      </c>
      <c r="N73" s="48">
        <v>1676.7511235641091</v>
      </c>
      <c r="O73" s="48">
        <v>1760.588679742315</v>
      </c>
      <c r="P73" s="48">
        <v>1848.6181137294307</v>
      </c>
      <c r="Q73" s="2"/>
      <c r="R73" s="2"/>
    </row>
    <row r="74" spans="1:18">
      <c r="A74" s="2" t="s">
        <v>305</v>
      </c>
      <c r="B74" s="44">
        <v>25</v>
      </c>
      <c r="C74" s="44">
        <v>34</v>
      </c>
      <c r="D74" s="44">
        <v>30</v>
      </c>
      <c r="E74" s="44">
        <v>3</v>
      </c>
      <c r="F74" s="44">
        <v>0</v>
      </c>
      <c r="G74" s="44">
        <v>0</v>
      </c>
      <c r="H74" s="44">
        <v>0</v>
      </c>
      <c r="I74" s="44">
        <v>0</v>
      </c>
      <c r="J74" s="44">
        <v>0</v>
      </c>
      <c r="K74" s="44">
        <v>0</v>
      </c>
      <c r="L74" s="44">
        <v>0</v>
      </c>
      <c r="M74" s="48">
        <v>0</v>
      </c>
      <c r="N74" s="48">
        <v>0</v>
      </c>
      <c r="O74" s="48">
        <v>0</v>
      </c>
      <c r="P74" s="48">
        <v>0</v>
      </c>
      <c r="Q74" s="2"/>
      <c r="R74" s="2"/>
    </row>
    <row r="75" spans="1:18">
      <c r="A75" s="2" t="s">
        <v>306</v>
      </c>
      <c r="B75" s="44">
        <v>0</v>
      </c>
      <c r="C75" s="44">
        <v>0</v>
      </c>
      <c r="D75" s="44">
        <v>0</v>
      </c>
      <c r="E75" s="44">
        <v>0</v>
      </c>
      <c r="F75" s="44">
        <v>0</v>
      </c>
      <c r="G75" s="44">
        <v>0</v>
      </c>
      <c r="H75" s="44">
        <v>0</v>
      </c>
      <c r="I75" s="44">
        <v>0</v>
      </c>
      <c r="J75" s="44">
        <v>0</v>
      </c>
      <c r="K75" s="44">
        <v>0</v>
      </c>
      <c r="L75" s="44">
        <v>0</v>
      </c>
      <c r="M75" s="48">
        <v>0</v>
      </c>
      <c r="N75" s="48">
        <v>0</v>
      </c>
      <c r="O75" s="48">
        <v>0</v>
      </c>
      <c r="P75" s="48">
        <v>0</v>
      </c>
      <c r="Q75" s="2"/>
      <c r="R75" s="2"/>
    </row>
    <row r="76" spans="1:18">
      <c r="A76" s="2" t="s">
        <v>307</v>
      </c>
      <c r="B76" s="44">
        <v>0</v>
      </c>
      <c r="C76" s="44">
        <v>0</v>
      </c>
      <c r="D76" s="44">
        <v>0</v>
      </c>
      <c r="E76" s="44">
        <v>0</v>
      </c>
      <c r="F76" s="44">
        <v>168</v>
      </c>
      <c r="G76" s="44">
        <v>176</v>
      </c>
      <c r="H76" s="44">
        <v>192</v>
      </c>
      <c r="I76" s="44">
        <v>181</v>
      </c>
      <c r="J76" s="44">
        <v>180</v>
      </c>
      <c r="K76" s="44">
        <v>182</v>
      </c>
      <c r="L76" s="44">
        <v>193</v>
      </c>
      <c r="M76" s="48">
        <v>198.70135011289977</v>
      </c>
      <c r="N76" s="48">
        <v>206.64940411741577</v>
      </c>
      <c r="O76" s="48">
        <v>216.98187432328658</v>
      </c>
      <c r="P76" s="48">
        <v>227.83096803945091</v>
      </c>
      <c r="Q76" s="2"/>
      <c r="R76" s="2"/>
    </row>
    <row r="77" spans="1:18">
      <c r="A77" s="38" t="s">
        <v>308</v>
      </c>
      <c r="B77" s="62">
        <v>349</v>
      </c>
      <c r="C77" s="62">
        <v>448</v>
      </c>
      <c r="D77" s="62">
        <v>600</v>
      </c>
      <c r="E77" s="62">
        <v>706</v>
      </c>
      <c r="F77" s="62">
        <v>809</v>
      </c>
      <c r="G77" s="62">
        <v>838</v>
      </c>
      <c r="H77" s="62">
        <v>1015</v>
      </c>
      <c r="I77" s="62">
        <v>1103</v>
      </c>
      <c r="J77" s="62">
        <v>1003</v>
      </c>
      <c r="K77" s="62">
        <v>1000</v>
      </c>
      <c r="L77" s="62">
        <v>1183</v>
      </c>
      <c r="M77" s="68">
        <v>1217.9466175314012</v>
      </c>
      <c r="N77" s="68">
        <v>1266.6644822326573</v>
      </c>
      <c r="O77" s="68">
        <v>1329.9977063442905</v>
      </c>
      <c r="P77" s="68">
        <v>1396.4975916615047</v>
      </c>
      <c r="Q77" s="2"/>
      <c r="R77" s="2"/>
    </row>
    <row r="78" spans="1:18">
      <c r="A78" s="2" t="s">
        <v>309</v>
      </c>
      <c r="B78" s="44">
        <v>205</v>
      </c>
      <c r="C78" s="44">
        <v>216</v>
      </c>
      <c r="D78" s="44">
        <v>313</v>
      </c>
      <c r="E78" s="44">
        <v>346</v>
      </c>
      <c r="F78" s="44">
        <v>386</v>
      </c>
      <c r="G78" s="44">
        <v>497</v>
      </c>
      <c r="H78" s="44">
        <v>480</v>
      </c>
      <c r="I78" s="44">
        <v>467</v>
      </c>
      <c r="J78" s="44">
        <v>437</v>
      </c>
      <c r="K78" s="44">
        <v>471</v>
      </c>
      <c r="L78" s="44">
        <v>474</v>
      </c>
      <c r="M78" s="48">
        <v>488.00227955188853</v>
      </c>
      <c r="N78" s="48">
        <v>507.52237073396412</v>
      </c>
      <c r="O78" s="48">
        <v>532.89848927066237</v>
      </c>
      <c r="P78" s="48">
        <v>559.5434137341955</v>
      </c>
      <c r="Q78" s="2"/>
      <c r="R78" s="2"/>
    </row>
    <row r="79" spans="1:18">
      <c r="A79" s="2" t="s">
        <v>310</v>
      </c>
      <c r="B79" s="44">
        <v>247</v>
      </c>
      <c r="C79" s="44">
        <v>287</v>
      </c>
      <c r="D79" s="44">
        <v>310</v>
      </c>
      <c r="E79" s="44">
        <v>341</v>
      </c>
      <c r="F79" s="44">
        <v>364</v>
      </c>
      <c r="G79" s="44">
        <v>476</v>
      </c>
      <c r="H79" s="44">
        <v>503</v>
      </c>
      <c r="I79" s="44">
        <v>495</v>
      </c>
      <c r="J79" s="44">
        <v>542</v>
      </c>
      <c r="K79" s="44">
        <v>571</v>
      </c>
      <c r="L79" s="44">
        <v>592</v>
      </c>
      <c r="M79" s="48">
        <v>609.4880791027806</v>
      </c>
      <c r="N79" s="48">
        <v>633.86760226689194</v>
      </c>
      <c r="O79" s="48">
        <v>665.56098238023651</v>
      </c>
      <c r="P79" s="48">
        <v>698.83903149924834</v>
      </c>
      <c r="Q79" s="2"/>
      <c r="R79" s="2"/>
    </row>
    <row r="80" spans="1:18">
      <c r="A80" s="2" t="s">
        <v>311</v>
      </c>
      <c r="B80" s="44">
        <v>17</v>
      </c>
      <c r="C80" s="44">
        <v>10</v>
      </c>
      <c r="D80" s="44">
        <v>37</v>
      </c>
      <c r="E80" s="44">
        <v>35</v>
      </c>
      <c r="F80" s="44">
        <v>39</v>
      </c>
      <c r="G80" s="44">
        <v>189</v>
      </c>
      <c r="H80" s="44">
        <v>186</v>
      </c>
      <c r="I80" s="44">
        <v>42</v>
      </c>
      <c r="J80" s="44">
        <v>17</v>
      </c>
      <c r="K80" s="44">
        <v>21</v>
      </c>
      <c r="L80" s="44">
        <v>146</v>
      </c>
      <c r="M80" s="48">
        <v>150.31293842737497</v>
      </c>
      <c r="N80" s="48">
        <v>156.32545596446994</v>
      </c>
      <c r="O80" s="48">
        <v>164.14172876269348</v>
      </c>
      <c r="P80" s="48">
        <v>172.34881520082817</v>
      </c>
      <c r="Q80" s="2"/>
      <c r="R80" s="2"/>
    </row>
    <row r="81" spans="1:18">
      <c r="A81" s="2" t="s">
        <v>312</v>
      </c>
      <c r="B81" s="44">
        <v>122</v>
      </c>
      <c r="C81" s="44">
        <v>218</v>
      </c>
      <c r="D81" s="44">
        <v>219</v>
      </c>
      <c r="E81" s="44">
        <v>386</v>
      </c>
      <c r="F81" s="44">
        <v>492</v>
      </c>
      <c r="G81" s="44">
        <v>850</v>
      </c>
      <c r="H81" s="44">
        <v>1046</v>
      </c>
      <c r="I81" s="44">
        <v>1136</v>
      </c>
      <c r="J81" s="44">
        <v>1371</v>
      </c>
      <c r="K81" s="44">
        <v>1488</v>
      </c>
      <c r="L81" s="44">
        <v>1559</v>
      </c>
      <c r="M81" s="48">
        <v>1605.0539110155999</v>
      </c>
      <c r="N81" s="48">
        <v>1669.2560674562237</v>
      </c>
      <c r="O81" s="48">
        <v>1752.718870829035</v>
      </c>
      <c r="P81" s="48">
        <v>1840.3548143704868</v>
      </c>
      <c r="Q81" s="2"/>
      <c r="R81" s="2"/>
    </row>
    <row r="82" spans="1:18">
      <c r="A82" s="2" t="s">
        <v>313</v>
      </c>
      <c r="B82" s="44">
        <v>247</v>
      </c>
      <c r="C82" s="44">
        <v>269</v>
      </c>
      <c r="D82" s="44">
        <v>450</v>
      </c>
      <c r="E82" s="44">
        <v>468</v>
      </c>
      <c r="F82" s="44">
        <v>435</v>
      </c>
      <c r="G82" s="44">
        <v>554</v>
      </c>
      <c r="H82" s="44">
        <v>1108</v>
      </c>
      <c r="I82" s="44">
        <v>595</v>
      </c>
      <c r="J82" s="44">
        <v>782</v>
      </c>
      <c r="K82" s="44">
        <v>841</v>
      </c>
      <c r="L82" s="44">
        <v>726</v>
      </c>
      <c r="M82" s="48">
        <v>747.44652944023426</v>
      </c>
      <c r="N82" s="48">
        <v>777.34439061784383</v>
      </c>
      <c r="O82" s="48">
        <v>816.2116101487361</v>
      </c>
      <c r="P82" s="48">
        <v>857.02219065617294</v>
      </c>
      <c r="Q82" s="2"/>
      <c r="R82" s="2"/>
    </row>
    <row r="83" spans="1:18">
      <c r="A83" s="2" t="s">
        <v>314</v>
      </c>
      <c r="B83" s="44">
        <v>2350</v>
      </c>
      <c r="C83" s="44">
        <v>2238</v>
      </c>
      <c r="D83" s="44">
        <v>2742</v>
      </c>
      <c r="E83" s="44">
        <v>3195</v>
      </c>
      <c r="F83" s="44">
        <v>3587</v>
      </c>
      <c r="G83" s="44">
        <v>4651</v>
      </c>
      <c r="H83" s="44">
        <v>5593</v>
      </c>
      <c r="I83" s="44">
        <v>5297</v>
      </c>
      <c r="J83" s="44">
        <v>5529</v>
      </c>
      <c r="K83" s="44">
        <v>6202</v>
      </c>
      <c r="L83" s="44">
        <v>6439</v>
      </c>
      <c r="M83" s="48">
        <v>6629.2124009168992</v>
      </c>
      <c r="N83" s="48">
        <v>6894.3808969535758</v>
      </c>
      <c r="O83" s="48">
        <v>7239.0999418012561</v>
      </c>
      <c r="P83" s="48">
        <v>7601.0549388913178</v>
      </c>
      <c r="Q83" s="2"/>
      <c r="R83" s="2"/>
    </row>
    <row r="84" spans="1:18">
      <c r="A84" s="38" t="s">
        <v>315</v>
      </c>
      <c r="B84" s="62">
        <v>12</v>
      </c>
      <c r="C84" s="62">
        <v>11</v>
      </c>
      <c r="D84" s="62">
        <v>8</v>
      </c>
      <c r="E84" s="62">
        <v>6</v>
      </c>
      <c r="F84" s="62">
        <v>0</v>
      </c>
      <c r="G84" s="62">
        <v>0</v>
      </c>
      <c r="H84" s="62">
        <v>0</v>
      </c>
      <c r="I84" s="62">
        <v>0</v>
      </c>
      <c r="J84" s="62">
        <v>0</v>
      </c>
      <c r="K84" s="62">
        <v>0</v>
      </c>
      <c r="L84" s="62">
        <v>0</v>
      </c>
      <c r="M84" s="68">
        <v>0</v>
      </c>
      <c r="N84" s="68">
        <v>0</v>
      </c>
      <c r="O84" s="68">
        <v>0</v>
      </c>
      <c r="P84" s="68">
        <v>0</v>
      </c>
      <c r="Q84" s="2"/>
      <c r="R84" s="2"/>
    </row>
    <row r="85" spans="1:18" ht="7.95" customHeight="1">
      <c r="A85" s="2" t="s">
        <v>316</v>
      </c>
      <c r="B85" s="44">
        <v>0</v>
      </c>
      <c r="C85" s="44">
        <v>0</v>
      </c>
      <c r="D85" s="44">
        <v>0</v>
      </c>
      <c r="E85" s="44">
        <v>0</v>
      </c>
      <c r="F85" s="44">
        <v>0</v>
      </c>
      <c r="G85" s="44">
        <v>0</v>
      </c>
      <c r="H85" s="44">
        <v>0</v>
      </c>
      <c r="I85" s="44">
        <v>0</v>
      </c>
      <c r="J85" s="44">
        <v>0</v>
      </c>
      <c r="K85" s="44">
        <v>0</v>
      </c>
      <c r="L85" s="44">
        <v>13.331823567775084</v>
      </c>
      <c r="M85" s="48">
        <v>13.725654623750701</v>
      </c>
      <c r="N85" s="48">
        <v>14.27468080870073</v>
      </c>
      <c r="O85" s="48">
        <v>14.988414849135768</v>
      </c>
      <c r="P85" s="48">
        <v>15.737835591592557</v>
      </c>
      <c r="Q85" s="2"/>
      <c r="R85" s="2"/>
    </row>
    <row r="86" spans="1:18">
      <c r="A86" s="2" t="s">
        <v>317</v>
      </c>
      <c r="B86" s="44">
        <v>0</v>
      </c>
      <c r="C86" s="44">
        <v>0</v>
      </c>
      <c r="D86" s="44">
        <v>0</v>
      </c>
      <c r="E86" s="44">
        <v>0</v>
      </c>
      <c r="F86" s="44">
        <v>915</v>
      </c>
      <c r="G86" s="44">
        <v>886</v>
      </c>
      <c r="H86" s="44">
        <v>841</v>
      </c>
      <c r="I86" s="44">
        <v>754</v>
      </c>
      <c r="J86" s="44">
        <v>781</v>
      </c>
      <c r="K86" s="44">
        <v>917</v>
      </c>
      <c r="L86" s="44">
        <v>999</v>
      </c>
      <c r="M86" s="48">
        <v>1028.5111334859423</v>
      </c>
      <c r="N86" s="48">
        <v>1069.6515788253801</v>
      </c>
      <c r="O86" s="48">
        <v>1123.1341577666492</v>
      </c>
      <c r="P86" s="48">
        <v>1179.2908656549814</v>
      </c>
      <c r="Q86" s="2"/>
      <c r="R86" s="2"/>
    </row>
    <row r="87" spans="1:18">
      <c r="A87" s="2" t="s">
        <v>318</v>
      </c>
      <c r="B87" s="44">
        <v>74</v>
      </c>
      <c r="C87" s="44">
        <v>70</v>
      </c>
      <c r="D87" s="44">
        <v>77</v>
      </c>
      <c r="E87" s="44">
        <v>42</v>
      </c>
      <c r="F87" s="44">
        <v>39</v>
      </c>
      <c r="G87" s="44">
        <v>38</v>
      </c>
      <c r="H87" s="44">
        <v>76</v>
      </c>
      <c r="I87" s="44">
        <v>44</v>
      </c>
      <c r="J87" s="44">
        <v>44</v>
      </c>
      <c r="K87" s="44">
        <v>80</v>
      </c>
      <c r="L87" s="44">
        <v>61.668176432224918</v>
      </c>
      <c r="M87" s="48">
        <v>63.489895938256986</v>
      </c>
      <c r="N87" s="48">
        <v>66.029491775787264</v>
      </c>
      <c r="O87" s="48">
        <v>69.330966364576639</v>
      </c>
      <c r="P87" s="48">
        <v>72.79751468280547</v>
      </c>
      <c r="Q87" s="2"/>
      <c r="R87" s="2"/>
    </row>
    <row r="88" spans="1:18">
      <c r="A88" s="2" t="s">
        <v>319</v>
      </c>
      <c r="B88" s="44">
        <v>0</v>
      </c>
      <c r="C88" s="44">
        <v>0</v>
      </c>
      <c r="D88" s="44">
        <v>77</v>
      </c>
      <c r="E88" s="44">
        <v>122</v>
      </c>
      <c r="F88" s="44">
        <v>92</v>
      </c>
      <c r="G88" s="44">
        <v>163</v>
      </c>
      <c r="H88" s="44">
        <v>147</v>
      </c>
      <c r="I88" s="44">
        <v>122</v>
      </c>
      <c r="J88" s="44">
        <v>58</v>
      </c>
      <c r="K88" s="44">
        <v>61</v>
      </c>
      <c r="L88" s="44">
        <v>68</v>
      </c>
      <c r="M88" s="48">
        <v>70.008765842886959</v>
      </c>
      <c r="N88" s="48">
        <f t="shared" ref="N88:P88" si="7">M88</f>
        <v>70.008765842886959</v>
      </c>
      <c r="O88" s="48">
        <f t="shared" si="7"/>
        <v>70.008765842886959</v>
      </c>
      <c r="P88" s="48">
        <f t="shared" si="7"/>
        <v>70.008765842886959</v>
      </c>
      <c r="Q88" s="2"/>
      <c r="R88" s="2"/>
    </row>
    <row r="89" spans="1:18">
      <c r="A89" s="2" t="s">
        <v>320</v>
      </c>
      <c r="B89" s="44">
        <v>36</v>
      </c>
      <c r="C89" s="44">
        <v>38</v>
      </c>
      <c r="D89" s="44">
        <v>45</v>
      </c>
      <c r="E89" s="44">
        <v>48</v>
      </c>
      <c r="F89" s="44">
        <v>55</v>
      </c>
      <c r="G89" s="44">
        <v>102</v>
      </c>
      <c r="H89" s="44">
        <v>89</v>
      </c>
      <c r="I89" s="44">
        <v>66</v>
      </c>
      <c r="J89" s="44">
        <v>82</v>
      </c>
      <c r="K89" s="44">
        <v>98</v>
      </c>
      <c r="L89" s="44">
        <v>102</v>
      </c>
      <c r="M89" s="48">
        <v>105.01314876433045</v>
      </c>
      <c r="N89" s="48">
        <v>109.21367471490368</v>
      </c>
      <c r="O89" s="48">
        <v>114.67435845064887</v>
      </c>
      <c r="P89" s="48">
        <v>120.4080763731813</v>
      </c>
      <c r="Q89" s="2"/>
      <c r="R89" s="2"/>
    </row>
    <row r="90" spans="1:18">
      <c r="A90" s="2" t="s">
        <v>321</v>
      </c>
      <c r="B90" s="44">
        <v>6</v>
      </c>
      <c r="C90" s="44">
        <v>6</v>
      </c>
      <c r="D90" s="44">
        <v>4</v>
      </c>
      <c r="E90" s="44">
        <v>0</v>
      </c>
      <c r="F90" s="44">
        <v>0</v>
      </c>
      <c r="G90" s="44">
        <v>0</v>
      </c>
      <c r="H90" s="44">
        <v>0</v>
      </c>
      <c r="I90" s="44">
        <v>0</v>
      </c>
      <c r="J90" s="44">
        <v>0</v>
      </c>
      <c r="K90" s="44">
        <v>0</v>
      </c>
      <c r="L90" s="44">
        <v>0</v>
      </c>
      <c r="M90" s="48">
        <v>0</v>
      </c>
      <c r="N90" s="48">
        <v>0</v>
      </c>
      <c r="O90" s="48">
        <v>0</v>
      </c>
      <c r="P90" s="48">
        <v>0</v>
      </c>
      <c r="Q90" s="2"/>
      <c r="R90" s="2"/>
    </row>
    <row r="91" spans="1:18">
      <c r="A91" s="2" t="s">
        <v>322</v>
      </c>
      <c r="B91" s="44">
        <v>122</v>
      </c>
      <c r="C91" s="44">
        <v>142</v>
      </c>
      <c r="D91" s="44">
        <v>180</v>
      </c>
      <c r="E91" s="44">
        <v>151</v>
      </c>
      <c r="F91" s="44">
        <v>103</v>
      </c>
      <c r="G91" s="44">
        <v>104</v>
      </c>
      <c r="H91" s="44">
        <v>78</v>
      </c>
      <c r="I91" s="44">
        <v>96</v>
      </c>
      <c r="J91" s="44">
        <v>117</v>
      </c>
      <c r="K91" s="44">
        <v>114</v>
      </c>
      <c r="L91" s="44">
        <v>127</v>
      </c>
      <c r="M91" s="48">
        <v>130.75166561833299</v>
      </c>
      <c r="N91" s="48">
        <v>135.98173224306632</v>
      </c>
      <c r="O91" s="48">
        <v>142.78081885521968</v>
      </c>
      <c r="P91" s="48">
        <v>149.91985979798065</v>
      </c>
      <c r="Q91" s="2"/>
      <c r="R91" s="2"/>
    </row>
    <row r="92" spans="1:18">
      <c r="A92" s="38" t="s">
        <v>323</v>
      </c>
      <c r="B92" s="62">
        <v>67</v>
      </c>
      <c r="C92" s="62">
        <v>67</v>
      </c>
      <c r="D92" s="62">
        <v>60</v>
      </c>
      <c r="E92" s="62">
        <v>60</v>
      </c>
      <c r="F92" s="62">
        <v>0</v>
      </c>
      <c r="G92" s="62">
        <v>0</v>
      </c>
      <c r="H92" s="62">
        <v>0</v>
      </c>
      <c r="I92" s="62">
        <v>0</v>
      </c>
      <c r="J92" s="62">
        <v>0</v>
      </c>
      <c r="K92" s="62">
        <v>0</v>
      </c>
      <c r="L92" s="62">
        <v>0</v>
      </c>
      <c r="M92" s="68">
        <v>63.473684210530791</v>
      </c>
      <c r="N92" s="68">
        <v>41.684210526320726</v>
      </c>
      <c r="O92" s="68">
        <v>0</v>
      </c>
      <c r="P92" s="68">
        <v>1.1368683772161603E-13</v>
      </c>
      <c r="Q92" s="2"/>
      <c r="R92" s="2"/>
    </row>
    <row r="93" spans="1:18">
      <c r="A93" s="2" t="s">
        <v>324</v>
      </c>
      <c r="B93" s="44">
        <v>317</v>
      </c>
      <c r="C93" s="44">
        <v>334</v>
      </c>
      <c r="D93" s="44">
        <v>451</v>
      </c>
      <c r="E93" s="44">
        <v>429</v>
      </c>
      <c r="F93" s="44">
        <v>1204</v>
      </c>
      <c r="G93" s="44">
        <v>1293</v>
      </c>
      <c r="H93" s="44">
        <v>1231</v>
      </c>
      <c r="I93" s="44">
        <v>1082</v>
      </c>
      <c r="J93" s="44">
        <v>1082</v>
      </c>
      <c r="K93" s="44">
        <v>1270</v>
      </c>
      <c r="L93" s="44">
        <v>1371</v>
      </c>
      <c r="M93" s="48">
        <v>1474.9739484840311</v>
      </c>
      <c r="N93" s="48">
        <v>1509.6444853707608</v>
      </c>
      <c r="O93" s="48">
        <v>1541.3582885866629</v>
      </c>
      <c r="P93" s="48">
        <v>1618.4262030159957</v>
      </c>
      <c r="Q93" s="2"/>
      <c r="R93" s="2"/>
    </row>
    <row r="94" spans="1:18">
      <c r="A94" s="2" t="s">
        <v>66</v>
      </c>
      <c r="B94" s="44">
        <v>2667.1</v>
      </c>
      <c r="C94" s="44">
        <v>2572</v>
      </c>
      <c r="D94" s="44">
        <v>3193</v>
      </c>
      <c r="E94" s="44">
        <v>3624</v>
      </c>
      <c r="F94" s="44">
        <v>4791</v>
      </c>
      <c r="G94" s="44">
        <v>5944</v>
      </c>
      <c r="H94" s="44">
        <v>6824</v>
      </c>
      <c r="I94" s="44">
        <v>6379</v>
      </c>
      <c r="J94" s="44">
        <v>6611</v>
      </c>
      <c r="K94" s="44">
        <v>7472</v>
      </c>
      <c r="L94" s="44">
        <v>7810</v>
      </c>
      <c r="M94" s="48">
        <v>8104.1863494009303</v>
      </c>
      <c r="N94" s="48">
        <v>8404.0253823243365</v>
      </c>
      <c r="O94" s="48">
        <v>8780.4582303879197</v>
      </c>
      <c r="P94" s="48">
        <v>9219.4811419073139</v>
      </c>
      <c r="Q94" s="2"/>
      <c r="R94" s="2"/>
    </row>
    <row r="95" spans="1:18">
      <c r="A95" s="38" t="s">
        <v>67</v>
      </c>
      <c r="B95" s="62">
        <v>44</v>
      </c>
      <c r="C95" s="62">
        <v>44</v>
      </c>
      <c r="D95" s="62">
        <v>43</v>
      </c>
      <c r="E95" s="62">
        <v>70</v>
      </c>
      <c r="F95" s="62">
        <v>70</v>
      </c>
      <c r="G95" s="62">
        <v>69</v>
      </c>
      <c r="H95" s="62">
        <v>68</v>
      </c>
      <c r="I95" s="62">
        <v>68</v>
      </c>
      <c r="J95" s="62">
        <v>68</v>
      </c>
      <c r="K95" s="62">
        <v>68</v>
      </c>
      <c r="L95" s="62">
        <v>68</v>
      </c>
      <c r="M95" s="68">
        <v>68</v>
      </c>
      <c r="N95" s="68">
        <v>68</v>
      </c>
      <c r="O95" s="68">
        <v>68</v>
      </c>
      <c r="P95" s="68">
        <v>68</v>
      </c>
      <c r="Q95" s="2"/>
      <c r="R95" s="2"/>
    </row>
    <row r="96" spans="1:18">
      <c r="A96" s="2" t="s">
        <v>325</v>
      </c>
      <c r="B96" s="44">
        <v>911</v>
      </c>
      <c r="C96" s="44">
        <v>911</v>
      </c>
      <c r="D96" s="44">
        <v>0</v>
      </c>
      <c r="E96" s="44">
        <v>0</v>
      </c>
      <c r="F96" s="44">
        <v>0</v>
      </c>
      <c r="G96" s="44">
        <v>0</v>
      </c>
      <c r="H96" s="44">
        <v>0</v>
      </c>
      <c r="I96" s="44">
        <v>0</v>
      </c>
      <c r="J96" s="44">
        <v>0</v>
      </c>
      <c r="K96" s="44">
        <v>0</v>
      </c>
      <c r="L96" s="44">
        <v>0</v>
      </c>
      <c r="M96" s="48">
        <v>0</v>
      </c>
      <c r="N96" s="48">
        <v>0</v>
      </c>
      <c r="O96" s="48">
        <v>0</v>
      </c>
      <c r="P96" s="48">
        <v>0</v>
      </c>
      <c r="Q96" s="2"/>
      <c r="R96" s="2"/>
    </row>
    <row r="97" spans="1:18">
      <c r="A97" s="38" t="s">
        <v>326</v>
      </c>
      <c r="B97" s="62">
        <v>12499</v>
      </c>
      <c r="C97" s="62">
        <v>14738</v>
      </c>
      <c r="D97" s="62">
        <v>15284</v>
      </c>
      <c r="E97" s="62">
        <v>15973</v>
      </c>
      <c r="F97" s="62">
        <v>15034</v>
      </c>
      <c r="G97" s="62">
        <v>15144</v>
      </c>
      <c r="H97" s="62">
        <v>14943</v>
      </c>
      <c r="I97" s="62">
        <v>14536</v>
      </c>
      <c r="J97" s="62">
        <v>13980</v>
      </c>
      <c r="K97" s="62">
        <v>16245</v>
      </c>
      <c r="L97" s="62">
        <v>17731</v>
      </c>
      <c r="M97" s="68">
        <v>18343.32727006152</v>
      </c>
      <c r="N97" s="68">
        <v>18973.943088575881</v>
      </c>
      <c r="O97" s="68">
        <v>19634.906983829831</v>
      </c>
      <c r="P97" s="68">
        <v>20328.564378188923</v>
      </c>
      <c r="Q97" s="2"/>
      <c r="R97" s="2"/>
    </row>
    <row r="98" spans="1:18">
      <c r="A98" s="18" t="s">
        <v>327</v>
      </c>
      <c r="B98" s="46">
        <v>-2406</v>
      </c>
      <c r="C98" s="46">
        <v>-2074</v>
      </c>
      <c r="D98" s="46">
        <v>-1914</v>
      </c>
      <c r="E98" s="46">
        <v>-2800</v>
      </c>
      <c r="F98" s="46">
        <v>-3671</v>
      </c>
      <c r="G98" s="46">
        <v>-3148</v>
      </c>
      <c r="H98" s="46">
        <v>-2958</v>
      </c>
      <c r="I98" s="46">
        <v>-3352</v>
      </c>
      <c r="J98" s="46">
        <v>-2944</v>
      </c>
      <c r="K98" s="46">
        <v>-4976</v>
      </c>
      <c r="L98" s="46">
        <v>-6240</v>
      </c>
      <c r="M98" s="50">
        <v>-6240</v>
      </c>
      <c r="N98" s="50">
        <v>-6240</v>
      </c>
      <c r="O98" s="50">
        <v>-6240</v>
      </c>
      <c r="P98" s="50">
        <v>-6240</v>
      </c>
      <c r="Q98" s="2"/>
      <c r="R98" s="2"/>
    </row>
    <row r="99" spans="1:18">
      <c r="A99" s="2" t="s">
        <v>328</v>
      </c>
      <c r="B99" s="44">
        <v>11048</v>
      </c>
      <c r="C99" s="44">
        <v>13619</v>
      </c>
      <c r="D99" s="44">
        <v>13413</v>
      </c>
      <c r="E99" s="44">
        <v>13243</v>
      </c>
      <c r="F99" s="44">
        <v>11433</v>
      </c>
      <c r="G99" s="44">
        <v>12065</v>
      </c>
      <c r="H99" s="44">
        <v>12053</v>
      </c>
      <c r="I99" s="44">
        <v>11252</v>
      </c>
      <c r="J99" s="44">
        <v>11104</v>
      </c>
      <c r="K99" s="44">
        <v>11337</v>
      </c>
      <c r="L99" s="44">
        <v>11559</v>
      </c>
      <c r="M99" s="48">
        <v>12171.32727006152</v>
      </c>
      <c r="N99" s="48">
        <v>12801.943088575881</v>
      </c>
      <c r="O99" s="48">
        <v>13462.906983829831</v>
      </c>
      <c r="P99" s="48">
        <v>14156.564378188921</v>
      </c>
      <c r="Q99" s="2"/>
      <c r="R99" s="2"/>
    </row>
    <row r="100" spans="1:18">
      <c r="A100" s="112" t="s">
        <v>329</v>
      </c>
      <c r="B100" s="113">
        <v>54</v>
      </c>
      <c r="C100" s="113">
        <v>57</v>
      </c>
      <c r="D100" s="113">
        <v>63</v>
      </c>
      <c r="E100" s="113">
        <v>69</v>
      </c>
      <c r="F100" s="113">
        <v>85</v>
      </c>
      <c r="G100" s="113">
        <v>94</v>
      </c>
      <c r="H100" s="113">
        <v>95</v>
      </c>
      <c r="I100" s="113">
        <v>97</v>
      </c>
      <c r="J100" s="113">
        <v>101</v>
      </c>
      <c r="K100" s="113">
        <v>122</v>
      </c>
      <c r="L100" s="113">
        <v>133</v>
      </c>
      <c r="M100" s="115">
        <v>209.24389878648208</v>
      </c>
      <c r="N100" s="115">
        <v>331.88050431880913</v>
      </c>
      <c r="O100" s="115">
        <v>501.51582304355139</v>
      </c>
      <c r="P100" s="115">
        <v>650.05718906529899</v>
      </c>
      <c r="Q100" s="2"/>
      <c r="R100" s="2"/>
    </row>
    <row r="101" spans="1:18">
      <c r="A101" s="2" t="s">
        <v>70</v>
      </c>
      <c r="B101" s="44">
        <v>13769</v>
      </c>
      <c r="C101" s="44">
        <v>16248</v>
      </c>
      <c r="D101" s="44">
        <v>16669</v>
      </c>
      <c r="E101" s="44">
        <v>16936</v>
      </c>
      <c r="F101" s="44">
        <v>16309</v>
      </c>
      <c r="G101" s="44">
        <v>18103</v>
      </c>
      <c r="H101" s="44">
        <v>18972</v>
      </c>
      <c r="I101" s="44">
        <v>17728</v>
      </c>
      <c r="J101" s="44">
        <v>17816</v>
      </c>
      <c r="K101" s="44">
        <v>18931</v>
      </c>
      <c r="L101" s="44">
        <v>19502</v>
      </c>
      <c r="M101" s="48">
        <v>20484.757518248931</v>
      </c>
      <c r="N101" s="48">
        <v>21537.848975219025</v>
      </c>
      <c r="O101" s="48">
        <v>22744.881037261304</v>
      </c>
      <c r="P101" s="48">
        <v>24026.102709161532</v>
      </c>
      <c r="Q101" s="2"/>
      <c r="R101" s="2"/>
    </row>
    <row r="102" spans="1:18">
      <c r="A102" s="2" t="s">
        <v>330</v>
      </c>
      <c r="B102" s="44">
        <v>0</v>
      </c>
      <c r="C102" s="44">
        <v>0</v>
      </c>
      <c r="D102" s="44">
        <v>0</v>
      </c>
      <c r="E102" s="44">
        <v>0</v>
      </c>
      <c r="F102" s="44">
        <v>0</v>
      </c>
      <c r="G102" s="44">
        <v>0</v>
      </c>
      <c r="H102" s="44">
        <v>0</v>
      </c>
      <c r="I102" s="44">
        <v>0</v>
      </c>
      <c r="J102" s="44">
        <v>0</v>
      </c>
      <c r="K102" s="44">
        <v>0</v>
      </c>
      <c r="L102" s="44">
        <v>0</v>
      </c>
      <c r="M102" s="48">
        <v>0</v>
      </c>
      <c r="N102" s="48">
        <v>0</v>
      </c>
      <c r="O102" s="48">
        <v>-3.637978807091713E-12</v>
      </c>
      <c r="P102" s="48">
        <v>0</v>
      </c>
      <c r="Q102" s="2"/>
      <c r="R102" s="2"/>
    </row>
    <row r="103" spans="1:18">
      <c r="A103" s="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54"/>
      <c r="N103" s="54"/>
      <c r="O103" s="54"/>
      <c r="P103" s="54"/>
      <c r="Q103" s="2"/>
      <c r="R103" s="2"/>
    </row>
    <row r="104" spans="1:18">
      <c r="A104" s="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4"/>
      <c r="N104" s="54"/>
      <c r="O104" s="54"/>
      <c r="P104" s="54"/>
      <c r="Q104" s="2"/>
      <c r="R104" s="2"/>
    </row>
    <row r="105" spans="1:18">
      <c r="A105" s="118" t="s">
        <v>331</v>
      </c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20"/>
      <c r="N105" s="120"/>
      <c r="O105" s="120"/>
      <c r="P105" s="120"/>
      <c r="Q105" s="2"/>
      <c r="R105" s="2"/>
    </row>
    <row r="106" spans="1:18">
      <c r="A106" s="18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2"/>
      <c r="N106" s="92"/>
      <c r="O106" s="92"/>
      <c r="P106" s="92"/>
      <c r="Q106" s="2"/>
      <c r="R106" s="2"/>
    </row>
    <row r="107" spans="1:18">
      <c r="A107" s="18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2"/>
      <c r="N107" s="92"/>
      <c r="O107" s="92"/>
      <c r="P107" s="92"/>
      <c r="Q107" s="2"/>
      <c r="R107" s="2"/>
    </row>
    <row r="108" spans="1:18">
      <c r="A108" s="66" t="s">
        <v>102</v>
      </c>
      <c r="B108" s="93" t="s">
        <v>2</v>
      </c>
      <c r="C108" s="93" t="s">
        <v>3</v>
      </c>
      <c r="D108" s="93" t="s">
        <v>4</v>
      </c>
      <c r="E108" s="93" t="s">
        <v>5</v>
      </c>
      <c r="F108" s="93" t="s">
        <v>6</v>
      </c>
      <c r="G108" s="93" t="s">
        <v>7</v>
      </c>
      <c r="H108" s="93" t="s">
        <v>8</v>
      </c>
      <c r="I108" s="93" t="s">
        <v>9</v>
      </c>
      <c r="J108" s="93" t="s">
        <v>10</v>
      </c>
      <c r="K108" s="93" t="s">
        <v>11</v>
      </c>
      <c r="L108" s="93" t="s">
        <v>12</v>
      </c>
      <c r="M108" s="94" t="s">
        <v>13</v>
      </c>
      <c r="N108" s="94" t="s">
        <v>14</v>
      </c>
      <c r="O108" s="94" t="s">
        <v>15</v>
      </c>
      <c r="P108" s="94" t="s">
        <v>16</v>
      </c>
      <c r="Q108" s="2"/>
      <c r="R108" s="2"/>
    </row>
    <row r="109" spans="1:18">
      <c r="A109" s="2" t="s">
        <v>332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8"/>
      <c r="N109" s="48"/>
      <c r="O109" s="48"/>
      <c r="P109" s="48"/>
      <c r="Q109" s="2"/>
      <c r="R109" s="2"/>
    </row>
    <row r="110" spans="1:18">
      <c r="A110" s="2" t="s">
        <v>333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8"/>
      <c r="N110" s="48"/>
      <c r="O110" s="48"/>
      <c r="P110" s="48"/>
      <c r="Q110" s="2"/>
      <c r="R110" s="2"/>
    </row>
    <row r="111" spans="1:18">
      <c r="A111" s="2" t="s">
        <v>334</v>
      </c>
      <c r="B111" s="44">
        <v>3707</v>
      </c>
      <c r="C111" s="44">
        <v>3927</v>
      </c>
      <c r="D111" s="44">
        <v>4014</v>
      </c>
      <c r="E111" s="44">
        <v>4508</v>
      </c>
      <c r="F111" s="44">
        <v>4556</v>
      </c>
      <c r="G111" s="44">
        <v>4401</v>
      </c>
      <c r="H111" s="44">
        <v>5155</v>
      </c>
      <c r="I111" s="44">
        <v>5238</v>
      </c>
      <c r="J111" s="44">
        <v>5565</v>
      </c>
      <c r="K111" s="44">
        <v>5768</v>
      </c>
      <c r="L111" s="44">
        <v>5561</v>
      </c>
      <c r="M111" s="48">
        <v>6154.0429151911567</v>
      </c>
      <c r="N111" s="48">
        <v>6337.8474222548757</v>
      </c>
      <c r="O111" s="48">
        <v>6642.8532186326565</v>
      </c>
      <c r="P111" s="48">
        <v>6971.4310990863451</v>
      </c>
      <c r="Q111" s="2"/>
      <c r="R111" s="2"/>
    </row>
    <row r="112" spans="1:18">
      <c r="A112" s="2" t="s">
        <v>335</v>
      </c>
      <c r="B112" s="44">
        <v>288</v>
      </c>
      <c r="C112" s="44">
        <v>296</v>
      </c>
      <c r="D112" s="44">
        <v>312</v>
      </c>
      <c r="E112" s="44">
        <v>294</v>
      </c>
      <c r="F112" s="44">
        <v>495</v>
      </c>
      <c r="G112" s="44">
        <v>549</v>
      </c>
      <c r="H112" s="44">
        <v>617</v>
      </c>
      <c r="I112" s="44">
        <v>622</v>
      </c>
      <c r="J112" s="44">
        <v>602</v>
      </c>
      <c r="K112" s="44">
        <v>619</v>
      </c>
      <c r="L112" s="44">
        <v>626</v>
      </c>
      <c r="M112" s="48">
        <v>633.15876815571005</v>
      </c>
      <c r="N112" s="48">
        <v>654.87025543758432</v>
      </c>
      <c r="O112" s="48">
        <v>687.31384047837457</v>
      </c>
      <c r="P112" s="48">
        <v>721.36589594206464</v>
      </c>
      <c r="Q112" s="2"/>
      <c r="R112" s="2"/>
    </row>
    <row r="113" spans="1:18">
      <c r="A113" s="2" t="s">
        <v>336</v>
      </c>
      <c r="B113" s="44">
        <v>1088</v>
      </c>
      <c r="C113" s="44">
        <v>1241</v>
      </c>
      <c r="D113" s="44">
        <v>1226</v>
      </c>
      <c r="E113" s="44">
        <v>1474</v>
      </c>
      <c r="F113" s="44">
        <v>1371</v>
      </c>
      <c r="G113" s="44">
        <v>1686</v>
      </c>
      <c r="H113" s="44">
        <v>1773</v>
      </c>
      <c r="I113" s="44">
        <v>1800</v>
      </c>
      <c r="J113" s="44">
        <v>1924</v>
      </c>
      <c r="K113" s="44">
        <v>1964</v>
      </c>
      <c r="L113" s="44">
        <v>1880</v>
      </c>
      <c r="M113" s="48">
        <v>0</v>
      </c>
      <c r="N113" s="48">
        <v>0</v>
      </c>
      <c r="O113" s="48">
        <v>0</v>
      </c>
      <c r="P113" s="48">
        <v>0</v>
      </c>
      <c r="Q113" s="2"/>
      <c r="R113" s="2"/>
    </row>
    <row r="114" spans="1:18">
      <c r="A114" s="2" t="s">
        <v>337</v>
      </c>
      <c r="B114" s="44">
        <v>5083</v>
      </c>
      <c r="C114" s="44">
        <v>5464</v>
      </c>
      <c r="D114" s="44">
        <v>5552</v>
      </c>
      <c r="E114" s="44">
        <v>6276</v>
      </c>
      <c r="F114" s="44">
        <v>6422</v>
      </c>
      <c r="G114" s="44">
        <v>6636</v>
      </c>
      <c r="H114" s="44">
        <v>7545</v>
      </c>
      <c r="I114" s="44">
        <v>7660</v>
      </c>
      <c r="J114" s="44">
        <v>8091</v>
      </c>
      <c r="K114" s="44">
        <v>8351</v>
      </c>
      <c r="L114" s="44">
        <v>8067</v>
      </c>
      <c r="M114" s="48">
        <v>6787.201683346867</v>
      </c>
      <c r="N114" s="48">
        <v>6992.7176776924598</v>
      </c>
      <c r="O114" s="48">
        <v>7330.1670591110314</v>
      </c>
      <c r="P114" s="48">
        <v>7692.7969950284096</v>
      </c>
      <c r="Q114" s="2"/>
      <c r="R114" s="2"/>
    </row>
    <row r="115" spans="1:18">
      <c r="A115" s="2" t="s">
        <v>338</v>
      </c>
      <c r="B115" s="44">
        <v>-743</v>
      </c>
      <c r="C115" s="44">
        <v>-165</v>
      </c>
      <c r="D115" s="44">
        <v>-2</v>
      </c>
      <c r="E115" s="44">
        <v>-333</v>
      </c>
      <c r="F115" s="44">
        <v>-631</v>
      </c>
      <c r="G115" s="44">
        <v>148</v>
      </c>
      <c r="H115" s="44">
        <v>-353</v>
      </c>
      <c r="I115" s="44">
        <v>-544</v>
      </c>
      <c r="J115" s="44">
        <v>-919</v>
      </c>
      <c r="K115" s="44">
        <v>-430</v>
      </c>
      <c r="L115" s="44">
        <v>-307</v>
      </c>
      <c r="M115" s="48">
        <v>2835.2432990186417</v>
      </c>
      <c r="N115" s="48">
        <v>1701.0047149525135</v>
      </c>
      <c r="O115" s="48">
        <v>2156.8399807790111</v>
      </c>
      <c r="P115" s="48">
        <v>2307.4399642789831</v>
      </c>
      <c r="Q115" s="2"/>
      <c r="R115" s="2"/>
    </row>
    <row r="116" spans="1:18">
      <c r="A116" s="2" t="s">
        <v>339</v>
      </c>
      <c r="B116" s="44">
        <v>4340</v>
      </c>
      <c r="C116" s="44">
        <v>5299</v>
      </c>
      <c r="D116" s="44">
        <v>5550</v>
      </c>
      <c r="E116" s="44">
        <v>5943</v>
      </c>
      <c r="F116" s="44">
        <v>5791</v>
      </c>
      <c r="G116" s="44">
        <v>6784</v>
      </c>
      <c r="H116" s="44">
        <v>7192</v>
      </c>
      <c r="I116" s="44">
        <v>7116</v>
      </c>
      <c r="J116" s="44">
        <v>7172</v>
      </c>
      <c r="K116" s="44">
        <v>7921</v>
      </c>
      <c r="L116" s="44">
        <v>7760</v>
      </c>
      <c r="M116" s="48">
        <v>9622.4449823655086</v>
      </c>
      <c r="N116" s="48">
        <v>8693.7223926449733</v>
      </c>
      <c r="O116" s="48">
        <v>9487.0070398900425</v>
      </c>
      <c r="P116" s="48">
        <v>10000.236959307393</v>
      </c>
      <c r="Q116" s="2"/>
      <c r="R116" s="2"/>
    </row>
    <row r="117" spans="1:18">
      <c r="A117" s="2" t="s">
        <v>340</v>
      </c>
      <c r="B117" s="44">
        <v>-1154</v>
      </c>
      <c r="C117" s="44">
        <v>-1276</v>
      </c>
      <c r="D117" s="44">
        <v>-1180</v>
      </c>
      <c r="E117" s="44">
        <v>-1421</v>
      </c>
      <c r="F117" s="44">
        <v>-821</v>
      </c>
      <c r="G117" s="44">
        <v>-1228</v>
      </c>
      <c r="H117" s="44">
        <v>-1539</v>
      </c>
      <c r="I117" s="44">
        <v>-1606</v>
      </c>
      <c r="J117" s="44">
        <v>-1510</v>
      </c>
      <c r="K117" s="44">
        <v>-1843</v>
      </c>
      <c r="L117" s="44">
        <v>-1617</v>
      </c>
      <c r="M117" s="48">
        <v>-2007.8177150358415</v>
      </c>
      <c r="N117" s="48">
        <v>-2067.785763759548</v>
      </c>
      <c r="O117" s="48">
        <v>-2167.2969387050844</v>
      </c>
      <c r="P117" s="48">
        <v>-2274.4987405507177</v>
      </c>
      <c r="Q117" s="2"/>
      <c r="R117" s="2"/>
    </row>
    <row r="118" spans="1:18">
      <c r="A118" s="2" t="s">
        <v>341</v>
      </c>
      <c r="B118" s="44">
        <v>3186</v>
      </c>
      <c r="C118" s="44">
        <v>4023</v>
      </c>
      <c r="D118" s="44">
        <v>4370</v>
      </c>
      <c r="E118" s="44">
        <v>4522</v>
      </c>
      <c r="F118" s="44">
        <v>4970</v>
      </c>
      <c r="G118" s="44">
        <v>5556</v>
      </c>
      <c r="H118" s="44">
        <v>5653</v>
      </c>
      <c r="I118" s="44">
        <v>5510</v>
      </c>
      <c r="J118" s="44">
        <v>5662</v>
      </c>
      <c r="K118" s="44">
        <v>6078</v>
      </c>
      <c r="L118" s="44">
        <v>6143</v>
      </c>
      <c r="M118" s="48">
        <v>7614.6272673296662</v>
      </c>
      <c r="N118" s="48">
        <v>6625.9366288854262</v>
      </c>
      <c r="O118" s="48">
        <v>7319.7101011849591</v>
      </c>
      <c r="P118" s="48">
        <v>7725.7382187566745</v>
      </c>
      <c r="Q118" s="2"/>
      <c r="R118" s="2"/>
    </row>
    <row r="119" spans="1:18">
      <c r="A119" s="2" t="s">
        <v>342</v>
      </c>
      <c r="B119" s="44">
        <v>-300</v>
      </c>
      <c r="C119" s="44">
        <v>-297</v>
      </c>
      <c r="D119" s="44">
        <v>-289</v>
      </c>
      <c r="E119" s="44">
        <v>-319</v>
      </c>
      <c r="F119" s="44">
        <v>-453</v>
      </c>
      <c r="G119" s="44">
        <v>-430</v>
      </c>
      <c r="H119" s="44">
        <v>-400</v>
      </c>
      <c r="I119" s="44">
        <v>-384</v>
      </c>
      <c r="J119" s="44">
        <v>-324</v>
      </c>
      <c r="K119" s="44">
        <v>-465</v>
      </c>
      <c r="L119" s="44">
        <v>-480</v>
      </c>
      <c r="M119" s="48">
        <v>-807.99004307132645</v>
      </c>
      <c r="N119" s="48">
        <v>-506.31144059384883</v>
      </c>
      <c r="O119" s="48">
        <v>-700.85037451959465</v>
      </c>
      <c r="P119" s="48">
        <v>-612.48662852964515</v>
      </c>
      <c r="Q119" s="2"/>
      <c r="R119" s="2"/>
    </row>
    <row r="120" spans="1:18">
      <c r="A120" s="2" t="s">
        <v>343</v>
      </c>
      <c r="B120" s="44">
        <v>-750</v>
      </c>
      <c r="C120" s="44">
        <v>-2462</v>
      </c>
      <c r="D120" s="44">
        <v>235</v>
      </c>
      <c r="E120" s="44">
        <v>24</v>
      </c>
      <c r="F120" s="44">
        <v>1080</v>
      </c>
      <c r="G120" s="44">
        <v>-1025</v>
      </c>
      <c r="H120" s="44">
        <v>-132</v>
      </c>
      <c r="I120" s="44">
        <v>-57</v>
      </c>
      <c r="J120" s="44">
        <v>647</v>
      </c>
      <c r="K120" s="44">
        <v>-234</v>
      </c>
      <c r="L120" s="44">
        <v>-1474</v>
      </c>
      <c r="M120" s="48">
        <v>0</v>
      </c>
      <c r="N120" s="48">
        <v>0</v>
      </c>
      <c r="O120" s="48">
        <v>0</v>
      </c>
      <c r="P120" s="48">
        <v>0</v>
      </c>
      <c r="Q120" s="2"/>
      <c r="R120" s="2"/>
    </row>
    <row r="121" spans="1:18">
      <c r="A121" s="2" t="s">
        <v>344</v>
      </c>
      <c r="B121" s="44">
        <v>-1050</v>
      </c>
      <c r="C121" s="44">
        <v>-2759</v>
      </c>
      <c r="D121" s="44">
        <v>-54</v>
      </c>
      <c r="E121" s="44">
        <v>-295</v>
      </c>
      <c r="F121" s="44">
        <v>627</v>
      </c>
      <c r="G121" s="44">
        <v>-1455</v>
      </c>
      <c r="H121" s="44">
        <v>-532</v>
      </c>
      <c r="I121" s="44">
        <v>-441</v>
      </c>
      <c r="J121" s="44">
        <v>323</v>
      </c>
      <c r="K121" s="44">
        <v>-699</v>
      </c>
      <c r="L121" s="44">
        <v>-1954</v>
      </c>
      <c r="M121" s="48">
        <v>-807.99004307132645</v>
      </c>
      <c r="N121" s="48">
        <v>-506.31144059384883</v>
      </c>
      <c r="O121" s="48">
        <v>-700.85037451959465</v>
      </c>
      <c r="P121" s="48">
        <v>-612.48662852964515</v>
      </c>
      <c r="Q121" s="2"/>
      <c r="R121" s="2"/>
    </row>
    <row r="122" spans="1:18">
      <c r="A122" s="2" t="s">
        <v>345</v>
      </c>
      <c r="B122" s="44">
        <v>-1499</v>
      </c>
      <c r="C122" s="44">
        <v>-1635</v>
      </c>
      <c r="D122" s="44">
        <v>-4169</v>
      </c>
      <c r="E122" s="44">
        <v>-3891</v>
      </c>
      <c r="F122" s="44">
        <v>-5476</v>
      </c>
      <c r="G122" s="44">
        <v>-4350</v>
      </c>
      <c r="H122" s="44">
        <v>-4375</v>
      </c>
      <c r="I122" s="44">
        <v>-5849</v>
      </c>
      <c r="J122" s="44">
        <v>-5767</v>
      </c>
      <c r="K122" s="44">
        <v>-5453</v>
      </c>
      <c r="L122" s="44">
        <v>-4611</v>
      </c>
      <c r="M122" s="48">
        <v>-5389.6822726589435</v>
      </c>
      <c r="N122" s="48">
        <v>-5433.0160508397676</v>
      </c>
      <c r="O122" s="48">
        <v>-5584.8855836013336</v>
      </c>
      <c r="P122" s="48">
        <v>-5939.75865449498</v>
      </c>
      <c r="Q122" s="2"/>
      <c r="R122" s="2"/>
    </row>
    <row r="123" spans="1:18">
      <c r="A123" s="2" t="s">
        <v>44</v>
      </c>
      <c r="B123" s="44">
        <v>637</v>
      </c>
      <c r="C123" s="44">
        <v>-371</v>
      </c>
      <c r="D123" s="44">
        <v>147</v>
      </c>
      <c r="E123" s="44">
        <v>336</v>
      </c>
      <c r="F123" s="44">
        <v>121</v>
      </c>
      <c r="G123" s="44">
        <v>-249</v>
      </c>
      <c r="H123" s="44">
        <v>746</v>
      </c>
      <c r="I123" s="44">
        <v>-780</v>
      </c>
      <c r="J123" s="44">
        <v>218</v>
      </c>
      <c r="K123" s="44">
        <v>-74</v>
      </c>
      <c r="L123" s="44">
        <v>-422</v>
      </c>
      <c r="M123" s="48">
        <v>1416.9549515993967</v>
      </c>
      <c r="N123" s="48">
        <v>686.60913745181006</v>
      </c>
      <c r="O123" s="48">
        <v>1033.9741430640306</v>
      </c>
      <c r="P123" s="48">
        <v>1173.4929357320498</v>
      </c>
      <c r="Q123" s="2"/>
      <c r="R123" s="2"/>
    </row>
    <row r="124" spans="1:18">
      <c r="A124" s="2" t="s">
        <v>346</v>
      </c>
      <c r="B124" s="44">
        <v>15</v>
      </c>
      <c r="C124" s="44">
        <v>-24</v>
      </c>
      <c r="D124" s="44">
        <v>49</v>
      </c>
      <c r="E124" s="44">
        <v>-42</v>
      </c>
      <c r="F124" s="44">
        <v>-20</v>
      </c>
      <c r="G124" s="44">
        <v>37</v>
      </c>
      <c r="H124" s="44">
        <v>-30</v>
      </c>
      <c r="I124" s="44">
        <v>-4</v>
      </c>
      <c r="J124" s="44">
        <v>-3</v>
      </c>
      <c r="K124" s="44">
        <v>-31</v>
      </c>
      <c r="L124" s="44">
        <v>124</v>
      </c>
      <c r="M124" s="48">
        <v>0</v>
      </c>
      <c r="N124" s="48">
        <v>0</v>
      </c>
      <c r="O124" s="48">
        <v>0</v>
      </c>
      <c r="P124" s="48">
        <v>0</v>
      </c>
      <c r="Q124" s="2"/>
      <c r="R124" s="2"/>
    </row>
    <row r="125" spans="1:18">
      <c r="A125" s="2" t="s">
        <v>347</v>
      </c>
      <c r="B125" s="44">
        <v>298</v>
      </c>
      <c r="C125" s="44">
        <v>950</v>
      </c>
      <c r="D125" s="44">
        <v>555</v>
      </c>
      <c r="E125" s="44">
        <v>751</v>
      </c>
      <c r="F125" s="44">
        <v>1045</v>
      </c>
      <c r="G125" s="44">
        <v>1146</v>
      </c>
      <c r="H125" s="44">
        <v>934</v>
      </c>
      <c r="I125" s="44">
        <v>1650</v>
      </c>
      <c r="J125" s="44">
        <v>866</v>
      </c>
      <c r="K125" s="44">
        <v>1081</v>
      </c>
      <c r="L125" s="44">
        <v>976</v>
      </c>
      <c r="M125" s="48">
        <v>678</v>
      </c>
      <c r="N125" s="48">
        <v>2094.9549515993967</v>
      </c>
      <c r="O125" s="48">
        <v>2781.5640890512068</v>
      </c>
      <c r="P125" s="48">
        <v>3815.5382321152374</v>
      </c>
      <c r="Q125" s="2"/>
      <c r="R125" s="2"/>
    </row>
    <row r="126" spans="1:18">
      <c r="A126" s="2" t="s">
        <v>348</v>
      </c>
      <c r="B126" s="44">
        <v>950</v>
      </c>
      <c r="C126" s="44">
        <v>555</v>
      </c>
      <c r="D126" s="44">
        <v>751</v>
      </c>
      <c r="E126" s="44">
        <v>1045</v>
      </c>
      <c r="F126" s="44">
        <v>1146</v>
      </c>
      <c r="G126" s="44">
        <v>934</v>
      </c>
      <c r="H126" s="44">
        <v>1650</v>
      </c>
      <c r="I126" s="44">
        <v>866</v>
      </c>
      <c r="J126" s="44">
        <v>1081</v>
      </c>
      <c r="K126" s="44">
        <v>976</v>
      </c>
      <c r="L126" s="44">
        <v>678</v>
      </c>
      <c r="M126" s="48">
        <v>2094.9549515993967</v>
      </c>
      <c r="N126" s="48">
        <v>2781.5640890512068</v>
      </c>
      <c r="O126" s="48">
        <v>3815.5382321152374</v>
      </c>
      <c r="P126" s="48">
        <v>4989.0311678472872</v>
      </c>
      <c r="Q126" s="2"/>
      <c r="R126" s="2"/>
    </row>
    <row r="127" spans="1:18">
      <c r="A127" s="2" t="s">
        <v>349</v>
      </c>
      <c r="B127" s="44">
        <v>0</v>
      </c>
      <c r="C127" s="44">
        <v>0</v>
      </c>
      <c r="D127" s="44">
        <v>0</v>
      </c>
      <c r="E127" s="44">
        <v>0</v>
      </c>
      <c r="F127" s="44">
        <v>0</v>
      </c>
      <c r="G127" s="44">
        <v>0</v>
      </c>
      <c r="H127" s="44">
        <v>0</v>
      </c>
      <c r="I127" s="44">
        <v>0</v>
      </c>
      <c r="J127" s="44">
        <v>0</v>
      </c>
      <c r="K127" s="44">
        <v>0</v>
      </c>
      <c r="L127" s="44">
        <v>0</v>
      </c>
      <c r="M127" s="48">
        <v>0</v>
      </c>
      <c r="N127" s="48">
        <v>0</v>
      </c>
      <c r="O127" s="48">
        <v>0</v>
      </c>
      <c r="P127" s="48">
        <v>0</v>
      </c>
      <c r="Q127" s="2"/>
      <c r="R127" s="2"/>
    </row>
    <row r="128" spans="1:18">
      <c r="A128" s="2" t="s">
        <v>350</v>
      </c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8"/>
      <c r="N128" s="48"/>
      <c r="O128" s="48"/>
      <c r="P128" s="48"/>
      <c r="Q128" s="2"/>
      <c r="R128" s="2"/>
    </row>
    <row r="129" spans="1:1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88"/>
      <c r="N129" s="88"/>
      <c r="O129" s="88"/>
      <c r="P129" s="88"/>
      <c r="Q129" s="2"/>
      <c r="R129" s="2"/>
    </row>
  </sheetData>
  <mergeCells count="6">
    <mergeCell ref="A105:P105"/>
    <mergeCell ref="A33:P33"/>
    <mergeCell ref="A1:P1"/>
    <mergeCell ref="A61:P61"/>
    <mergeCell ref="A100:P100"/>
    <mergeCell ref="A44:P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00"/>
  <sheetViews>
    <sheetView showGridLines="0" topLeftCell="A24" workbookViewId="0">
      <selection activeCell="J36" sqref="J36"/>
    </sheetView>
  </sheetViews>
  <sheetFormatPr defaultRowHeight="13.8"/>
  <cols>
    <col min="1" max="1" width="38" customWidth="1"/>
    <col min="2" max="16" width="12" customWidth="1"/>
  </cols>
  <sheetData>
    <row r="1" spans="1:16" ht="25.05" customHeight="1">
      <c r="A1" s="95" t="s">
        <v>351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57" t="s">
        <v>102</v>
      </c>
      <c r="B4" s="57" t="s">
        <v>2</v>
      </c>
      <c r="C4" s="57" t="s">
        <v>3</v>
      </c>
      <c r="D4" s="57" t="s">
        <v>4</v>
      </c>
      <c r="E4" s="57" t="s">
        <v>5</v>
      </c>
      <c r="F4" s="57" t="s">
        <v>6</v>
      </c>
      <c r="G4" s="57" t="s">
        <v>7</v>
      </c>
      <c r="H4" s="57" t="s">
        <v>8</v>
      </c>
      <c r="I4" s="57" t="s">
        <v>9</v>
      </c>
      <c r="J4" s="57" t="s">
        <v>10</v>
      </c>
      <c r="K4" s="57" t="s">
        <v>11</v>
      </c>
      <c r="L4" s="57" t="s">
        <v>12</v>
      </c>
      <c r="M4" s="57" t="s">
        <v>13</v>
      </c>
      <c r="N4" s="57" t="s">
        <v>14</v>
      </c>
      <c r="O4" s="57" t="s">
        <v>15</v>
      </c>
      <c r="P4" s="57" t="s">
        <v>16</v>
      </c>
    </row>
    <row r="5" spans="1:16" s="6" customFormat="1">
      <c r="A5" s="65" t="s">
        <v>352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51"/>
      <c r="N5" s="51"/>
      <c r="O5" s="51"/>
      <c r="P5" s="51"/>
    </row>
    <row r="6" spans="1:16">
      <c r="A6" s="2" t="s">
        <v>353</v>
      </c>
      <c r="B6" s="8">
        <v>0.56000000000000005</v>
      </c>
      <c r="C6" s="8">
        <v>0.55400000000000005</v>
      </c>
      <c r="D6" s="8">
        <v>0.52200000000000002</v>
      </c>
      <c r="E6" s="8">
        <v>0.52700000000000002</v>
      </c>
      <c r="F6" s="8">
        <v>0.52100000000000002</v>
      </c>
      <c r="G6" s="8">
        <v>0.502</v>
      </c>
      <c r="H6" s="8">
        <v>0.53300000000000003</v>
      </c>
      <c r="I6" s="8">
        <v>0.54200000000000004</v>
      </c>
      <c r="J6" s="8">
        <v>0.52</v>
      </c>
      <c r="K6" s="8">
        <v>0.5</v>
      </c>
      <c r="L6" s="8">
        <v>0.504</v>
      </c>
      <c r="M6" s="49">
        <v>0.503</v>
      </c>
      <c r="N6" s="49">
        <v>0.503</v>
      </c>
      <c r="O6" s="49">
        <v>0.503</v>
      </c>
      <c r="P6" s="49">
        <v>0.503</v>
      </c>
    </row>
    <row r="7" spans="1:16" s="40" customFormat="1">
      <c r="A7" s="89" t="s">
        <v>354</v>
      </c>
      <c r="B7" s="8">
        <v>0.54</v>
      </c>
      <c r="C7" s="8">
        <v>0.53300000000000003</v>
      </c>
      <c r="D7" s="8">
        <v>0.502</v>
      </c>
      <c r="E7" s="8">
        <v>0.50700000000000001</v>
      </c>
      <c r="F7" s="8">
        <v>0.503</v>
      </c>
      <c r="G7" s="8">
        <v>0.48599999999999999</v>
      </c>
      <c r="H7" s="8">
        <v>0.51600000000000001</v>
      </c>
      <c r="I7" s="8">
        <v>0.52400000000000002</v>
      </c>
      <c r="J7" s="8">
        <v>0.5</v>
      </c>
      <c r="K7" s="8">
        <v>0.48199999999999998</v>
      </c>
      <c r="L7" s="8">
        <v>0.48499999999999999</v>
      </c>
      <c r="M7" s="49">
        <v>0.48299999999999998</v>
      </c>
      <c r="N7" s="49">
        <v>0.48299999999999998</v>
      </c>
      <c r="O7" s="49">
        <v>0.48299999999999998</v>
      </c>
      <c r="P7" s="49">
        <v>0.48299999999999998</v>
      </c>
    </row>
    <row r="8" spans="1:16">
      <c r="A8" s="2" t="s">
        <v>355</v>
      </c>
      <c r="B8" s="8">
        <f t="shared" ref="B8:P8" si="0">B$5*B7</f>
        <v>0</v>
      </c>
      <c r="C8" s="8">
        <f t="shared" si="0"/>
        <v>0</v>
      </c>
      <c r="D8" s="8">
        <f t="shared" si="0"/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8">
        <f t="shared" si="0"/>
        <v>0</v>
      </c>
      <c r="L8" s="8">
        <f t="shared" si="0"/>
        <v>0</v>
      </c>
      <c r="M8" s="49">
        <f t="shared" si="0"/>
        <v>0</v>
      </c>
      <c r="N8" s="49">
        <f t="shared" si="0"/>
        <v>0</v>
      </c>
      <c r="O8" s="49">
        <f t="shared" si="0"/>
        <v>0</v>
      </c>
      <c r="P8" s="49">
        <f t="shared" si="0"/>
        <v>0</v>
      </c>
    </row>
    <row r="9" spans="1:16" s="40" customFormat="1">
      <c r="A9" s="89" t="s">
        <v>356</v>
      </c>
      <c r="B9" s="8">
        <v>0.26100000000000001</v>
      </c>
      <c r="C9" s="8">
        <v>0.255</v>
      </c>
      <c r="D9" s="8">
        <v>0.29399999999999998</v>
      </c>
      <c r="E9" s="8">
        <v>0.3</v>
      </c>
      <c r="F9" s="8">
        <v>0.312</v>
      </c>
      <c r="G9" s="8">
        <v>0.32800000000000001</v>
      </c>
      <c r="H9" s="8">
        <v>0.311</v>
      </c>
      <c r="I9" s="8">
        <v>0.308</v>
      </c>
      <c r="J9" s="8">
        <v>0.314</v>
      </c>
      <c r="K9" s="8">
        <v>0.311</v>
      </c>
      <c r="L9" s="8">
        <v>0.32799999999999996</v>
      </c>
      <c r="M9" s="49">
        <v>0.32599999999999996</v>
      </c>
      <c r="N9" s="49">
        <v>0.32599999999999996</v>
      </c>
      <c r="O9" s="49">
        <v>0.32599999999999996</v>
      </c>
      <c r="P9" s="49">
        <v>0.32599999999999996</v>
      </c>
    </row>
    <row r="10" spans="1:16">
      <c r="A10" s="2" t="s">
        <v>357</v>
      </c>
      <c r="B10" s="8">
        <f t="shared" ref="B10:P10" si="1">B$5*B9</f>
        <v>0</v>
      </c>
      <c r="C10" s="8">
        <f t="shared" si="1"/>
        <v>0</v>
      </c>
      <c r="D10" s="8">
        <f t="shared" si="1"/>
        <v>0</v>
      </c>
      <c r="E10" s="8">
        <f t="shared" si="1"/>
        <v>0</v>
      </c>
      <c r="F10" s="8">
        <f t="shared" si="1"/>
        <v>0</v>
      </c>
      <c r="G10" s="8">
        <f t="shared" si="1"/>
        <v>0</v>
      </c>
      <c r="H10" s="8">
        <f t="shared" si="1"/>
        <v>0</v>
      </c>
      <c r="I10" s="8">
        <f t="shared" si="1"/>
        <v>0</v>
      </c>
      <c r="J10" s="8">
        <f t="shared" si="1"/>
        <v>0</v>
      </c>
      <c r="K10" s="8">
        <f t="shared" si="1"/>
        <v>0</v>
      </c>
      <c r="L10" s="8">
        <f t="shared" si="1"/>
        <v>0</v>
      </c>
      <c r="M10" s="49">
        <f t="shared" si="1"/>
        <v>0</v>
      </c>
      <c r="N10" s="49">
        <f t="shared" si="1"/>
        <v>0</v>
      </c>
      <c r="O10" s="49">
        <f t="shared" si="1"/>
        <v>0</v>
      </c>
      <c r="P10" s="49">
        <f t="shared" si="1"/>
        <v>0</v>
      </c>
    </row>
    <row r="11" spans="1:16" s="40" customFormat="1">
      <c r="A11" s="89" t="s">
        <v>358</v>
      </c>
      <c r="B11" s="8">
        <v>0.112</v>
      </c>
      <c r="C11" s="8">
        <v>0.11799999999999999</v>
      </c>
      <c r="D11" s="8">
        <v>0.14199999999999999</v>
      </c>
      <c r="E11" s="8">
        <v>0.14099999999999999</v>
      </c>
      <c r="F11" s="8">
        <v>0.152</v>
      </c>
      <c r="G11" s="8">
        <v>0.16800000000000001</v>
      </c>
      <c r="H11" s="8">
        <v>0.155</v>
      </c>
      <c r="I11" s="8">
        <v>0.151</v>
      </c>
      <c r="J11" s="8">
        <v>0.14599999999999999</v>
      </c>
      <c r="K11" s="8">
        <v>0.14299999999999999</v>
      </c>
      <c r="L11" s="8">
        <v>0.156</v>
      </c>
      <c r="M11" s="49">
        <v>0.154</v>
      </c>
      <c r="N11" s="49">
        <v>0.154</v>
      </c>
      <c r="O11" s="49">
        <v>0.154</v>
      </c>
      <c r="P11" s="49">
        <v>0.154</v>
      </c>
    </row>
    <row r="12" spans="1:16">
      <c r="A12" s="2" t="s">
        <v>359</v>
      </c>
      <c r="B12" s="8">
        <f t="shared" ref="B12:P12" si="2">B$5*B11</f>
        <v>0</v>
      </c>
      <c r="C12" s="8">
        <f t="shared" si="2"/>
        <v>0</v>
      </c>
      <c r="D12" s="8">
        <f t="shared" si="2"/>
        <v>0</v>
      </c>
      <c r="E12" s="8">
        <f t="shared" si="2"/>
        <v>0</v>
      </c>
      <c r="F12" s="8">
        <f t="shared" si="2"/>
        <v>0</v>
      </c>
      <c r="G12" s="8">
        <f t="shared" si="2"/>
        <v>0</v>
      </c>
      <c r="H12" s="8">
        <f t="shared" si="2"/>
        <v>0</v>
      </c>
      <c r="I12" s="8">
        <f t="shared" si="2"/>
        <v>0</v>
      </c>
      <c r="J12" s="8">
        <f t="shared" si="2"/>
        <v>0</v>
      </c>
      <c r="K12" s="8">
        <f t="shared" si="2"/>
        <v>0</v>
      </c>
      <c r="L12" s="8">
        <f t="shared" si="2"/>
        <v>0</v>
      </c>
      <c r="M12" s="49">
        <f t="shared" si="2"/>
        <v>0</v>
      </c>
      <c r="N12" s="49">
        <f t="shared" si="2"/>
        <v>0</v>
      </c>
      <c r="O12" s="49">
        <f t="shared" si="2"/>
        <v>0</v>
      </c>
      <c r="P12" s="49">
        <f t="shared" si="2"/>
        <v>0</v>
      </c>
    </row>
    <row r="13" spans="1:16" s="40" customFormat="1">
      <c r="A13" s="89" t="s">
        <v>360</v>
      </c>
      <c r="B13" s="8">
        <v>9.6000000000000002E-2</v>
      </c>
      <c r="C13" s="8">
        <v>9.7000000000000003E-2</v>
      </c>
      <c r="D13" s="8">
        <v>9.7000000000000003E-2</v>
      </c>
      <c r="E13" s="8">
        <v>9.5000000000000001E-2</v>
      </c>
      <c r="F13" s="8">
        <v>9.2999999999999999E-2</v>
      </c>
      <c r="G13" s="8">
        <v>9.4E-2</v>
      </c>
      <c r="H13" s="8">
        <v>8.5000000000000006E-2</v>
      </c>
      <c r="I13" s="8">
        <v>0.08</v>
      </c>
      <c r="J13" s="8">
        <v>7.8E-2</v>
      </c>
      <c r="K13" s="8">
        <v>8.1000000000000003E-2</v>
      </c>
      <c r="L13" s="8">
        <v>8.3000000000000004E-2</v>
      </c>
      <c r="M13" s="49">
        <v>8.4000000000000005E-2</v>
      </c>
      <c r="N13" s="49">
        <v>8.4000000000000005E-2</v>
      </c>
      <c r="O13" s="49">
        <v>8.4000000000000005E-2</v>
      </c>
      <c r="P13" s="49">
        <v>8.4000000000000005E-2</v>
      </c>
    </row>
    <row r="14" spans="1:16">
      <c r="A14" s="2" t="s">
        <v>361</v>
      </c>
      <c r="B14" s="8">
        <f t="shared" ref="B14:P14" si="3">B$5*B13</f>
        <v>0</v>
      </c>
      <c r="C14" s="8">
        <f t="shared" si="3"/>
        <v>0</v>
      </c>
      <c r="D14" s="8">
        <f t="shared" si="3"/>
        <v>0</v>
      </c>
      <c r="E14" s="8">
        <f t="shared" si="3"/>
        <v>0</v>
      </c>
      <c r="F14" s="8">
        <f t="shared" si="3"/>
        <v>0</v>
      </c>
      <c r="G14" s="8">
        <f t="shared" si="3"/>
        <v>0</v>
      </c>
      <c r="H14" s="8">
        <f t="shared" si="3"/>
        <v>0</v>
      </c>
      <c r="I14" s="8">
        <f t="shared" si="3"/>
        <v>0</v>
      </c>
      <c r="J14" s="8">
        <f t="shared" si="3"/>
        <v>0</v>
      </c>
      <c r="K14" s="8">
        <f t="shared" si="3"/>
        <v>0</v>
      </c>
      <c r="L14" s="8">
        <f t="shared" si="3"/>
        <v>0</v>
      </c>
      <c r="M14" s="49">
        <f t="shared" si="3"/>
        <v>0</v>
      </c>
      <c r="N14" s="49">
        <f t="shared" si="3"/>
        <v>0</v>
      </c>
      <c r="O14" s="49">
        <f t="shared" si="3"/>
        <v>0</v>
      </c>
      <c r="P14" s="49">
        <f t="shared" si="3"/>
        <v>0</v>
      </c>
    </row>
    <row r="15" spans="1:16">
      <c r="A15" s="2" t="s">
        <v>362</v>
      </c>
      <c r="B15" s="8">
        <f t="shared" ref="B15:P15" si="4">IF(COUNT(B7,B9,B11,B13)=4,SUM(B7,B9,B11,B13)-100%,0)</f>
        <v>9.000000000000119E-3</v>
      </c>
      <c r="C15" s="8">
        <f t="shared" si="4"/>
        <v>3.0000000000001137E-3</v>
      </c>
      <c r="D15" s="8">
        <f t="shared" si="4"/>
        <v>3.5000000000000142E-2</v>
      </c>
      <c r="E15" s="8">
        <f t="shared" si="4"/>
        <v>4.2999999999999927E-2</v>
      </c>
      <c r="F15" s="8">
        <f t="shared" si="4"/>
        <v>6.0000000000000053E-2</v>
      </c>
      <c r="G15" s="8">
        <f t="shared" si="4"/>
        <v>7.6000000000000068E-2</v>
      </c>
      <c r="H15" s="8">
        <f t="shared" si="4"/>
        <v>6.6999999999999948E-2</v>
      </c>
      <c r="I15" s="8">
        <f t="shared" si="4"/>
        <v>6.3000000000000167E-2</v>
      </c>
      <c r="J15" s="8">
        <f t="shared" si="4"/>
        <v>3.8000000000000034E-2</v>
      </c>
      <c r="K15" s="8">
        <f t="shared" si="4"/>
        <v>1.6999999999999904E-2</v>
      </c>
      <c r="L15" s="8">
        <f t="shared" si="4"/>
        <v>5.2000000000000046E-2</v>
      </c>
      <c r="M15" s="49">
        <f t="shared" si="4"/>
        <v>4.6999999999999931E-2</v>
      </c>
      <c r="N15" s="49">
        <f t="shared" si="4"/>
        <v>4.6999999999999931E-2</v>
      </c>
      <c r="O15" s="49">
        <f t="shared" si="4"/>
        <v>4.6999999999999931E-2</v>
      </c>
      <c r="P15" s="49">
        <f t="shared" si="4"/>
        <v>4.6999999999999931E-2</v>
      </c>
    </row>
    <row r="16" spans="1:16">
      <c r="A16" s="65" t="s">
        <v>363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51"/>
      <c r="N16" s="51"/>
      <c r="O16" s="51"/>
      <c r="P16" s="51"/>
    </row>
    <row r="17" spans="1:16" s="40" customFormat="1">
      <c r="A17" s="89" t="s">
        <v>364</v>
      </c>
      <c r="B17" s="8">
        <v>0.40899999999999997</v>
      </c>
      <c r="C17" s="8">
        <v>0.32900000000000001</v>
      </c>
      <c r="D17" s="8">
        <v>0.311</v>
      </c>
      <c r="E17" s="8">
        <v>0.309</v>
      </c>
      <c r="F17" s="8">
        <v>0.3</v>
      </c>
      <c r="G17" s="8">
        <v>0.32200000000000001</v>
      </c>
      <c r="H17" s="8">
        <v>0.317</v>
      </c>
      <c r="I17" s="8">
        <v>0.32900000000000001</v>
      </c>
      <c r="J17" s="8">
        <v>0.313</v>
      </c>
      <c r="K17" s="8">
        <v>0.312</v>
      </c>
      <c r="L17" s="8">
        <v>0.316</v>
      </c>
      <c r="M17" s="49">
        <v>0.32100000000000001</v>
      </c>
      <c r="N17" s="49">
        <v>0.32100000000000001</v>
      </c>
      <c r="O17" s="49">
        <v>0.32100000000000001</v>
      </c>
      <c r="P17" s="49">
        <v>0.32100000000000001</v>
      </c>
    </row>
    <row r="18" spans="1:16">
      <c r="A18" s="2" t="s">
        <v>365</v>
      </c>
      <c r="B18" s="8">
        <v>0.14099999999999999</v>
      </c>
      <c r="C18" s="8">
        <v>0.123</v>
      </c>
      <c r="D18" s="8">
        <v>0.16600000000000001</v>
      </c>
      <c r="E18" s="8">
        <v>0.151</v>
      </c>
      <c r="F18" s="8">
        <v>0.154</v>
      </c>
      <c r="G18" s="8">
        <v>0.14499999999999999</v>
      </c>
      <c r="H18" s="8">
        <v>0.153</v>
      </c>
      <c r="I18" s="8">
        <v>0.16</v>
      </c>
      <c r="J18" s="8">
        <v>0.157</v>
      </c>
      <c r="K18" s="8">
        <v>0.153</v>
      </c>
      <c r="L18" s="8">
        <v>0.157</v>
      </c>
      <c r="M18" s="49">
        <v>0.15</v>
      </c>
      <c r="N18" s="49">
        <v>0.15</v>
      </c>
      <c r="O18" s="49">
        <v>0.15</v>
      </c>
      <c r="P18" s="49">
        <v>0.15</v>
      </c>
    </row>
    <row r="19" spans="1:16" s="40" customFormat="1">
      <c r="A19" s="89" t="s">
        <v>366</v>
      </c>
      <c r="B19" s="8">
        <v>7.2999999999999995E-2</v>
      </c>
      <c r="C19" s="8">
        <v>6.9000000000000006E-2</v>
      </c>
      <c r="D19" s="8">
        <v>7.1999999999999995E-2</v>
      </c>
      <c r="E19" s="8">
        <v>7.6999999999999999E-2</v>
      </c>
      <c r="F19" s="8">
        <v>8.7999999999999995E-2</v>
      </c>
      <c r="G19" s="8">
        <v>9.7000000000000003E-2</v>
      </c>
      <c r="H19" s="8">
        <v>0.10100000000000001</v>
      </c>
      <c r="I19" s="8">
        <v>0.109</v>
      </c>
      <c r="J19" s="8">
        <v>0.109</v>
      </c>
      <c r="K19" s="8">
        <v>0.10100000000000001</v>
      </c>
      <c r="L19" s="8">
        <v>0.104</v>
      </c>
      <c r="M19" s="49">
        <v>0.10299999999999999</v>
      </c>
      <c r="N19" s="49">
        <v>0.10299999999999999</v>
      </c>
      <c r="O19" s="49">
        <v>0.10299999999999999</v>
      </c>
      <c r="P19" s="49">
        <v>0.10299999999999999</v>
      </c>
    </row>
    <row r="20" spans="1:16">
      <c r="A20" s="2" t="s">
        <v>367</v>
      </c>
      <c r="B20" s="8">
        <v>5.6000000000000001E-2</v>
      </c>
      <c r="C20" s="8">
        <v>7.8E-2</v>
      </c>
      <c r="D20" s="8">
        <v>7.8E-2</v>
      </c>
      <c r="E20" s="8">
        <v>8.5999999999999993E-2</v>
      </c>
      <c r="F20" s="8">
        <v>8.6999999999999994E-2</v>
      </c>
      <c r="G20" s="8">
        <v>8.4000000000000005E-2</v>
      </c>
      <c r="H20" s="8">
        <v>8.6999999999999994E-2</v>
      </c>
      <c r="I20" s="8">
        <v>8.8999999999999996E-2</v>
      </c>
      <c r="J20" s="8">
        <v>8.2000000000000003E-2</v>
      </c>
      <c r="K20" s="8">
        <v>8.1000000000000003E-2</v>
      </c>
      <c r="L20" s="8">
        <v>8.4000000000000005E-2</v>
      </c>
      <c r="M20" s="49">
        <v>8.5000000000000006E-2</v>
      </c>
      <c r="N20" s="49">
        <v>8.5000000000000006E-2</v>
      </c>
      <c r="O20" s="49">
        <v>8.5000000000000006E-2</v>
      </c>
      <c r="P20" s="49">
        <v>8.5000000000000006E-2</v>
      </c>
    </row>
    <row r="21" spans="1:16" s="40" customFormat="1">
      <c r="A21" s="89" t="s">
        <v>368</v>
      </c>
      <c r="B21" s="8">
        <v>0.104</v>
      </c>
      <c r="C21" s="8">
        <v>7.2999999999999995E-2</v>
      </c>
      <c r="D21" s="8">
        <v>7.3999999999999996E-2</v>
      </c>
      <c r="E21" s="8">
        <v>9.6000000000000002E-2</v>
      </c>
      <c r="F21" s="8">
        <v>0.10100000000000001</v>
      </c>
      <c r="G21" s="8">
        <v>9.6000000000000002E-2</v>
      </c>
      <c r="H21" s="8">
        <v>0.1</v>
      </c>
      <c r="I21" s="8">
        <v>8.2000000000000003E-2</v>
      </c>
      <c r="J21" s="8">
        <v>8.7999999999999995E-2</v>
      </c>
      <c r="K21" s="8">
        <v>8.4000000000000005E-2</v>
      </c>
      <c r="L21" s="8">
        <v>8.7999999999999995E-2</v>
      </c>
      <c r="M21" s="49">
        <v>8.6999999999999994E-2</v>
      </c>
      <c r="N21" s="49">
        <v>8.6999999999999994E-2</v>
      </c>
      <c r="O21" s="49">
        <v>8.6999999999999994E-2</v>
      </c>
      <c r="P21" s="49">
        <v>8.6999999999999994E-2</v>
      </c>
    </row>
    <row r="22" spans="1:16">
      <c r="A22" s="2" t="s">
        <v>369</v>
      </c>
      <c r="B22" s="8">
        <v>0.10800000000000001</v>
      </c>
      <c r="C22" s="8">
        <v>7.1999999999999995E-2</v>
      </c>
      <c r="D22" s="8">
        <v>7.0999999999999994E-2</v>
      </c>
      <c r="E22" s="8">
        <v>6.8000000000000005E-2</v>
      </c>
      <c r="F22" s="8">
        <v>7.0000000000000007E-2</v>
      </c>
      <c r="G22" s="8">
        <v>6.5000000000000002E-2</v>
      </c>
      <c r="H22" s="8">
        <v>6.9000000000000006E-2</v>
      </c>
      <c r="I22" s="8">
        <v>7.0999999999999994E-2</v>
      </c>
      <c r="J22" s="8">
        <v>6.6000000000000003E-2</v>
      </c>
      <c r="K22" s="8">
        <v>5.8000000000000003E-2</v>
      </c>
      <c r="L22" s="8">
        <v>5.8000000000000003E-2</v>
      </c>
      <c r="M22" s="49">
        <v>5.8000000000000003E-2</v>
      </c>
      <c r="N22" s="49">
        <v>5.8000000000000003E-2</v>
      </c>
      <c r="O22" s="49">
        <v>5.8000000000000003E-2</v>
      </c>
      <c r="P22" s="49">
        <v>5.8000000000000003E-2</v>
      </c>
    </row>
    <row r="23" spans="1:16" s="40" customFormat="1">
      <c r="A23" s="89" t="s">
        <v>370</v>
      </c>
      <c r="B23" s="8">
        <v>4.1000000000000002E-2</v>
      </c>
      <c r="C23" s="8">
        <v>3.6999999999999998E-2</v>
      </c>
      <c r="D23" s="8">
        <v>4.8000000000000001E-2</v>
      </c>
      <c r="E23" s="8"/>
      <c r="F23" s="8"/>
      <c r="G23" s="8"/>
      <c r="H23" s="8"/>
      <c r="I23" s="8">
        <v>5.3999999999999999E-2</v>
      </c>
      <c r="J23" s="8">
        <v>5.6000000000000001E-2</v>
      </c>
      <c r="K23" s="8">
        <v>5.7000000000000002E-2</v>
      </c>
      <c r="L23" s="8">
        <v>6.3E-2</v>
      </c>
      <c r="M23" s="49">
        <v>6.3E-2</v>
      </c>
      <c r="N23" s="49">
        <v>6.3E-2</v>
      </c>
      <c r="O23" s="49">
        <v>6.3E-2</v>
      </c>
      <c r="P23" s="49">
        <v>6.3E-2</v>
      </c>
    </row>
    <row r="24" spans="1:16">
      <c r="A24" s="2" t="s">
        <v>371</v>
      </c>
      <c r="B24" s="8">
        <v>3.1E-2</v>
      </c>
      <c r="C24" s="8">
        <v>0.185</v>
      </c>
      <c r="D24" s="8">
        <v>0.18</v>
      </c>
      <c r="E24" s="8">
        <v>0.21299999999999999</v>
      </c>
      <c r="F24" s="8">
        <v>0.2</v>
      </c>
      <c r="G24" s="8">
        <v>0.191</v>
      </c>
      <c r="H24" s="8">
        <v>0.17299999999999999</v>
      </c>
      <c r="I24" s="8">
        <v>0.106</v>
      </c>
      <c r="J24" s="8">
        <v>0.129</v>
      </c>
      <c r="K24" s="8">
        <v>0.154</v>
      </c>
      <c r="L24" s="8">
        <v>0.13</v>
      </c>
      <c r="M24" s="49">
        <v>0.13300000000000001</v>
      </c>
      <c r="N24" s="49">
        <v>0.13300000000000001</v>
      </c>
      <c r="O24" s="49">
        <v>0.13300000000000001</v>
      </c>
      <c r="P24" s="49">
        <v>0.13300000000000001</v>
      </c>
    </row>
    <row r="25" spans="1:16" s="40" customFormat="1">
      <c r="A25" s="89" t="s">
        <v>372</v>
      </c>
      <c r="B25" s="8">
        <v>1</v>
      </c>
      <c r="C25" s="8">
        <v>1</v>
      </c>
      <c r="D25" s="8">
        <v>1</v>
      </c>
      <c r="E25" s="8">
        <v>0.99999999999999978</v>
      </c>
      <c r="F25" s="8">
        <v>1</v>
      </c>
      <c r="G25" s="8">
        <v>1</v>
      </c>
      <c r="H25" s="8">
        <v>0.99999999999999978</v>
      </c>
      <c r="I25" s="8">
        <v>0.99999999999999989</v>
      </c>
      <c r="J25" s="8">
        <v>1</v>
      </c>
      <c r="K25" s="8">
        <v>1</v>
      </c>
      <c r="L25" s="8">
        <v>0.99999999999999989</v>
      </c>
      <c r="M25" s="49">
        <v>1</v>
      </c>
      <c r="N25" s="49">
        <v>1</v>
      </c>
      <c r="O25" s="49">
        <v>1</v>
      </c>
      <c r="P25" s="49">
        <v>1</v>
      </c>
    </row>
    <row r="26" spans="1:16">
      <c r="A26" s="65" t="s">
        <v>373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51"/>
      <c r="N26" s="51"/>
      <c r="O26" s="51"/>
      <c r="P26" s="51"/>
    </row>
    <row r="27" spans="1:16" s="40" customFormat="1">
      <c r="A27" s="89" t="s">
        <v>374</v>
      </c>
      <c r="B27" s="8">
        <v>0.11700000000000001</v>
      </c>
      <c r="C27" s="8">
        <v>4.2999999999999997E-2</v>
      </c>
      <c r="D27" s="8">
        <v>4.9000000000000002E-2</v>
      </c>
      <c r="E27" s="8">
        <v>9.9000000000000005E-2</v>
      </c>
      <c r="F27" s="8">
        <v>2E-3</v>
      </c>
      <c r="G27" s="8">
        <v>5.8999999999999997E-2</v>
      </c>
      <c r="H27" s="8">
        <v>0.187</v>
      </c>
      <c r="I27" s="8">
        <v>9.6000000000000002E-2</v>
      </c>
      <c r="J27" s="8">
        <v>-2.3E-2</v>
      </c>
      <c r="K27" s="8">
        <v>-1.9E-2</v>
      </c>
      <c r="L27" s="8">
        <v>2.5000000000000001E-2</v>
      </c>
      <c r="M27" s="49">
        <v>0.02</v>
      </c>
      <c r="N27" s="49">
        <v>0.02</v>
      </c>
      <c r="O27" s="49">
        <v>0.02</v>
      </c>
      <c r="P27" s="49">
        <v>0.02</v>
      </c>
    </row>
    <row r="28" spans="1:16">
      <c r="A28" s="2" t="s">
        <v>375</v>
      </c>
      <c r="B28" s="8">
        <v>0.17499999999999999</v>
      </c>
      <c r="C28" s="8">
        <v>4.8000000000000001E-2</v>
      </c>
      <c r="D28" s="8">
        <v>0.05</v>
      </c>
      <c r="E28" s="8">
        <v>0.16200000000000001</v>
      </c>
      <c r="F28" s="8">
        <v>3.9E-2</v>
      </c>
      <c r="G28" s="8">
        <v>1.4999999999999999E-2</v>
      </c>
      <c r="H28" s="8">
        <v>0.20599999999999999</v>
      </c>
      <c r="I28" s="8">
        <v>0.151</v>
      </c>
      <c r="J28" s="8">
        <v>9.8000000000000004E-2</v>
      </c>
      <c r="K28" s="8">
        <v>4.2999999999999997E-2</v>
      </c>
      <c r="L28" s="8">
        <v>-2.9000000000000001E-2</v>
      </c>
      <c r="M28" s="49">
        <v>-2.1000000000000001E-2</v>
      </c>
      <c r="N28" s="49">
        <v>-2.1000000000000001E-2</v>
      </c>
      <c r="O28" s="49">
        <v>-2.1000000000000001E-2</v>
      </c>
      <c r="P28" s="49">
        <v>-2.1000000000000001E-2</v>
      </c>
    </row>
    <row r="29" spans="1:16" s="40" customFormat="1">
      <c r="A29" s="89" t="s">
        <v>376</v>
      </c>
      <c r="B29" s="8">
        <v>6.4000000000000001E-2</v>
      </c>
      <c r="C29" s="8">
        <v>9.7000000000000003E-2</v>
      </c>
      <c r="D29" s="8">
        <v>0.107</v>
      </c>
      <c r="E29" s="8">
        <v>0.21299999999999999</v>
      </c>
      <c r="F29" s="8">
        <v>5.3999999999999999E-2</v>
      </c>
      <c r="G29" s="8">
        <v>0.01</v>
      </c>
      <c r="H29" s="8">
        <v>0.13</v>
      </c>
      <c r="I29" s="8">
        <v>0.17</v>
      </c>
      <c r="J29" s="8">
        <v>6.2E-2</v>
      </c>
      <c r="K29" s="8">
        <v>1.2E-2</v>
      </c>
      <c r="L29" s="8">
        <v>-1.2E-2</v>
      </c>
      <c r="M29" s="49">
        <v>-6.0000000000000001E-3</v>
      </c>
      <c r="N29" s="49">
        <v>-6.0000000000000001E-3</v>
      </c>
      <c r="O29" s="49">
        <v>-6.0000000000000001E-3</v>
      </c>
      <c r="P29" s="49">
        <v>-6.0000000000000001E-3</v>
      </c>
    </row>
    <row r="30" spans="1:16">
      <c r="A30" s="2" t="s">
        <v>377</v>
      </c>
      <c r="B30" s="8">
        <v>0.10299999999999999</v>
      </c>
      <c r="C30" s="8">
        <v>0.151</v>
      </c>
      <c r="D30" s="8">
        <v>0.191</v>
      </c>
      <c r="E30" s="8">
        <v>0.17499999999999999</v>
      </c>
      <c r="F30" s="8">
        <v>0.11899999999999999</v>
      </c>
      <c r="G30" s="8">
        <v>0.11700000000000001</v>
      </c>
      <c r="H30" s="8">
        <v>0.10100000000000001</v>
      </c>
      <c r="I30" s="8">
        <v>8.4000000000000005E-2</v>
      </c>
      <c r="J30" s="8">
        <v>-0.02</v>
      </c>
      <c r="K30" s="8">
        <v>1.4E-2</v>
      </c>
      <c r="L30" s="8">
        <v>0.01</v>
      </c>
      <c r="M30" s="49">
        <v>4.2999999999999997E-2</v>
      </c>
      <c r="N30" s="49">
        <v>4.2999999999999997E-2</v>
      </c>
      <c r="O30" s="49">
        <v>4.2999999999999997E-2</v>
      </c>
      <c r="P30" s="49">
        <v>4.2999999999999997E-2</v>
      </c>
    </row>
    <row r="31" spans="1:16" s="40" customFormat="1">
      <c r="A31" s="89" t="s">
        <v>378</v>
      </c>
      <c r="B31" s="8">
        <v>5.6000000000000001E-2</v>
      </c>
      <c r="C31" s="8">
        <v>0.20899999999999999</v>
      </c>
      <c r="D31" s="8">
        <v>-2.3E-2</v>
      </c>
      <c r="E31" s="8">
        <v>0.113</v>
      </c>
      <c r="F31" s="8">
        <v>-1.9E-2</v>
      </c>
      <c r="G31" s="8">
        <v>0.112</v>
      </c>
      <c r="H31" s="8">
        <v>7.0000000000000007E-2</v>
      </c>
      <c r="I31" s="8">
        <v>0.13400000000000001</v>
      </c>
      <c r="J31" s="8">
        <v>0.379</v>
      </c>
      <c r="K31" s="8">
        <v>0.33</v>
      </c>
      <c r="L31" s="8">
        <v>-0.23</v>
      </c>
      <c r="M31" s="49">
        <v>0.22900000000000001</v>
      </c>
      <c r="N31" s="49">
        <v>0.22900000000000001</v>
      </c>
      <c r="O31" s="49">
        <v>0.22900000000000001</v>
      </c>
      <c r="P31" s="49">
        <v>0.22900000000000001</v>
      </c>
    </row>
    <row r="32" spans="1:16">
      <c r="A32" s="2" t="s">
        <v>379</v>
      </c>
      <c r="B32" s="8">
        <v>8.5999999999999993E-2</v>
      </c>
      <c r="C32" s="8">
        <v>4.7E-2</v>
      </c>
      <c r="D32" s="8">
        <v>8.5999999999999993E-2</v>
      </c>
      <c r="E32" s="8">
        <v>0.115</v>
      </c>
      <c r="F32" s="8">
        <v>3.5000000000000003E-2</v>
      </c>
      <c r="G32" s="8">
        <v>1.4999999999999999E-2</v>
      </c>
      <c r="H32" s="8">
        <v>5.5E-2</v>
      </c>
      <c r="I32" s="8">
        <v>7.4999999999999997E-2</v>
      </c>
      <c r="J32" s="8">
        <v>5.1999999999999998E-2</v>
      </c>
      <c r="K32" s="8">
        <v>6.4000000000000001E-2</v>
      </c>
      <c r="L32" s="8">
        <v>4.0000000000000001E-3</v>
      </c>
      <c r="M32" s="49">
        <v>2.5000000000000001E-2</v>
      </c>
      <c r="N32" s="49">
        <v>2.5000000000000001E-2</v>
      </c>
      <c r="O32" s="49">
        <v>2.5000000000000001E-2</v>
      </c>
      <c r="P32" s="49">
        <v>2.5000000000000001E-2</v>
      </c>
    </row>
    <row r="33" spans="1:16">
      <c r="A33" s="2" t="s">
        <v>380</v>
      </c>
      <c r="B33" s="8">
        <v>0.252</v>
      </c>
      <c r="C33" s="8">
        <v>0.114</v>
      </c>
      <c r="D33" s="8">
        <v>2.1999999999999999E-2</v>
      </c>
      <c r="E33" s="8">
        <v>-0.04</v>
      </c>
      <c r="F33" s="8">
        <v>1.2999999999999999E-2</v>
      </c>
      <c r="G33" s="8">
        <v>0.106</v>
      </c>
      <c r="H33" s="8">
        <v>7.2999999999999995E-2</v>
      </c>
      <c r="I33" s="8">
        <v>0.113</v>
      </c>
      <c r="J33" s="8">
        <v>0.107</v>
      </c>
      <c r="K33" s="8">
        <v>0.13200000000000001</v>
      </c>
      <c r="L33" s="8">
        <v>7.8E-2</v>
      </c>
      <c r="M33" s="49">
        <v>7.5999999999999998E-2</v>
      </c>
      <c r="N33" s="49">
        <v>7.5999999999999998E-2</v>
      </c>
      <c r="O33" s="49">
        <v>7.5999999999999998E-2</v>
      </c>
      <c r="P33" s="49">
        <v>7.5999999999999998E-2</v>
      </c>
    </row>
    <row r="34" spans="1:16">
      <c r="A34" s="2" t="s">
        <v>381</v>
      </c>
      <c r="B34" s="8">
        <v>0.104</v>
      </c>
      <c r="C34" s="8">
        <v>7.4999999999999997E-2</v>
      </c>
      <c r="D34" s="8">
        <v>7.1999999999999995E-2</v>
      </c>
      <c r="E34" s="8">
        <v>0.127</v>
      </c>
      <c r="F34" s="8">
        <v>0.03</v>
      </c>
      <c r="G34" s="8">
        <v>5.8999999999999997E-2</v>
      </c>
      <c r="H34" s="8">
        <v>0.14299999999999999</v>
      </c>
      <c r="I34" s="8">
        <v>0.107</v>
      </c>
      <c r="J34" s="8">
        <v>2.1999999999999999E-2</v>
      </c>
      <c r="K34" s="8">
        <v>2.5000000000000001E-2</v>
      </c>
      <c r="L34" s="8">
        <v>-6.0000000000000001E-3</v>
      </c>
      <c r="M34" s="49">
        <v>3.2000000000000001E-2</v>
      </c>
      <c r="N34" s="49">
        <v>3.2000000000000001E-2</v>
      </c>
      <c r="O34" s="49">
        <v>3.2000000000000001E-2</v>
      </c>
      <c r="P34" s="49">
        <v>3.2000000000000001E-2</v>
      </c>
    </row>
    <row r="35" spans="1:16">
      <c r="A35" s="65" t="s">
        <v>382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51"/>
      <c r="N35" s="51"/>
      <c r="O35" s="51"/>
      <c r="P35" s="51"/>
    </row>
    <row r="36" spans="1:16">
      <c r="A36" s="2" t="s">
        <v>383</v>
      </c>
      <c r="B36" s="8"/>
      <c r="C36" s="8"/>
      <c r="D36" s="8"/>
      <c r="E36" s="8"/>
      <c r="F36" s="8"/>
      <c r="G36" s="8"/>
      <c r="H36" s="8"/>
      <c r="I36" s="8"/>
      <c r="J36" s="8">
        <v>-3.2000000000000001E-2</v>
      </c>
      <c r="K36" s="8">
        <v>2.5000000000000001E-2</v>
      </c>
      <c r="L36" s="8">
        <v>4.0000000000000001E-3</v>
      </c>
      <c r="M36" s="49">
        <v>2.4E-2</v>
      </c>
      <c r="N36" s="49">
        <v>2.4E-2</v>
      </c>
      <c r="O36" s="49">
        <v>2.4E-2</v>
      </c>
      <c r="P36" s="49">
        <v>2.4E-2</v>
      </c>
    </row>
    <row r="37" spans="1:16">
      <c r="A37" s="2" t="s">
        <v>384</v>
      </c>
      <c r="B37" s="8"/>
      <c r="C37" s="8"/>
      <c r="D37" s="8"/>
      <c r="E37" s="8"/>
      <c r="F37" s="8"/>
      <c r="G37" s="8"/>
      <c r="H37" s="8"/>
      <c r="I37" s="8"/>
      <c r="J37" s="8">
        <v>-3.0000000000000001E-3</v>
      </c>
      <c r="K37" s="8">
        <v>-2E-3</v>
      </c>
      <c r="L37" s="8">
        <v>8.0000000000000002E-3</v>
      </c>
      <c r="M37" s="49">
        <v>-1.2E-2</v>
      </c>
      <c r="N37" s="49">
        <v>-1.2E-2</v>
      </c>
      <c r="O37" s="49">
        <v>-1.2E-2</v>
      </c>
      <c r="P37" s="49">
        <v>-1.2E-2</v>
      </c>
    </row>
    <row r="38" spans="1:16">
      <c r="A38" s="2" t="s">
        <v>385</v>
      </c>
      <c r="B38" s="8"/>
      <c r="C38" s="8"/>
      <c r="D38" s="8"/>
      <c r="E38" s="8"/>
      <c r="F38" s="8"/>
      <c r="G38" s="8"/>
      <c r="H38" s="8"/>
      <c r="I38" s="8"/>
      <c r="J38" s="8">
        <v>1.7000000000000001E-2</v>
      </c>
      <c r="K38" s="8">
        <v>-5.6000000000000001E-2</v>
      </c>
      <c r="L38" s="8">
        <v>3.3000000000000002E-2</v>
      </c>
      <c r="M38" s="49">
        <v>3.5000000000000003E-2</v>
      </c>
      <c r="N38" s="49">
        <v>3.5000000000000003E-2</v>
      </c>
      <c r="O38" s="49">
        <v>3.5000000000000003E-2</v>
      </c>
      <c r="P38" s="49">
        <v>3.5000000000000003E-2</v>
      </c>
    </row>
    <row r="39" spans="1:16">
      <c r="A39" s="2" t="s">
        <v>386</v>
      </c>
      <c r="B39" s="8"/>
      <c r="C39" s="8"/>
      <c r="D39" s="8"/>
      <c r="E39" s="8"/>
      <c r="F39" s="8"/>
      <c r="G39" s="8"/>
      <c r="H39" s="8"/>
      <c r="I39" s="8"/>
      <c r="J39" s="8">
        <v>-5.6000000000000001E-2</v>
      </c>
      <c r="K39" s="8">
        <v>1.0999999999999999E-2</v>
      </c>
      <c r="L39" s="8">
        <v>2.5000000000000001E-2</v>
      </c>
      <c r="M39" s="49">
        <v>3.5000000000000003E-2</v>
      </c>
      <c r="N39" s="49">
        <v>3.5000000000000003E-2</v>
      </c>
      <c r="O39" s="49">
        <v>3.5000000000000003E-2</v>
      </c>
      <c r="P39" s="49">
        <v>3.5000000000000003E-2</v>
      </c>
    </row>
    <row r="40" spans="1:16">
      <c r="A40" s="2" t="s">
        <v>387</v>
      </c>
      <c r="B40" s="8"/>
      <c r="C40" s="8"/>
      <c r="D40" s="8"/>
      <c r="E40" s="8"/>
      <c r="F40" s="8"/>
      <c r="G40" s="8"/>
      <c r="H40" s="8"/>
      <c r="I40" s="8"/>
      <c r="J40" s="8">
        <v>9.7000000000000003E-2</v>
      </c>
      <c r="K40" s="8">
        <v>-2.9000000000000001E-2</v>
      </c>
      <c r="L40" s="8">
        <v>3.1E-2</v>
      </c>
      <c r="M40" s="49">
        <v>2.9000000000000001E-2</v>
      </c>
      <c r="N40" s="49">
        <v>2.9000000000000001E-2</v>
      </c>
      <c r="O40" s="49">
        <v>2.9000000000000001E-2</v>
      </c>
      <c r="P40" s="49">
        <v>2.9000000000000001E-2</v>
      </c>
    </row>
    <row r="41" spans="1:16">
      <c r="A41" s="2" t="s">
        <v>388</v>
      </c>
      <c r="B41" s="8"/>
      <c r="C41" s="8"/>
      <c r="D41" s="8"/>
      <c r="E41" s="8"/>
      <c r="F41" s="8"/>
      <c r="G41" s="8"/>
      <c r="H41" s="8"/>
      <c r="I41" s="8"/>
      <c r="J41" s="8">
        <v>-5.5E-2</v>
      </c>
      <c r="K41" s="8">
        <v>-9.8000000000000004E-2</v>
      </c>
      <c r="L41" s="8">
        <v>-2.1000000000000001E-2</v>
      </c>
      <c r="M41" s="49">
        <v>1.4E-2</v>
      </c>
      <c r="N41" s="49">
        <v>1.4E-2</v>
      </c>
      <c r="O41" s="49">
        <v>1.4E-2</v>
      </c>
      <c r="P41" s="49">
        <v>1.4E-2</v>
      </c>
    </row>
    <row r="42" spans="1:16">
      <c r="A42" s="2" t="s">
        <v>389</v>
      </c>
      <c r="B42" s="8"/>
      <c r="C42" s="8"/>
      <c r="D42" s="8"/>
      <c r="E42" s="8"/>
      <c r="F42" s="8"/>
      <c r="G42" s="8"/>
      <c r="H42" s="8"/>
      <c r="I42" s="8"/>
      <c r="J42" s="8">
        <v>7.2999999999999995E-2</v>
      </c>
      <c r="K42" s="8">
        <v>4.5999999999999999E-2</v>
      </c>
      <c r="L42" s="8">
        <v>7.2999999999999995E-2</v>
      </c>
      <c r="M42" s="49">
        <v>6.9000000000000006E-2</v>
      </c>
      <c r="N42" s="49">
        <v>6.9000000000000006E-2</v>
      </c>
      <c r="O42" s="49">
        <v>6.9000000000000006E-2</v>
      </c>
      <c r="P42" s="49">
        <v>6.9000000000000006E-2</v>
      </c>
    </row>
    <row r="43" spans="1:16">
      <c r="A43" s="2" t="s">
        <v>390</v>
      </c>
      <c r="B43" s="8"/>
      <c r="C43" s="8"/>
      <c r="D43" s="8"/>
      <c r="E43" s="8"/>
      <c r="F43" s="8"/>
      <c r="G43" s="8"/>
      <c r="H43" s="8"/>
      <c r="I43" s="8"/>
      <c r="J43" s="8">
        <v>0.26</v>
      </c>
      <c r="K43" s="8">
        <v>0.22500000000000001</v>
      </c>
      <c r="L43" s="8">
        <v>-0.128</v>
      </c>
      <c r="M43" s="49">
        <v>0.09</v>
      </c>
      <c r="N43" s="49">
        <v>0.09</v>
      </c>
      <c r="O43" s="49">
        <v>0.09</v>
      </c>
      <c r="P43" s="49">
        <v>0.09</v>
      </c>
    </row>
    <row r="44" spans="1:16">
      <c r="A44" s="2" t="s">
        <v>391</v>
      </c>
      <c r="B44" s="8"/>
      <c r="C44" s="8"/>
      <c r="D44" s="8"/>
      <c r="E44" s="8"/>
      <c r="F44" s="8"/>
      <c r="G44" s="8"/>
      <c r="H44" s="8"/>
      <c r="I44" s="8"/>
      <c r="J44" s="8">
        <v>2.1999999999999999E-2</v>
      </c>
      <c r="K44" s="8">
        <v>2.5000000000000001E-2</v>
      </c>
      <c r="L44" s="8">
        <v>-6.0000000000000001E-3</v>
      </c>
      <c r="M44" s="49">
        <v>3.2000000000000001E-2</v>
      </c>
      <c r="N44" s="49">
        <v>3.2000000000000001E-2</v>
      </c>
      <c r="O44" s="49">
        <v>3.2000000000000001E-2</v>
      </c>
      <c r="P44" s="49">
        <v>3.2000000000000001E-2</v>
      </c>
    </row>
    <row r="45" spans="1: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</sheetData>
  <mergeCells count="1">
    <mergeCell ref="A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00"/>
  <sheetViews>
    <sheetView showGridLines="0" topLeftCell="A15" workbookViewId="0">
      <selection sqref="A1:P1"/>
    </sheetView>
  </sheetViews>
  <sheetFormatPr defaultRowHeight="13.8"/>
  <cols>
    <col min="1" max="1" width="38" customWidth="1"/>
    <col min="2" max="16" width="12" customWidth="1"/>
  </cols>
  <sheetData>
    <row r="1" spans="1:16" ht="25.05" customHeight="1">
      <c r="A1" s="95" t="s">
        <v>392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57" t="s">
        <v>102</v>
      </c>
      <c r="B4" s="57" t="s">
        <v>2</v>
      </c>
      <c r="C4" s="57" t="s">
        <v>3</v>
      </c>
      <c r="D4" s="57" t="s">
        <v>4</v>
      </c>
      <c r="E4" s="57" t="s">
        <v>5</v>
      </c>
      <c r="F4" s="57" t="s">
        <v>6</v>
      </c>
      <c r="G4" s="57" t="s">
        <v>7</v>
      </c>
      <c r="H4" s="57" t="s">
        <v>8</v>
      </c>
      <c r="I4" s="57" t="s">
        <v>9</v>
      </c>
      <c r="J4" s="57" t="s">
        <v>10</v>
      </c>
      <c r="K4" s="57" t="s">
        <v>11</v>
      </c>
      <c r="L4" s="57" t="s">
        <v>12</v>
      </c>
      <c r="M4" s="57" t="s">
        <v>13</v>
      </c>
      <c r="N4" s="57" t="s">
        <v>14</v>
      </c>
      <c r="O4" s="57" t="s">
        <v>15</v>
      </c>
      <c r="P4" s="57" t="s">
        <v>16</v>
      </c>
    </row>
    <row r="5" spans="1:16">
      <c r="A5" s="65" t="s">
        <v>393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51">
        <f t="shared" ref="M5:P18" si="0">L5</f>
        <v>0</v>
      </c>
      <c r="N5" s="51">
        <f t="shared" si="0"/>
        <v>0</v>
      </c>
      <c r="O5" s="51">
        <f t="shared" si="0"/>
        <v>0</v>
      </c>
      <c r="P5" s="51">
        <f t="shared" si="0"/>
        <v>0</v>
      </c>
    </row>
    <row r="6" spans="1:16">
      <c r="A6" s="2" t="s">
        <v>118</v>
      </c>
      <c r="B6" s="4">
        <v>829</v>
      </c>
      <c r="C6" s="4">
        <v>897</v>
      </c>
      <c r="D6" s="4">
        <v>963</v>
      </c>
      <c r="E6" s="4">
        <v>1008</v>
      </c>
      <c r="F6" s="4">
        <v>1072</v>
      </c>
      <c r="G6" s="4">
        <v>1096</v>
      </c>
      <c r="H6" s="4">
        <v>1182</v>
      </c>
      <c r="I6" s="4">
        <v>1241</v>
      </c>
      <c r="J6" s="4">
        <v>1294</v>
      </c>
      <c r="K6" s="4">
        <v>1332</v>
      </c>
      <c r="L6" s="4">
        <v>1397</v>
      </c>
      <c r="M6" s="54">
        <f t="shared" si="0"/>
        <v>1397</v>
      </c>
      <c r="N6" s="54">
        <f t="shared" si="0"/>
        <v>1397</v>
      </c>
      <c r="O6" s="54">
        <f t="shared" si="0"/>
        <v>1397</v>
      </c>
      <c r="P6" s="54">
        <f t="shared" si="0"/>
        <v>1397</v>
      </c>
    </row>
    <row r="7" spans="1:16">
      <c r="A7" s="2" t="s">
        <v>120</v>
      </c>
      <c r="B7" s="4">
        <v>429</v>
      </c>
      <c r="C7" s="4">
        <v>459</v>
      </c>
      <c r="D7" s="4">
        <v>495</v>
      </c>
      <c r="E7" s="4">
        <v>532</v>
      </c>
      <c r="F7" s="4">
        <v>565</v>
      </c>
      <c r="G7" s="4">
        <v>569</v>
      </c>
      <c r="H7" s="4">
        <v>638</v>
      </c>
      <c r="I7" s="4">
        <v>665</v>
      </c>
      <c r="J7" s="4">
        <v>693</v>
      </c>
      <c r="K7" s="4">
        <v>723</v>
      </c>
      <c r="L7" s="4">
        <v>738</v>
      </c>
      <c r="M7" s="54">
        <v>746</v>
      </c>
      <c r="N7" s="54">
        <v>746</v>
      </c>
      <c r="O7" s="54">
        <v>746</v>
      </c>
      <c r="P7" s="54">
        <v>746</v>
      </c>
    </row>
    <row r="8" spans="1:16">
      <c r="A8" s="2" t="s">
        <v>121</v>
      </c>
      <c r="B8" s="4">
        <v>298</v>
      </c>
      <c r="C8" s="4">
        <v>310</v>
      </c>
      <c r="D8" s="4">
        <v>350</v>
      </c>
      <c r="E8" s="4">
        <v>371</v>
      </c>
      <c r="F8" s="4">
        <v>391</v>
      </c>
      <c r="G8" s="4">
        <v>387</v>
      </c>
      <c r="H8" s="4">
        <v>439</v>
      </c>
      <c r="I8" s="4">
        <v>461</v>
      </c>
      <c r="J8" s="4">
        <v>487</v>
      </c>
      <c r="K8" s="4">
        <v>493</v>
      </c>
      <c r="L8" s="4">
        <v>499</v>
      </c>
      <c r="M8" s="54">
        <f t="shared" si="0"/>
        <v>499</v>
      </c>
      <c r="N8" s="54">
        <f t="shared" si="0"/>
        <v>499</v>
      </c>
      <c r="O8" s="54">
        <f t="shared" si="0"/>
        <v>499</v>
      </c>
      <c r="P8" s="54">
        <f t="shared" si="0"/>
        <v>499</v>
      </c>
    </row>
    <row r="9" spans="1:16">
      <c r="A9" s="2" t="s">
        <v>122</v>
      </c>
      <c r="B9" s="4">
        <v>173</v>
      </c>
      <c r="C9" s="4">
        <v>190</v>
      </c>
      <c r="D9" s="4">
        <v>207</v>
      </c>
      <c r="E9" s="4">
        <v>215</v>
      </c>
      <c r="F9" s="4">
        <v>240</v>
      </c>
      <c r="G9" s="4">
        <v>228</v>
      </c>
      <c r="H9" s="4">
        <v>268</v>
      </c>
      <c r="I9" s="4">
        <v>291</v>
      </c>
      <c r="J9" s="4">
        <v>301</v>
      </c>
      <c r="K9" s="4">
        <v>298</v>
      </c>
      <c r="L9" s="4">
        <v>311</v>
      </c>
      <c r="M9" s="54">
        <v>307</v>
      </c>
      <c r="N9" s="54">
        <v>307</v>
      </c>
      <c r="O9" s="54">
        <v>307</v>
      </c>
      <c r="P9" s="54">
        <v>307</v>
      </c>
    </row>
    <row r="10" spans="1:16">
      <c r="A10" s="2" t="s">
        <v>123</v>
      </c>
      <c r="B10" s="4">
        <v>73</v>
      </c>
      <c r="C10" s="4">
        <v>84</v>
      </c>
      <c r="D10" s="4">
        <v>97</v>
      </c>
      <c r="E10" s="4">
        <v>99</v>
      </c>
      <c r="F10" s="4">
        <v>105</v>
      </c>
      <c r="G10" s="4">
        <v>101</v>
      </c>
      <c r="H10" s="4">
        <v>120</v>
      </c>
      <c r="I10" s="4">
        <v>133</v>
      </c>
      <c r="J10" s="4">
        <v>139</v>
      </c>
      <c r="K10" s="4">
        <v>130</v>
      </c>
      <c r="L10" s="4">
        <v>139</v>
      </c>
      <c r="M10" s="54">
        <v>139</v>
      </c>
      <c r="N10" s="54">
        <f t="shared" ref="N10:N11" si="1">M10*(1+N24)</f>
        <v>139</v>
      </c>
      <c r="O10" s="54">
        <f t="shared" si="0"/>
        <v>139</v>
      </c>
      <c r="P10" s="54">
        <f t="shared" si="0"/>
        <v>139</v>
      </c>
    </row>
    <row r="11" spans="1:16">
      <c r="A11" s="2" t="s">
        <v>124</v>
      </c>
      <c r="B11" s="4">
        <v>37</v>
      </c>
      <c r="C11" s="4">
        <v>35</v>
      </c>
      <c r="D11" s="4">
        <v>38</v>
      </c>
      <c r="E11" s="4">
        <v>44</v>
      </c>
      <c r="F11" s="4">
        <v>49</v>
      </c>
      <c r="G11" s="4">
        <v>48</v>
      </c>
      <c r="H11" s="4">
        <v>58</v>
      </c>
      <c r="I11" s="4">
        <v>60</v>
      </c>
      <c r="J11" s="4">
        <v>62</v>
      </c>
      <c r="K11" s="4">
        <v>64</v>
      </c>
      <c r="L11" s="4">
        <v>66</v>
      </c>
      <c r="M11" s="54">
        <v>66</v>
      </c>
      <c r="N11" s="54">
        <f t="shared" si="1"/>
        <v>6322.14</v>
      </c>
      <c r="O11" s="54">
        <f t="shared" si="0"/>
        <v>6322.14</v>
      </c>
      <c r="P11" s="54">
        <f t="shared" si="0"/>
        <v>6322.14</v>
      </c>
    </row>
    <row r="12" spans="1:16" s="40" customFormat="1">
      <c r="A12" s="78" t="s">
        <v>394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51">
        <f t="shared" si="0"/>
        <v>0</v>
      </c>
      <c r="N12" s="51">
        <f t="shared" si="0"/>
        <v>0</v>
      </c>
      <c r="O12" s="51">
        <f t="shared" si="0"/>
        <v>0</v>
      </c>
      <c r="P12" s="51">
        <f t="shared" si="0"/>
        <v>0</v>
      </c>
    </row>
    <row r="13" spans="1:16" s="40" customFormat="1">
      <c r="A13" s="89" t="s">
        <v>109</v>
      </c>
      <c r="B13" s="4">
        <v>353843</v>
      </c>
      <c r="C13" s="4">
        <v>387223</v>
      </c>
      <c r="D13" s="4">
        <v>394998</v>
      </c>
      <c r="E13" s="4">
        <v>424285</v>
      </c>
      <c r="F13" s="4">
        <v>448464</v>
      </c>
      <c r="G13" s="4">
        <v>488649</v>
      </c>
      <c r="H13" s="4">
        <v>592195</v>
      </c>
      <c r="I13" s="4">
        <v>614795</v>
      </c>
      <c r="J13" s="4">
        <v>601546</v>
      </c>
      <c r="K13" s="4">
        <v>607979</v>
      </c>
      <c r="L13" s="4">
        <v>584519</v>
      </c>
      <c r="M13" s="54">
        <f t="shared" si="0"/>
        <v>584519</v>
      </c>
      <c r="N13" s="54">
        <f t="shared" si="0"/>
        <v>584519</v>
      </c>
      <c r="O13" s="54">
        <f t="shared" si="0"/>
        <v>584519</v>
      </c>
      <c r="P13" s="54">
        <f t="shared" si="0"/>
        <v>584519</v>
      </c>
    </row>
    <row r="14" spans="1:16" s="40" customFormat="1">
      <c r="A14" s="89" t="s">
        <v>112</v>
      </c>
      <c r="B14" s="4">
        <v>9152</v>
      </c>
      <c r="C14" s="4">
        <v>8726</v>
      </c>
      <c r="D14" s="4">
        <v>4118</v>
      </c>
      <c r="E14" s="4">
        <v>6356</v>
      </c>
      <c r="F14" s="4">
        <v>1789</v>
      </c>
      <c r="G14" s="4">
        <v>19388</v>
      </c>
      <c r="H14" s="4">
        <v>35209</v>
      </c>
      <c r="I14" s="4">
        <v>821</v>
      </c>
      <c r="J14" s="4">
        <v>-1759</v>
      </c>
      <c r="K14" s="4">
        <v>625</v>
      </c>
      <c r="L14" s="4">
        <v>2356</v>
      </c>
      <c r="M14" s="54">
        <f t="shared" si="0"/>
        <v>2356</v>
      </c>
      <c r="N14" s="54">
        <f t="shared" si="0"/>
        <v>2356</v>
      </c>
      <c r="O14" s="54">
        <f t="shared" si="0"/>
        <v>2356</v>
      </c>
      <c r="P14" s="54">
        <f t="shared" si="0"/>
        <v>2356</v>
      </c>
    </row>
    <row r="15" spans="1:16" s="40" customFormat="1">
      <c r="A15" s="89" t="s">
        <v>114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>
        <v>0.13700000000000001</v>
      </c>
      <c r="M15" s="49">
        <f t="shared" si="0"/>
        <v>0.13700000000000001</v>
      </c>
      <c r="N15" s="49">
        <f t="shared" si="0"/>
        <v>0.13700000000000001</v>
      </c>
      <c r="O15" s="49">
        <f t="shared" si="0"/>
        <v>0.13700000000000001</v>
      </c>
      <c r="P15" s="49">
        <f t="shared" si="0"/>
        <v>0.13700000000000001</v>
      </c>
    </row>
    <row r="16" spans="1:16">
      <c r="A16" s="2" t="s">
        <v>395</v>
      </c>
      <c r="B16" s="4">
        <v>129</v>
      </c>
      <c r="C16" s="4">
        <v>130</v>
      </c>
      <c r="D16" s="4">
        <v>131</v>
      </c>
      <c r="E16" s="4">
        <v>147</v>
      </c>
      <c r="F16" s="4">
        <v>144</v>
      </c>
      <c r="G16" s="4">
        <v>154</v>
      </c>
      <c r="H16" s="4">
        <v>153</v>
      </c>
      <c r="I16" s="4">
        <v>150</v>
      </c>
      <c r="J16" s="4">
        <v>152</v>
      </c>
      <c r="K16" s="4">
        <v>152</v>
      </c>
      <c r="L16" s="4">
        <v>149</v>
      </c>
      <c r="M16" s="54">
        <f t="shared" si="0"/>
        <v>149</v>
      </c>
      <c r="N16" s="54">
        <f t="shared" si="0"/>
        <v>149</v>
      </c>
      <c r="O16" s="54">
        <f t="shared" si="0"/>
        <v>149</v>
      </c>
      <c r="P16" s="54">
        <f t="shared" si="0"/>
        <v>149</v>
      </c>
    </row>
    <row r="17" spans="1:16">
      <c r="A17" s="2" t="s">
        <v>116</v>
      </c>
      <c r="B17" s="8">
        <v>0.33800000000000002</v>
      </c>
      <c r="C17" s="8">
        <v>0.34700000000000003</v>
      </c>
      <c r="D17" s="8">
        <v>0.35299999999999998</v>
      </c>
      <c r="E17" s="8">
        <v>0.35899999999999999</v>
      </c>
      <c r="F17" s="8">
        <v>0.36200000000000004</v>
      </c>
      <c r="G17" s="8">
        <v>0.36499999999999999</v>
      </c>
      <c r="H17" s="8">
        <v>0.35600000000000004</v>
      </c>
      <c r="I17" s="8">
        <v>0.35700000000000004</v>
      </c>
      <c r="J17" s="8">
        <v>0.35600000000000004</v>
      </c>
      <c r="K17" s="8">
        <v>0.35200000000000004</v>
      </c>
      <c r="L17" s="8">
        <v>0.35200000000000004</v>
      </c>
      <c r="M17" s="49">
        <v>0.35</v>
      </c>
      <c r="N17" s="49">
        <f t="shared" ref="N17:P17" si="2">M17*(1+N27)</f>
        <v>38.765999999999998</v>
      </c>
      <c r="O17" s="49">
        <f t="shared" si="2"/>
        <v>4293.7221600000003</v>
      </c>
      <c r="P17" s="49">
        <f t="shared" si="2"/>
        <v>475572.66644160007</v>
      </c>
    </row>
    <row r="18" spans="1:16" s="40" customFormat="1">
      <c r="A18" s="78" t="s">
        <v>396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51"/>
      <c r="N18" s="51"/>
      <c r="O18" s="51">
        <f t="shared" si="0"/>
        <v>0</v>
      </c>
      <c r="P18" s="51">
        <f t="shared" si="0"/>
        <v>0</v>
      </c>
    </row>
    <row r="19" spans="1:16">
      <c r="A19" s="2" t="s">
        <v>397</v>
      </c>
      <c r="B19" s="8">
        <v>0.57399999999999995</v>
      </c>
      <c r="C19" s="8">
        <v>0.56259999999999999</v>
      </c>
      <c r="D19" s="8">
        <v>0.53320000000000001</v>
      </c>
      <c r="E19" s="8">
        <v>0.53129999999999999</v>
      </c>
      <c r="F19" s="8">
        <v>0.52929999999999999</v>
      </c>
      <c r="G19" s="8">
        <v>0.50929999999999997</v>
      </c>
      <c r="H19" s="8">
        <v>0.54090000000000005</v>
      </c>
      <c r="I19" s="8">
        <v>0.5494</v>
      </c>
      <c r="J19" s="8">
        <v>0.51939999999999997</v>
      </c>
      <c r="K19" s="8">
        <v>0.497</v>
      </c>
      <c r="L19" s="8">
        <v>0.48945</v>
      </c>
      <c r="M19" s="49">
        <v>0.48651</v>
      </c>
      <c r="N19" s="49">
        <v>0.48651</v>
      </c>
      <c r="O19" s="49">
        <v>0.48651</v>
      </c>
      <c r="P19" s="49">
        <v>0.48651</v>
      </c>
    </row>
    <row r="20" spans="1:16">
      <c r="A20" s="18" t="s">
        <v>398</v>
      </c>
      <c r="B20" s="8">
        <v>0.13200000000000001</v>
      </c>
      <c r="C20" s="8">
        <v>0.1186</v>
      </c>
      <c r="D20" s="8">
        <v>0.13100000000000001</v>
      </c>
      <c r="E20" s="8">
        <v>0.14249999999999999</v>
      </c>
      <c r="F20" s="8">
        <v>0.14119999999999999</v>
      </c>
      <c r="G20" s="8">
        <v>0.13800000000000001</v>
      </c>
      <c r="H20" s="8">
        <v>0.1346</v>
      </c>
      <c r="I20" s="8">
        <v>0.1356</v>
      </c>
      <c r="J20" s="8">
        <v>0.1467</v>
      </c>
      <c r="K20" s="8">
        <v>0.14699999999999999</v>
      </c>
      <c r="L20" s="8">
        <v>0.15145</v>
      </c>
      <c r="M20" s="49">
        <v>0.15099000000000001</v>
      </c>
      <c r="N20" s="49">
        <v>0.15099000000000001</v>
      </c>
      <c r="O20" s="49">
        <v>0.15099000000000001</v>
      </c>
      <c r="P20" s="49">
        <v>0.15099000000000001</v>
      </c>
    </row>
    <row r="21" spans="1:16">
      <c r="A21" s="2" t="s">
        <v>399</v>
      </c>
      <c r="B21" s="8">
        <v>7.9000000000000001E-2</v>
      </c>
      <c r="C21" s="8">
        <f t="shared" ref="C21:H21" si="3">C7/B7-1</f>
        <v>6.9930069930070005E-2</v>
      </c>
      <c r="D21" s="8">
        <f t="shared" si="3"/>
        <v>7.8431372549019551E-2</v>
      </c>
      <c r="E21" s="8">
        <f t="shared" si="3"/>
        <v>7.4747474747474785E-2</v>
      </c>
      <c r="F21" s="8">
        <f t="shared" si="3"/>
        <v>6.203007518796988E-2</v>
      </c>
      <c r="G21" s="8">
        <f t="shared" si="3"/>
        <v>7.0796460176991705E-3</v>
      </c>
      <c r="H21" s="8">
        <f t="shared" si="3"/>
        <v>0.12126537785588742</v>
      </c>
      <c r="I21" s="8">
        <v>0.11070000000000001</v>
      </c>
      <c r="J21" s="8">
        <v>0.1118</v>
      </c>
      <c r="K21" s="8">
        <v>0.10970000000000001</v>
      </c>
      <c r="L21" s="8">
        <v>0.11862</v>
      </c>
      <c r="M21" s="49">
        <v>0.11879000000000001</v>
      </c>
      <c r="N21" s="49">
        <v>0.11879000000000001</v>
      </c>
      <c r="O21" s="49">
        <v>0.11879000000000001</v>
      </c>
      <c r="P21" s="49">
        <v>0.11879000000000001</v>
      </c>
    </row>
    <row r="22" spans="1:16">
      <c r="A22" s="2" t="s">
        <v>400</v>
      </c>
      <c r="B22" s="8">
        <v>0.215</v>
      </c>
      <c r="C22" s="8">
        <v>0.23880000000000001</v>
      </c>
      <c r="D22" s="8">
        <v>0.23370000000000002</v>
      </c>
      <c r="E22" s="8">
        <v>0.22489999999999999</v>
      </c>
      <c r="F22" s="8">
        <v>0.22</v>
      </c>
      <c r="G22" s="8">
        <v>0.22650000000000001</v>
      </c>
      <c r="H22" s="8">
        <v>0.2117</v>
      </c>
      <c r="I22" s="8">
        <v>0.20430000000000001</v>
      </c>
      <c r="J22" s="8">
        <v>0.22209999999999999</v>
      </c>
      <c r="K22" s="8">
        <v>0.24629999999999999</v>
      </c>
      <c r="L22" s="8">
        <v>0.24049999999999999</v>
      </c>
      <c r="M22" s="49">
        <v>0.2437</v>
      </c>
      <c r="N22" s="49">
        <v>0.2437</v>
      </c>
      <c r="O22" s="49">
        <v>0.2437</v>
      </c>
      <c r="P22" s="49">
        <v>0.2437</v>
      </c>
    </row>
    <row r="23" spans="1:16">
      <c r="A23" s="2" t="s">
        <v>401</v>
      </c>
      <c r="B23" s="8">
        <v>1</v>
      </c>
      <c r="C23" s="8">
        <f t="shared" ref="C23:H23" si="4">C9/B9-1</f>
        <v>9.8265895953757232E-2</v>
      </c>
      <c r="D23" s="8">
        <f t="shared" si="4"/>
        <v>8.9473684210526372E-2</v>
      </c>
      <c r="E23" s="8">
        <f t="shared" si="4"/>
        <v>3.8647342995169032E-2</v>
      </c>
      <c r="F23" s="8">
        <f t="shared" si="4"/>
        <v>0.11627906976744184</v>
      </c>
      <c r="G23" s="8">
        <f t="shared" si="4"/>
        <v>-5.0000000000000044E-2</v>
      </c>
      <c r="H23" s="8">
        <f t="shared" si="4"/>
        <v>0.17543859649122817</v>
      </c>
      <c r="I23" s="8">
        <v>1</v>
      </c>
      <c r="J23" s="8">
        <v>0.99999999999999989</v>
      </c>
      <c r="K23" s="8">
        <v>1</v>
      </c>
      <c r="L23" s="8">
        <v>1.0000199999999999</v>
      </c>
      <c r="M23" s="49">
        <v>0.99998999999999993</v>
      </c>
      <c r="N23" s="49">
        <v>0.99998999999999993</v>
      </c>
      <c r="O23" s="49">
        <v>0.99998999999999993</v>
      </c>
      <c r="P23" s="49">
        <v>0.99998999999999993</v>
      </c>
    </row>
    <row r="24" spans="1:16">
      <c r="A24" s="65" t="s">
        <v>402</v>
      </c>
      <c r="B24" s="77"/>
      <c r="C24" s="77">
        <f t="shared" ref="C24:M25" si="5">C10/B10-1</f>
        <v>0.15068493150684925</v>
      </c>
      <c r="D24" s="77">
        <f t="shared" si="5"/>
        <v>0.15476190476190466</v>
      </c>
      <c r="E24" s="77">
        <f t="shared" si="5"/>
        <v>2.0618556701030855E-2</v>
      </c>
      <c r="F24" s="77">
        <f t="shared" si="5"/>
        <v>6.0606060606060552E-2</v>
      </c>
      <c r="G24" s="77">
        <f t="shared" si="5"/>
        <v>-3.8095238095238071E-2</v>
      </c>
      <c r="H24" s="77">
        <f t="shared" si="5"/>
        <v>0.18811881188118806</v>
      </c>
      <c r="I24" s="77">
        <f t="shared" si="5"/>
        <v>0.10833333333333339</v>
      </c>
      <c r="J24" s="77">
        <f t="shared" si="5"/>
        <v>4.5112781954887327E-2</v>
      </c>
      <c r="K24" s="77">
        <f t="shared" si="5"/>
        <v>-6.4748201438848962E-2</v>
      </c>
      <c r="L24" s="77">
        <f t="shared" si="5"/>
        <v>6.9230769230769207E-2</v>
      </c>
      <c r="M24" s="51">
        <f t="shared" si="5"/>
        <v>0</v>
      </c>
      <c r="N24" s="51"/>
      <c r="O24" s="51">
        <f t="shared" ref="O24:P24" si="6">N24</f>
        <v>0</v>
      </c>
      <c r="P24" s="51">
        <f t="shared" si="6"/>
        <v>0</v>
      </c>
    </row>
    <row r="25" spans="1:16">
      <c r="A25" s="2" t="s">
        <v>403</v>
      </c>
      <c r="B25" s="79">
        <v>67.626765000000006</v>
      </c>
      <c r="C25" s="79">
        <f t="shared" ref="C25:L25" si="7">C11/B11-1</f>
        <v>-5.4054054054054057E-2</v>
      </c>
      <c r="D25" s="79">
        <f t="shared" si="7"/>
        <v>8.5714285714285632E-2</v>
      </c>
      <c r="E25" s="79">
        <f t="shared" si="7"/>
        <v>0.15789473684210531</v>
      </c>
      <c r="F25" s="79">
        <f t="shared" si="7"/>
        <v>0.11363636363636354</v>
      </c>
      <c r="G25" s="79">
        <f t="shared" si="7"/>
        <v>-2.0408163265306145E-2</v>
      </c>
      <c r="H25" s="79">
        <f t="shared" si="7"/>
        <v>0.20833333333333326</v>
      </c>
      <c r="I25" s="79">
        <f t="shared" si="7"/>
        <v>3.4482758620689724E-2</v>
      </c>
      <c r="J25" s="79">
        <f t="shared" si="7"/>
        <v>3.3333333333333437E-2</v>
      </c>
      <c r="K25" s="79">
        <f t="shared" si="7"/>
        <v>3.2258064516129004E-2</v>
      </c>
      <c r="L25" s="79">
        <f t="shared" si="7"/>
        <v>3.125E-2</v>
      </c>
      <c r="M25" s="80">
        <f t="shared" si="5"/>
        <v>0</v>
      </c>
      <c r="N25" s="80">
        <v>94.79</v>
      </c>
      <c r="O25" s="80">
        <f t="shared" ref="O25:P25" si="8">N25</f>
        <v>94.79</v>
      </c>
      <c r="P25" s="80">
        <f t="shared" si="8"/>
        <v>94.79</v>
      </c>
    </row>
    <row r="26" spans="1:16">
      <c r="A26" s="2" t="s">
        <v>404</v>
      </c>
      <c r="B26" s="79">
        <v>96.002161000000001</v>
      </c>
      <c r="C26" s="79">
        <v>82.867152000000004</v>
      </c>
      <c r="D26" s="79">
        <v>90.51</v>
      </c>
      <c r="E26" s="79">
        <v>92.37</v>
      </c>
      <c r="F26" s="79">
        <v>92.66</v>
      </c>
      <c r="G26" s="79">
        <v>100.69</v>
      </c>
      <c r="H26" s="79">
        <v>100.48</v>
      </c>
      <c r="I26" s="79">
        <v>100.44</v>
      </c>
      <c r="J26" s="79">
        <v>105.13</v>
      </c>
      <c r="K26" s="79">
        <v>109.68</v>
      </c>
      <c r="L26" s="79">
        <v>124.72</v>
      </c>
      <c r="M26" s="80">
        <v>126.8</v>
      </c>
      <c r="N26" s="80">
        <v>126.8</v>
      </c>
      <c r="O26" s="80">
        <v>126.8</v>
      </c>
      <c r="P26" s="80">
        <v>126.8</v>
      </c>
    </row>
    <row r="27" spans="1:16">
      <c r="A27" s="2" t="s">
        <v>405</v>
      </c>
      <c r="B27" s="79">
        <v>74.775602000000006</v>
      </c>
      <c r="C27" s="79">
        <v>71.104736000000003</v>
      </c>
      <c r="D27" s="79">
        <v>79.739999999999995</v>
      </c>
      <c r="E27" s="79">
        <f t="shared" ref="E27:L27" si="9">E17/D17-1</f>
        <v>1.6997167138810276E-2</v>
      </c>
      <c r="F27" s="79">
        <f t="shared" si="9"/>
        <v>8.3565459610028814E-3</v>
      </c>
      <c r="G27" s="79">
        <f t="shared" si="9"/>
        <v>8.2872928176793703E-3</v>
      </c>
      <c r="H27" s="79">
        <f t="shared" si="9"/>
        <v>-2.4657534246575241E-2</v>
      </c>
      <c r="I27" s="79">
        <f t="shared" si="9"/>
        <v>2.8089887640450062E-3</v>
      </c>
      <c r="J27" s="79">
        <f t="shared" si="9"/>
        <v>-2.8011204481792618E-3</v>
      </c>
      <c r="K27" s="79">
        <f t="shared" si="9"/>
        <v>-1.1235955056179803E-2</v>
      </c>
      <c r="L27" s="79">
        <f t="shared" si="9"/>
        <v>0</v>
      </c>
      <c r="M27" s="80">
        <v>109.76</v>
      </c>
      <c r="N27" s="80">
        <v>109.76</v>
      </c>
      <c r="O27" s="80">
        <v>109.76</v>
      </c>
      <c r="P27" s="80">
        <v>109.76</v>
      </c>
    </row>
    <row r="28" spans="1:16">
      <c r="A28" s="65" t="s">
        <v>406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51"/>
      <c r="N28" s="51"/>
      <c r="O28" s="51"/>
      <c r="P28" s="51"/>
    </row>
    <row r="29" spans="1:16">
      <c r="A29" s="2" t="s">
        <v>407</v>
      </c>
      <c r="B29" s="8">
        <v>2.4E-2</v>
      </c>
      <c r="C29" s="8">
        <v>-1.7999999999999999E-2</v>
      </c>
      <c r="D29" s="8">
        <v>2E-3</v>
      </c>
      <c r="E29" s="8"/>
      <c r="F29" s="8"/>
      <c r="G29" s="8">
        <v>3.9E-2</v>
      </c>
      <c r="H29" s="8"/>
      <c r="I29" s="8"/>
      <c r="J29" s="8"/>
      <c r="K29" s="8"/>
      <c r="L29" s="8">
        <v>1.4E-2</v>
      </c>
      <c r="M29" s="49">
        <v>-4.0000000000000001E-3</v>
      </c>
      <c r="N29" s="49">
        <v>-4.0000000000000001E-3</v>
      </c>
      <c r="O29" s="49">
        <v>-4.0000000000000001E-3</v>
      </c>
      <c r="P29" s="49">
        <v>-4.0000000000000001E-3</v>
      </c>
    </row>
    <row r="30" spans="1:16">
      <c r="A30" s="2" t="s">
        <v>408</v>
      </c>
      <c r="B30" s="8">
        <v>1.7999999999999999E-2</v>
      </c>
      <c r="C30" s="8">
        <v>-7.2999999999999995E-2</v>
      </c>
      <c r="D30" s="8">
        <v>-7.8E-2</v>
      </c>
      <c r="E30" s="8"/>
      <c r="F30" s="8"/>
      <c r="G30" s="8">
        <v>2.5000000000000001E-2</v>
      </c>
      <c r="H30" s="8"/>
      <c r="I30" s="8"/>
      <c r="J30" s="8"/>
      <c r="K30" s="8"/>
      <c r="L30" s="8">
        <v>-6.9000000000000006E-2</v>
      </c>
      <c r="M30" s="49">
        <v>6.0000000000000001E-3</v>
      </c>
      <c r="N30" s="49">
        <v>6.0000000000000001E-3</v>
      </c>
      <c r="O30" s="49">
        <v>6.0000000000000001E-3</v>
      </c>
      <c r="P30" s="49">
        <v>6.0000000000000001E-3</v>
      </c>
    </row>
    <row r="31" spans="1:16">
      <c r="A31" s="2" t="s">
        <v>409</v>
      </c>
      <c r="B31" s="8">
        <v>-4.0000000000000001E-3</v>
      </c>
      <c r="C31" s="8">
        <v>4.1000000000000002E-2</v>
      </c>
      <c r="D31" s="8">
        <v>6.3E-2</v>
      </c>
      <c r="E31" s="8"/>
      <c r="F31" s="8"/>
      <c r="G31" s="8">
        <v>3.4000000000000002E-2</v>
      </c>
      <c r="H31" s="8"/>
      <c r="I31" s="8"/>
      <c r="J31" s="8"/>
      <c r="K31" s="8"/>
      <c r="L31" s="8">
        <v>2.4E-2</v>
      </c>
      <c r="M31" s="49">
        <v>3.0000000000000001E-3</v>
      </c>
      <c r="N31" s="49">
        <v>3.0000000000000001E-3</v>
      </c>
      <c r="O31" s="49">
        <v>3.0000000000000001E-3</v>
      </c>
      <c r="P31" s="49">
        <v>3.0000000000000001E-3</v>
      </c>
    </row>
    <row r="32" spans="1:16">
      <c r="A32" s="2" t="s">
        <v>410</v>
      </c>
      <c r="B32" s="8">
        <v>3.5999999999999997E-2</v>
      </c>
      <c r="C32" s="8">
        <v>7.0999999999999994E-2</v>
      </c>
      <c r="D32" s="8">
        <v>4.4999999999999998E-2</v>
      </c>
      <c r="E32" s="8"/>
      <c r="F32" s="8"/>
      <c r="G32" s="8">
        <v>8.5000000000000006E-2</v>
      </c>
      <c r="H32" s="8"/>
      <c r="I32" s="8"/>
      <c r="J32" s="8"/>
      <c r="K32" s="8"/>
      <c r="L32" s="8">
        <v>0.01</v>
      </c>
      <c r="M32" s="49">
        <v>-2E-3</v>
      </c>
      <c r="N32" s="49">
        <v>-2E-3</v>
      </c>
      <c r="O32" s="49">
        <v>-2E-3</v>
      </c>
      <c r="P32" s="49">
        <v>-2E-3</v>
      </c>
    </row>
    <row r="33" spans="1:16">
      <c r="A33" s="2" t="s">
        <v>411</v>
      </c>
      <c r="B33" s="8">
        <v>2.1999999999999999E-2</v>
      </c>
      <c r="C33" s="8">
        <v>9.2999999999999999E-2</v>
      </c>
      <c r="D33" s="8">
        <v>2.8000000000000001E-2</v>
      </c>
      <c r="E33" s="8"/>
      <c r="F33" s="8"/>
      <c r="G33" s="8">
        <v>2.8000000000000001E-2</v>
      </c>
      <c r="H33" s="8"/>
      <c r="I33" s="8"/>
      <c r="J33" s="8"/>
      <c r="K33" s="8"/>
      <c r="L33" s="8">
        <v>1.7000000000000001E-2</v>
      </c>
      <c r="M33" s="49">
        <v>7.5999999999999998E-2</v>
      </c>
      <c r="N33" s="49">
        <v>7.5999999999999998E-2</v>
      </c>
      <c r="O33" s="49">
        <v>7.5999999999999998E-2</v>
      </c>
      <c r="P33" s="49">
        <v>7.5999999999999998E-2</v>
      </c>
    </row>
    <row r="34" spans="1:16">
      <c r="A34" s="2" t="s">
        <v>412</v>
      </c>
      <c r="B34" s="8">
        <v>1.0999999999999999E-2</v>
      </c>
      <c r="C34" s="8">
        <v>1.9E-2</v>
      </c>
      <c r="D34" s="8">
        <v>0.04</v>
      </c>
      <c r="E34" s="8"/>
      <c r="F34" s="8"/>
      <c r="G34" s="8">
        <v>0.01</v>
      </c>
      <c r="H34" s="8"/>
      <c r="I34" s="8"/>
      <c r="J34" s="8"/>
      <c r="K34" s="8"/>
      <c r="L34" s="8">
        <v>-5.0000000000000001E-3</v>
      </c>
      <c r="M34" s="49">
        <v>1.4E-2</v>
      </c>
      <c r="N34" s="49">
        <v>1.4E-2</v>
      </c>
      <c r="O34" s="49">
        <v>1.4E-2</v>
      </c>
      <c r="P34" s="49">
        <v>1.4E-2</v>
      </c>
    </row>
    <row r="35" spans="1:16">
      <c r="A35" s="2" t="s">
        <v>413</v>
      </c>
      <c r="B35" s="8">
        <v>9.5000000000000001E-2</v>
      </c>
      <c r="C35" s="8">
        <v>2.1000000000000001E-2</v>
      </c>
      <c r="D35" s="8">
        <v>5.0000000000000001E-3</v>
      </c>
      <c r="E35" s="8"/>
      <c r="F35" s="8"/>
      <c r="G35" s="8">
        <v>4.2000000000000003E-2</v>
      </c>
      <c r="H35" s="8"/>
      <c r="I35" s="8"/>
      <c r="J35" s="8"/>
      <c r="K35" s="8"/>
      <c r="L35" s="8">
        <v>4.0000000000000001E-3</v>
      </c>
      <c r="M35" s="49">
        <v>-1.7999999999999999E-2</v>
      </c>
      <c r="N35" s="49">
        <v>-1.7999999999999999E-2</v>
      </c>
      <c r="O35" s="49">
        <v>-1.7999999999999999E-2</v>
      </c>
      <c r="P35" s="49">
        <v>-1.7999999999999999E-2</v>
      </c>
    </row>
    <row r="36" spans="1:16">
      <c r="A36" s="2" t="s">
        <v>414</v>
      </c>
      <c r="B36" s="8">
        <v>2.1000000000000001E-2</v>
      </c>
      <c r="C36" s="8">
        <v>0.01</v>
      </c>
      <c r="D36" s="8">
        <v>0.02</v>
      </c>
      <c r="E36" s="8"/>
      <c r="F36" s="8"/>
      <c r="G36" s="8">
        <v>4.2000000000000003E-2</v>
      </c>
      <c r="H36" s="8"/>
      <c r="I36" s="8"/>
      <c r="J36" s="8"/>
      <c r="K36" s="8"/>
      <c r="L36" s="8">
        <v>1.2E-2</v>
      </c>
      <c r="M36" s="49">
        <v>4.0000000000000001E-3</v>
      </c>
      <c r="N36" s="49">
        <v>4.0000000000000001E-3</v>
      </c>
      <c r="O36" s="49">
        <v>4.0000000000000001E-3</v>
      </c>
      <c r="P36" s="49">
        <v>4.0000000000000001E-3</v>
      </c>
    </row>
    <row r="37" spans="1:16">
      <c r="A37" s="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49"/>
      <c r="N37" s="49"/>
      <c r="O37" s="49"/>
      <c r="P37" s="49"/>
    </row>
    <row r="38" spans="1: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</sheetData>
  <mergeCells count="1">
    <mergeCell ref="A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showGridLines="0" workbookViewId="0">
      <selection sqref="A1:E1"/>
    </sheetView>
  </sheetViews>
  <sheetFormatPr defaultRowHeight="13.8"/>
  <cols>
    <col min="1" max="1" width="32" customWidth="1"/>
    <col min="2" max="2" width="22" customWidth="1"/>
    <col min="3" max="3" width="20" customWidth="1"/>
    <col min="4" max="4" width="44" customWidth="1"/>
    <col min="5" max="5" width="24" customWidth="1"/>
  </cols>
  <sheetData>
    <row r="1" spans="1:5" ht="19.95" customHeight="1">
      <c r="A1" s="95" t="s">
        <v>415</v>
      </c>
      <c r="B1" s="95"/>
      <c r="C1" s="95"/>
      <c r="D1" s="95"/>
      <c r="E1" s="95"/>
    </row>
    <row r="2" spans="1:5" ht="18" customHeight="1">
      <c r="A2" s="96"/>
      <c r="B2" s="96"/>
      <c r="C2" s="96"/>
      <c r="D2" s="96"/>
      <c r="E2" s="96"/>
    </row>
    <row r="3" spans="1:5">
      <c r="A3" s="2"/>
      <c r="B3" s="2"/>
      <c r="C3" s="2"/>
      <c r="D3" s="2"/>
      <c r="E3" s="2"/>
    </row>
    <row r="4" spans="1:5">
      <c r="A4" s="12" t="s">
        <v>132</v>
      </c>
      <c r="B4" s="12" t="s">
        <v>416</v>
      </c>
      <c r="C4" s="12" t="s">
        <v>417</v>
      </c>
      <c r="D4" s="12" t="s">
        <v>418</v>
      </c>
      <c r="E4" s="12" t="s">
        <v>419</v>
      </c>
    </row>
    <row r="5" spans="1:5">
      <c r="A5" s="2" t="s">
        <v>2</v>
      </c>
      <c r="B5" s="13">
        <v>42460.15625</v>
      </c>
      <c r="C5" s="14">
        <v>609.1500244140625</v>
      </c>
      <c r="D5" s="2" t="s">
        <v>176</v>
      </c>
      <c r="E5" s="14">
        <v>12.129999999999999</v>
      </c>
    </row>
    <row r="6" spans="1:5">
      <c r="A6" s="2" t="s">
        <v>3</v>
      </c>
      <c r="B6" s="13">
        <v>42825.15625</v>
      </c>
      <c r="C6" s="14">
        <v>511.125</v>
      </c>
      <c r="D6" s="2" t="s">
        <v>176</v>
      </c>
      <c r="E6" s="14">
        <v>12.879999999999999</v>
      </c>
    </row>
    <row r="7" spans="1:5">
      <c r="A7" s="2" t="s">
        <v>4</v>
      </c>
      <c r="B7" s="13">
        <v>43187.15625</v>
      </c>
      <c r="C7" s="14">
        <v>565.9000244140625</v>
      </c>
      <c r="D7" s="2" t="s">
        <v>176</v>
      </c>
      <c r="E7" s="14">
        <v>21.75</v>
      </c>
    </row>
    <row r="8" spans="1:5">
      <c r="A8" s="2" t="s">
        <v>5</v>
      </c>
      <c r="B8" s="13">
        <v>43552.15625</v>
      </c>
      <c r="C8" s="14">
        <v>737.79998779296875</v>
      </c>
      <c r="D8" s="2" t="s">
        <v>176</v>
      </c>
      <c r="E8" s="14">
        <v>21.5</v>
      </c>
    </row>
    <row r="9" spans="1:5">
      <c r="A9" s="2" t="s">
        <v>6</v>
      </c>
      <c r="B9" s="13">
        <v>43921.15625</v>
      </c>
      <c r="C9" s="14">
        <v>641.5</v>
      </c>
      <c r="D9" s="2" t="s">
        <v>176</v>
      </c>
      <c r="E9" s="14">
        <v>17.5</v>
      </c>
    </row>
    <row r="10" spans="1:5">
      <c r="A10" s="2" t="s">
        <v>7</v>
      </c>
      <c r="B10" s="13">
        <v>44286.15625</v>
      </c>
      <c r="C10" s="14">
        <v>1368.050048828125</v>
      </c>
      <c r="D10" s="2" t="s">
        <v>176</v>
      </c>
      <c r="E10" s="14">
        <v>27</v>
      </c>
    </row>
    <row r="11" spans="1:5">
      <c r="A11" s="2" t="s">
        <v>8</v>
      </c>
      <c r="B11" s="13">
        <v>44651.15625</v>
      </c>
      <c r="C11" s="14">
        <v>1906.8499755859375</v>
      </c>
      <c r="D11" s="2" t="s">
        <v>176</v>
      </c>
      <c r="E11" s="14">
        <v>31</v>
      </c>
    </row>
    <row r="12" spans="1:5">
      <c r="A12" s="2" t="s">
        <v>9</v>
      </c>
      <c r="B12" s="13">
        <v>45016.15625</v>
      </c>
      <c r="C12" s="14">
        <v>1427.949951171875</v>
      </c>
      <c r="D12" s="2" t="s">
        <v>176</v>
      </c>
      <c r="E12" s="14">
        <v>34</v>
      </c>
    </row>
    <row r="13" spans="1:5">
      <c r="A13" s="2" t="s">
        <v>10</v>
      </c>
      <c r="B13" s="13">
        <v>45379.15625</v>
      </c>
      <c r="C13" s="14">
        <v>1498.050048828125</v>
      </c>
      <c r="D13" s="2" t="s">
        <v>176</v>
      </c>
      <c r="E13" s="14">
        <v>46</v>
      </c>
    </row>
    <row r="14" spans="1:5">
      <c r="A14" s="2" t="s">
        <v>11</v>
      </c>
      <c r="B14" s="13">
        <v>45744.15625</v>
      </c>
      <c r="C14" s="14">
        <v>1570.6500244140625</v>
      </c>
      <c r="D14" s="2" t="s">
        <v>176</v>
      </c>
      <c r="E14" s="14">
        <v>43</v>
      </c>
    </row>
    <row r="15" spans="1:5">
      <c r="A15" s="2" t="s">
        <v>12</v>
      </c>
      <c r="B15" s="13">
        <v>46111.15625</v>
      </c>
      <c r="C15" s="14">
        <v>1250.5999755859375</v>
      </c>
      <c r="D15" s="2" t="s">
        <v>176</v>
      </c>
      <c r="E15" s="14">
        <v>48</v>
      </c>
    </row>
    <row r="16" spans="1:5">
      <c r="A16" s="2" t="s">
        <v>13</v>
      </c>
      <c r="B16" s="13"/>
      <c r="C16" s="14">
        <v>1250.5999755859375</v>
      </c>
      <c r="D16" s="2" t="s">
        <v>420</v>
      </c>
      <c r="E16" s="14">
        <v>49.097915172309932</v>
      </c>
    </row>
    <row r="17" spans="1:5">
      <c r="A17" s="2" t="s">
        <v>14</v>
      </c>
      <c r="B17" s="13"/>
      <c r="C17" s="14">
        <v>1250.5999755859375</v>
      </c>
      <c r="D17" s="2" t="s">
        <v>420</v>
      </c>
      <c r="E17" s="14">
        <v>53.821716272524739</v>
      </c>
    </row>
    <row r="18" spans="1:5">
      <c r="A18" s="2" t="s">
        <v>15</v>
      </c>
      <c r="B18" s="13"/>
      <c r="C18" s="14">
        <v>1250.5999755859375</v>
      </c>
      <c r="D18" s="2" t="s">
        <v>420</v>
      </c>
      <c r="E18" s="14">
        <v>57.394576765739863</v>
      </c>
    </row>
    <row r="19" spans="1:5">
      <c r="A19" s="2" t="s">
        <v>16</v>
      </c>
      <c r="B19" s="13"/>
      <c r="C19" s="14">
        <v>1250.5999755859375</v>
      </c>
      <c r="D19" s="2" t="s">
        <v>420</v>
      </c>
      <c r="E19" s="14">
        <v>60.674359220859351</v>
      </c>
    </row>
    <row r="20" spans="1:5">
      <c r="A20" s="2" t="s">
        <v>421</v>
      </c>
      <c r="B20" s="15">
        <v>1250.5999755859375</v>
      </c>
      <c r="C20" s="96"/>
      <c r="D20" s="96"/>
      <c r="E20" s="96"/>
    </row>
    <row r="21" spans="1:5">
      <c r="A21" s="2"/>
      <c r="B21" s="2"/>
      <c r="C21" s="2"/>
      <c r="D21" s="2"/>
      <c r="E21" s="2"/>
    </row>
  </sheetData>
  <mergeCells count="3">
    <mergeCell ref="A1:E1"/>
    <mergeCell ref="A2:E2"/>
    <mergeCell ref="C20:E20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8"/>
  <sheetViews>
    <sheetView showGridLines="0" workbookViewId="0">
      <selection sqref="A1:G1"/>
    </sheetView>
  </sheetViews>
  <sheetFormatPr defaultRowHeight="13.8"/>
  <cols>
    <col min="1" max="1" width="34" customWidth="1"/>
    <col min="6" max="6" width="34" customWidth="1"/>
  </cols>
  <sheetData>
    <row r="1" spans="1:7" ht="25.05" customHeight="1">
      <c r="A1" s="95" t="s">
        <v>422</v>
      </c>
      <c r="B1" s="95"/>
      <c r="C1" s="95"/>
      <c r="D1" s="95"/>
      <c r="E1" s="95"/>
      <c r="F1" s="95"/>
      <c r="G1" s="95"/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3" t="s">
        <v>423</v>
      </c>
      <c r="B4" s="3" t="s">
        <v>424</v>
      </c>
      <c r="C4" s="3" t="s">
        <v>425</v>
      </c>
      <c r="D4" s="3" t="s">
        <v>426</v>
      </c>
      <c r="E4" s="3" t="s">
        <v>427</v>
      </c>
      <c r="F4" s="3" t="s">
        <v>136</v>
      </c>
      <c r="G4" s="3" t="s">
        <v>428</v>
      </c>
    </row>
    <row r="5" spans="1:7">
      <c r="A5" s="2" t="s">
        <v>429</v>
      </c>
      <c r="B5" s="4">
        <f>Annual_Statements!L7</f>
        <v>30017</v>
      </c>
      <c r="C5" s="4">
        <v>30017</v>
      </c>
      <c r="D5" s="4">
        <f t="shared" ref="D5:D10" si="0">B5-C5</f>
        <v>0</v>
      </c>
      <c r="E5" s="4">
        <v>0.1</v>
      </c>
      <c r="F5" s="2"/>
      <c r="G5" s="2" t="str">
        <f t="shared" ref="G5:G17" si="1">IF(ABS(D5)&lt;=E5,"OK","REVIEW")</f>
        <v>OK</v>
      </c>
    </row>
    <row r="6" spans="1:7">
      <c r="A6" s="2" t="s">
        <v>430</v>
      </c>
      <c r="B6" s="4">
        <v>0</v>
      </c>
      <c r="C6" s="4">
        <v>0</v>
      </c>
      <c r="D6" s="4">
        <f t="shared" si="0"/>
        <v>0</v>
      </c>
      <c r="E6" s="4">
        <v>0.1</v>
      </c>
      <c r="F6" s="2"/>
      <c r="G6" s="2" t="str">
        <f t="shared" si="1"/>
        <v>OK</v>
      </c>
    </row>
    <row r="7" spans="1:7">
      <c r="A7" s="2" t="s">
        <v>431</v>
      </c>
      <c r="B7" s="4">
        <v>0</v>
      </c>
      <c r="C7" s="4">
        <v>0</v>
      </c>
      <c r="D7" s="4">
        <f t="shared" si="0"/>
        <v>0</v>
      </c>
      <c r="E7" s="4">
        <v>0.1</v>
      </c>
      <c r="F7" s="2"/>
      <c r="G7" s="2" t="str">
        <f t="shared" si="1"/>
        <v>OK</v>
      </c>
    </row>
    <row r="8" spans="1:7">
      <c r="A8" s="2" t="s">
        <v>432</v>
      </c>
      <c r="B8" s="4">
        <v>7624</v>
      </c>
      <c r="C8" s="4">
        <v>7624</v>
      </c>
      <c r="D8" s="4">
        <f t="shared" si="0"/>
        <v>0</v>
      </c>
      <c r="E8" s="4">
        <v>0.1</v>
      </c>
      <c r="F8" s="2"/>
      <c r="G8" s="2" t="str">
        <f t="shared" si="1"/>
        <v>OK</v>
      </c>
    </row>
    <row r="9" spans="1:7">
      <c r="A9" s="2" t="s">
        <v>433</v>
      </c>
      <c r="B9" s="4">
        <v>72</v>
      </c>
      <c r="C9" s="4">
        <v>72</v>
      </c>
      <c r="D9" s="4">
        <f t="shared" si="0"/>
        <v>0</v>
      </c>
      <c r="E9" s="4">
        <v>0.1</v>
      </c>
      <c r="F9" s="2"/>
      <c r="G9" s="2" t="str">
        <f t="shared" si="1"/>
        <v>OK</v>
      </c>
    </row>
    <row r="10" spans="1:7">
      <c r="A10" s="2" t="s">
        <v>434</v>
      </c>
      <c r="B10" s="4">
        <v>0</v>
      </c>
      <c r="C10" s="4">
        <v>0</v>
      </c>
      <c r="D10" s="4">
        <f t="shared" si="0"/>
        <v>0</v>
      </c>
      <c r="E10" s="4">
        <v>0.1</v>
      </c>
      <c r="F10" s="2"/>
      <c r="G10" s="2" t="str">
        <f t="shared" si="1"/>
        <v>OK</v>
      </c>
    </row>
    <row r="11" spans="1:7">
      <c r="A11" s="2" t="s">
        <v>435</v>
      </c>
      <c r="B11" s="4">
        <f>COUNTBLANK(Assumptions!B5:P18)+COUNTBLANK('Revenue Drivers'!B5:P24)</f>
        <v>0</v>
      </c>
      <c r="C11" s="4">
        <v>0</v>
      </c>
      <c r="D11" s="4">
        <f>B11-C11</f>
        <v>0</v>
      </c>
      <c r="E11" s="4">
        <v>0.1</v>
      </c>
      <c r="F11" s="2"/>
      <c r="G11" s="2" t="str">
        <f t="shared" si="1"/>
        <v>OK</v>
      </c>
    </row>
    <row r="12" spans="1:7">
      <c r="A12" s="2" t="s">
        <v>436</v>
      </c>
      <c r="B12" s="4">
        <f>'Revenue Drivers'!M23</f>
        <v>0</v>
      </c>
      <c r="C12" s="4">
        <v>0</v>
      </c>
      <c r="D12" s="4">
        <f t="shared" ref="D12:D17" si="2">B12-C12</f>
        <v>0</v>
      </c>
      <c r="E12" s="4">
        <v>0.1</v>
      </c>
      <c r="F12" s="2"/>
      <c r="G12" s="2" t="str">
        <f t="shared" si="1"/>
        <v>OK</v>
      </c>
    </row>
    <row r="13" spans="1:7">
      <c r="A13" s="2"/>
      <c r="B13" s="4"/>
      <c r="C13" s="4"/>
      <c r="D13" s="4">
        <f t="shared" si="2"/>
        <v>0</v>
      </c>
      <c r="E13" s="4"/>
      <c r="F13" s="2"/>
      <c r="G13" s="2" t="str">
        <f t="shared" si="1"/>
        <v>OK</v>
      </c>
    </row>
    <row r="14" spans="1:7">
      <c r="A14" s="95" t="s">
        <v>437</v>
      </c>
      <c r="B14" s="95"/>
      <c r="C14" s="95"/>
      <c r="D14" s="95">
        <f t="shared" si="2"/>
        <v>0</v>
      </c>
      <c r="E14" s="95"/>
      <c r="F14" s="95"/>
      <c r="G14" s="42" t="str">
        <f t="shared" si="1"/>
        <v>OK</v>
      </c>
    </row>
    <row r="15" spans="1:7">
      <c r="A15" s="2"/>
      <c r="B15" s="2"/>
      <c r="C15" s="2"/>
      <c r="D15" s="2">
        <f t="shared" si="2"/>
        <v>0</v>
      </c>
      <c r="E15" s="2"/>
      <c r="F15" s="2"/>
      <c r="G15" s="2" t="str">
        <f t="shared" si="1"/>
        <v>OK</v>
      </c>
    </row>
    <row r="16" spans="1:7">
      <c r="A16" s="2"/>
      <c r="B16" s="4"/>
      <c r="C16" s="4"/>
      <c r="D16" s="4">
        <f t="shared" si="2"/>
        <v>0</v>
      </c>
      <c r="E16" s="4"/>
      <c r="F16" s="2"/>
      <c r="G16" s="2" t="str">
        <f t="shared" si="1"/>
        <v>OK</v>
      </c>
    </row>
    <row r="17" spans="1:7">
      <c r="A17" s="33"/>
      <c r="B17" s="34"/>
      <c r="C17" s="34"/>
      <c r="D17" s="34">
        <f t="shared" si="2"/>
        <v>0</v>
      </c>
      <c r="E17" s="34"/>
      <c r="F17" s="33"/>
      <c r="G17" s="33" t="str">
        <f t="shared" si="1"/>
        <v>OK</v>
      </c>
    </row>
    <row r="18" spans="1:7">
      <c r="A18" s="112"/>
      <c r="B18" s="112"/>
      <c r="C18" s="112"/>
      <c r="D18" s="112"/>
      <c r="E18" s="112"/>
      <c r="F18" s="112"/>
      <c r="G18" s="1"/>
    </row>
  </sheetData>
  <mergeCells count="3">
    <mergeCell ref="A1:G1"/>
    <mergeCell ref="A18:F18"/>
    <mergeCell ref="A14:F14"/>
  </mergeCells>
  <conditionalFormatting sqref="G5:G18">
    <cfRule type="containsText" dxfId="1" priority="1" operator="containsText" text="OK"/>
    <cfRule type="containsText" dxfId="0" priority="2" operator="containsText" text="REVIEW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Assumptions</vt:lpstr>
      <vt:lpstr>Revenue Drivers</vt:lpstr>
      <vt:lpstr>Sources</vt:lpstr>
      <vt:lpstr>Quarterly P&amp;L</vt:lpstr>
      <vt:lpstr>Annual_Statements</vt:lpstr>
      <vt:lpstr>Segment Revenue</vt:lpstr>
      <vt:lpstr>Client Data</vt:lpstr>
      <vt:lpstr>Market data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Anusha Kumar</cp:lastModifiedBy>
  <dcterms:created xsi:type="dcterms:W3CDTF">2026-08-24T09:45:24Z</dcterms:created>
  <dcterms:modified xsi:type="dcterms:W3CDTF">2026-08-24T09:45:24Z</dcterms:modified>
</cp:coreProperties>
</file>