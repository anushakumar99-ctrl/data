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136D1503-55D6-4AE9-80D8-EDDE048CD25D}" xr6:coauthVersionLast="47" xr6:coauthVersionMax="47" xr10:uidLastSave="{00000000-0000-0000-0000-000000000000}"/>
  <bookViews>
    <workbookView xWindow="-108" yWindow="-108" windowWidth="23256" windowHeight="12456" firstSheet="12" activeTab="12" xr2:uid="{00000000-000D-0000-FFFF-FFFF00000000}"/>
  </bookViews>
  <sheets>
    <sheet name="Healthcare SG&amp;A" sheetId="1" state="hidden" r:id="rId1"/>
    <sheet name="Communications" sheetId="2" state="hidden" r:id="rId2"/>
    <sheet name="Consumer Staples" sheetId="4" state="hidden" r:id="rId3"/>
    <sheet name="Financials" sheetId="5" state="hidden" r:id="rId4"/>
    <sheet name="CD" sheetId="3" state="hidden" r:id="rId5"/>
    <sheet name="Energy" sheetId="6" state="hidden" r:id="rId6"/>
    <sheet name="Govt" sheetId="7" state="hidden" r:id="rId7"/>
    <sheet name="Real Estate" sheetId="8" state="hidden" r:id="rId8"/>
    <sheet name="Utilities" sheetId="9" state="hidden" r:id="rId9"/>
    <sheet name="Industrials" sheetId="10" state="hidden" r:id="rId10"/>
    <sheet name="Materials" sheetId="11" state="hidden" r:id="rId11"/>
    <sheet name="Technology" sheetId="12" state="hidden" r:id="rId12"/>
    <sheet name="Service Lines" sheetId="13" r:id="rId13"/>
    <sheet name="Service Line TAM" sheetId="16" r:id="rId14"/>
    <sheet name="TAM Bridge" sheetId="14" state="hidden" r:id="rId15"/>
    <sheet name="Adjacent TAM Detail" sheetId="15" state="hidden" r:id="rId16"/>
    <sheet name="Executive Implications" sheetId="18" state="hidden" r:id="rId17"/>
    <sheet name="Assumption Register" sheetId="19" state="hidden" r:id="rId18"/>
    <sheet name="Task Logic &amp; Evidence" sheetId="20" state="hidden" r:id="rId19"/>
    <sheet name="Provider Capture" sheetId="21" state="hidden" r:id="rId20"/>
    <sheet name="Scenario Sensitivity" sheetId="22" state="hidden" r:id="rId21"/>
    <sheet name="Compression &amp; Secular" sheetId="24" state="hidden" r:id="rId22"/>
    <sheet name="Productivity Derivation" sheetId="25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6" l="1"/>
  <c r="J17" i="25"/>
  <c r="B5" i="25"/>
  <c r="J18" i="25"/>
  <c r="E10" i="16"/>
  <c r="D13" i="24" s="1"/>
  <c r="E39" i="19"/>
  <c r="E9" i="16"/>
  <c r="D11" i="24" s="1"/>
  <c r="E8" i="16"/>
  <c r="E7" i="16"/>
  <c r="E27" i="19" s="1"/>
  <c r="E6" i="16"/>
  <c r="D8" i="24" s="1"/>
  <c r="E5" i="16"/>
  <c r="D7" i="24" s="1"/>
  <c r="E15" i="19"/>
  <c r="D4" i="16"/>
  <c r="E3" i="16"/>
  <c r="E11" i="19" s="1"/>
  <c r="D3" i="16"/>
  <c r="E10" i="19" s="1"/>
  <c r="D11" i="16"/>
  <c r="C14" i="24" s="1"/>
  <c r="D10" i="16"/>
  <c r="E42" i="19" s="1"/>
  <c r="D9" i="16"/>
  <c r="E34" i="19" s="1"/>
  <c r="D8" i="16"/>
  <c r="D7" i="16"/>
  <c r="D6" i="16"/>
  <c r="D5" i="16"/>
  <c r="H228" i="25"/>
  <c r="N228" i="25" s="1"/>
  <c r="H227" i="25"/>
  <c r="N227" i="25" s="1"/>
  <c r="N226" i="25"/>
  <c r="J226" i="25"/>
  <c r="H226" i="25"/>
  <c r="N225" i="25"/>
  <c r="J225" i="25"/>
  <c r="H225" i="25"/>
  <c r="N224" i="25"/>
  <c r="J224" i="25"/>
  <c r="H224" i="25"/>
  <c r="N223" i="25"/>
  <c r="J223" i="25"/>
  <c r="H223" i="25"/>
  <c r="N222" i="25"/>
  <c r="J222" i="25"/>
  <c r="H222" i="25"/>
  <c r="N221" i="25"/>
  <c r="J221" i="25"/>
  <c r="H221" i="25"/>
  <c r="N220" i="25"/>
  <c r="J220" i="25"/>
  <c r="H220" i="25"/>
  <c r="N219" i="25"/>
  <c r="J219" i="25"/>
  <c r="H219" i="25"/>
  <c r="N218" i="25"/>
  <c r="J218" i="25"/>
  <c r="H218" i="25"/>
  <c r="N217" i="25"/>
  <c r="J217" i="25"/>
  <c r="H217" i="25"/>
  <c r="N216" i="25"/>
  <c r="J216" i="25"/>
  <c r="H216" i="25"/>
  <c r="N215" i="25"/>
  <c r="J215" i="25"/>
  <c r="H215" i="25"/>
  <c r="N214" i="25"/>
  <c r="J214" i="25"/>
  <c r="H214" i="25"/>
  <c r="N213" i="25"/>
  <c r="J213" i="25"/>
  <c r="H213" i="25"/>
  <c r="J208" i="25"/>
  <c r="H208" i="25"/>
  <c r="H207" i="25"/>
  <c r="J207" i="25" s="1"/>
  <c r="J206" i="25"/>
  <c r="H206" i="25"/>
  <c r="J205" i="25"/>
  <c r="H205" i="25"/>
  <c r="H204" i="25"/>
  <c r="J204" i="25" s="1"/>
  <c r="J203" i="25"/>
  <c r="H203" i="25"/>
  <c r="J202" i="25"/>
  <c r="H202" i="25"/>
  <c r="H201" i="25"/>
  <c r="J201" i="25" s="1"/>
  <c r="J200" i="25"/>
  <c r="H200" i="25"/>
  <c r="J199" i="25"/>
  <c r="H199" i="25"/>
  <c r="H198" i="25"/>
  <c r="J198" i="25" s="1"/>
  <c r="J197" i="25"/>
  <c r="H197" i="25"/>
  <c r="J196" i="25"/>
  <c r="H196" i="25"/>
  <c r="H195" i="25"/>
  <c r="J195" i="25" s="1"/>
  <c r="J194" i="25"/>
  <c r="H194" i="25"/>
  <c r="J193" i="25"/>
  <c r="H193" i="25"/>
  <c r="H192" i="25"/>
  <c r="J192" i="25" s="1"/>
  <c r="J191" i="25"/>
  <c r="H191" i="25"/>
  <c r="J190" i="25"/>
  <c r="H190" i="25"/>
  <c r="H189" i="25"/>
  <c r="J189" i="25" s="1"/>
  <c r="J188" i="25"/>
  <c r="H188" i="25"/>
  <c r="J187" i="25"/>
  <c r="H187" i="25"/>
  <c r="H186" i="25"/>
  <c r="J186" i="25" s="1"/>
  <c r="J185" i="25"/>
  <c r="H185" i="25"/>
  <c r="J184" i="25"/>
  <c r="H184" i="25"/>
  <c r="H183" i="25"/>
  <c r="J183" i="25" s="1"/>
  <c r="J182" i="25"/>
  <c r="H182" i="25"/>
  <c r="J181" i="25"/>
  <c r="H181" i="25"/>
  <c r="H180" i="25"/>
  <c r="J180" i="25" s="1"/>
  <c r="J179" i="25"/>
  <c r="H179" i="25"/>
  <c r="J178" i="25"/>
  <c r="H178" i="25"/>
  <c r="H177" i="25"/>
  <c r="H176" i="25"/>
  <c r="J176" i="25" s="1"/>
  <c r="J175" i="25"/>
  <c r="H175" i="25"/>
  <c r="H174" i="25"/>
  <c r="J174" i="25" s="1"/>
  <c r="H173" i="25"/>
  <c r="H172" i="25"/>
  <c r="J172" i="25" s="1"/>
  <c r="H171" i="25"/>
  <c r="J171" i="25" s="1"/>
  <c r="H170" i="25"/>
  <c r="H169" i="25"/>
  <c r="J168" i="25"/>
  <c r="H168" i="25"/>
  <c r="H167" i="25"/>
  <c r="J167" i="25" s="1"/>
  <c r="H166" i="25"/>
  <c r="J166" i="25" s="1"/>
  <c r="H165" i="25"/>
  <c r="H164" i="25"/>
  <c r="J164" i="25" s="1"/>
  <c r="J163" i="25"/>
  <c r="H163" i="25"/>
  <c r="H162" i="25"/>
  <c r="H161" i="25"/>
  <c r="J160" i="25"/>
  <c r="H160" i="25"/>
  <c r="H159" i="25"/>
  <c r="J159" i="25" s="1"/>
  <c r="J158" i="25"/>
  <c r="H158" i="25"/>
  <c r="H157" i="25"/>
  <c r="H156" i="25"/>
  <c r="J156" i="25" s="1"/>
  <c r="J155" i="25"/>
  <c r="H155" i="25"/>
  <c r="H154" i="25"/>
  <c r="J154" i="25" s="1"/>
  <c r="H153" i="25"/>
  <c r="J153" i="25" s="1"/>
  <c r="J152" i="25"/>
  <c r="H152" i="25"/>
  <c r="H151" i="25"/>
  <c r="J151" i="25" s="1"/>
  <c r="H150" i="25"/>
  <c r="J150" i="25" s="1"/>
  <c r="J149" i="25"/>
  <c r="H149" i="25"/>
  <c r="H148" i="25"/>
  <c r="J148" i="25" s="1"/>
  <c r="H147" i="25"/>
  <c r="J147" i="25" s="1"/>
  <c r="J146" i="25"/>
  <c r="H146" i="25"/>
  <c r="H145" i="25"/>
  <c r="J145" i="25" s="1"/>
  <c r="H144" i="25"/>
  <c r="J144" i="25" s="1"/>
  <c r="J143" i="25"/>
  <c r="H143" i="25"/>
  <c r="H142" i="25"/>
  <c r="J142" i="25" s="1"/>
  <c r="H141" i="25"/>
  <c r="J141" i="25" s="1"/>
  <c r="J140" i="25"/>
  <c r="H140" i="25"/>
  <c r="H139" i="25"/>
  <c r="J139" i="25" s="1"/>
  <c r="H138" i="25"/>
  <c r="J138" i="25" s="1"/>
  <c r="J137" i="25"/>
  <c r="H137" i="25"/>
  <c r="H136" i="25"/>
  <c r="J136" i="25" s="1"/>
  <c r="H135" i="25"/>
  <c r="J135" i="25" s="1"/>
  <c r="J134" i="25"/>
  <c r="H134" i="25"/>
  <c r="H133" i="25"/>
  <c r="J133" i="25" s="1"/>
  <c r="H132" i="25"/>
  <c r="J132" i="25" s="1"/>
  <c r="J131" i="25"/>
  <c r="H131" i="25"/>
  <c r="H130" i="25"/>
  <c r="J130" i="25" s="1"/>
  <c r="H129" i="25"/>
  <c r="J129" i="25" s="1"/>
  <c r="J128" i="25"/>
  <c r="H128" i="25"/>
  <c r="H127" i="25"/>
  <c r="J127" i="25" s="1"/>
  <c r="H126" i="25"/>
  <c r="J126" i="25" s="1"/>
  <c r="J125" i="25"/>
  <c r="H125" i="25"/>
  <c r="H124" i="25"/>
  <c r="J124" i="25" s="1"/>
  <c r="H123" i="25"/>
  <c r="J123" i="25" s="1"/>
  <c r="J122" i="25"/>
  <c r="H122" i="25"/>
  <c r="H121" i="25"/>
  <c r="J121" i="25" s="1"/>
  <c r="H120" i="25"/>
  <c r="J120" i="25" s="1"/>
  <c r="J119" i="25"/>
  <c r="H119" i="25"/>
  <c r="H118" i="25"/>
  <c r="J118" i="25" s="1"/>
  <c r="H117" i="25"/>
  <c r="J117" i="25" s="1"/>
  <c r="J116" i="25"/>
  <c r="H116" i="25"/>
  <c r="H115" i="25"/>
  <c r="J115" i="25" s="1"/>
  <c r="H114" i="25"/>
  <c r="J114" i="25" s="1"/>
  <c r="J113" i="25"/>
  <c r="H113" i="25"/>
  <c r="H112" i="25"/>
  <c r="J112" i="25" s="1"/>
  <c r="H111" i="25"/>
  <c r="J111" i="25" s="1"/>
  <c r="J110" i="25"/>
  <c r="H110" i="25"/>
  <c r="H109" i="25"/>
  <c r="J109" i="25" s="1"/>
  <c r="H108" i="25"/>
  <c r="J108" i="25" s="1"/>
  <c r="J107" i="25"/>
  <c r="H107" i="25"/>
  <c r="H106" i="25"/>
  <c r="J106" i="25" s="1"/>
  <c r="H105" i="25"/>
  <c r="J105" i="25" s="1"/>
  <c r="J104" i="25"/>
  <c r="H104" i="25"/>
  <c r="H103" i="25"/>
  <c r="J103" i="25" s="1"/>
  <c r="H102" i="25"/>
  <c r="J102" i="25" s="1"/>
  <c r="J101" i="25"/>
  <c r="H101" i="25"/>
  <c r="H100" i="25"/>
  <c r="J100" i="25" s="1"/>
  <c r="H99" i="25"/>
  <c r="J99" i="25" s="1"/>
  <c r="J98" i="25"/>
  <c r="H98" i="25"/>
  <c r="H97" i="25"/>
  <c r="J97" i="25" s="1"/>
  <c r="H96" i="25"/>
  <c r="J96" i="25" s="1"/>
  <c r="J95" i="25"/>
  <c r="H95" i="25"/>
  <c r="H94" i="25"/>
  <c r="J94" i="25" s="1"/>
  <c r="H93" i="25"/>
  <c r="J93" i="25" s="1"/>
  <c r="J92" i="25"/>
  <c r="H92" i="25"/>
  <c r="H91" i="25"/>
  <c r="J91" i="25" s="1"/>
  <c r="H90" i="25"/>
  <c r="J90" i="25" s="1"/>
  <c r="J89" i="25"/>
  <c r="H89" i="25"/>
  <c r="H88" i="25"/>
  <c r="J88" i="25" s="1"/>
  <c r="H87" i="25"/>
  <c r="J87" i="25" s="1"/>
  <c r="J86" i="25"/>
  <c r="H86" i="25"/>
  <c r="H85" i="25"/>
  <c r="J85" i="25" s="1"/>
  <c r="H84" i="25"/>
  <c r="J84" i="25" s="1"/>
  <c r="J83" i="25"/>
  <c r="H83" i="25"/>
  <c r="H82" i="25"/>
  <c r="J82" i="25" s="1"/>
  <c r="H81" i="25"/>
  <c r="J81" i="25" s="1"/>
  <c r="J80" i="25"/>
  <c r="H80" i="25"/>
  <c r="H79" i="25"/>
  <c r="J79" i="25" s="1"/>
  <c r="H78" i="25"/>
  <c r="J78" i="25" s="1"/>
  <c r="J77" i="25"/>
  <c r="H77" i="25"/>
  <c r="H76" i="25"/>
  <c r="J76" i="25" s="1"/>
  <c r="H75" i="25"/>
  <c r="J75" i="25" s="1"/>
  <c r="J74" i="25"/>
  <c r="H74" i="25"/>
  <c r="H73" i="25"/>
  <c r="J73" i="25" s="1"/>
  <c r="H72" i="25"/>
  <c r="J72" i="25" s="1"/>
  <c r="J71" i="25"/>
  <c r="H71" i="25"/>
  <c r="H70" i="25"/>
  <c r="J70" i="25" s="1"/>
  <c r="H69" i="25"/>
  <c r="J69" i="25" s="1"/>
  <c r="J68" i="25"/>
  <c r="H68" i="25"/>
  <c r="H67" i="25"/>
  <c r="J67" i="25" s="1"/>
  <c r="H66" i="25"/>
  <c r="J66" i="25" s="1"/>
  <c r="J65" i="25"/>
  <c r="H65" i="25"/>
  <c r="H64" i="25"/>
  <c r="J64" i="25" s="1"/>
  <c r="H63" i="25"/>
  <c r="J63" i="25" s="1"/>
  <c r="J62" i="25"/>
  <c r="H62" i="25"/>
  <c r="H61" i="25"/>
  <c r="J61" i="25" s="1"/>
  <c r="H60" i="25"/>
  <c r="J60" i="25" s="1"/>
  <c r="J59" i="25"/>
  <c r="H59" i="25"/>
  <c r="H58" i="25"/>
  <c r="J58" i="25" s="1"/>
  <c r="H57" i="25"/>
  <c r="J56" i="25"/>
  <c r="H56" i="25"/>
  <c r="H55" i="25"/>
  <c r="J55" i="25" s="1"/>
  <c r="J54" i="25"/>
  <c r="H54" i="25"/>
  <c r="H53" i="25"/>
  <c r="H52" i="25"/>
  <c r="J52" i="25" s="1"/>
  <c r="J51" i="25"/>
  <c r="H51" i="25"/>
  <c r="H50" i="25"/>
  <c r="J50" i="25" s="1"/>
  <c r="H49" i="25"/>
  <c r="J48" i="25"/>
  <c r="H48" i="25"/>
  <c r="H47" i="25"/>
  <c r="J47" i="25" s="1"/>
  <c r="J46" i="25"/>
  <c r="H46" i="25"/>
  <c r="H45" i="25"/>
  <c r="H44" i="25"/>
  <c r="J44" i="25" s="1"/>
  <c r="J43" i="25"/>
  <c r="H43" i="25"/>
  <c r="H42" i="25"/>
  <c r="J42" i="25" s="1"/>
  <c r="H41" i="25"/>
  <c r="J40" i="25"/>
  <c r="H40" i="25"/>
  <c r="H39" i="25"/>
  <c r="J39" i="25" s="1"/>
  <c r="J38" i="25"/>
  <c r="H38" i="25"/>
  <c r="H37" i="25"/>
  <c r="H36" i="25"/>
  <c r="J36" i="25" s="1"/>
  <c r="J35" i="25"/>
  <c r="H35" i="25"/>
  <c r="H34" i="25"/>
  <c r="J34" i="25" s="1"/>
  <c r="H33" i="25"/>
  <c r="J33" i="25" s="1"/>
  <c r="J32" i="25"/>
  <c r="H32" i="25"/>
  <c r="H31" i="25"/>
  <c r="J31" i="25" s="1"/>
  <c r="H30" i="25"/>
  <c r="J30" i="25" s="1"/>
  <c r="J29" i="25"/>
  <c r="H29" i="25"/>
  <c r="H28" i="25"/>
  <c r="J28" i="25" s="1"/>
  <c r="H27" i="25"/>
  <c r="J27" i="25" s="1"/>
  <c r="J26" i="25"/>
  <c r="H26" i="25"/>
  <c r="H25" i="25"/>
  <c r="J25" i="25" s="1"/>
  <c r="H24" i="25"/>
  <c r="J24" i="25" s="1"/>
  <c r="J23" i="25"/>
  <c r="H23" i="25"/>
  <c r="H22" i="25"/>
  <c r="J22" i="25" s="1"/>
  <c r="H21" i="25"/>
  <c r="J21" i="25" s="1"/>
  <c r="J20" i="25"/>
  <c r="H20" i="25"/>
  <c r="H19" i="25"/>
  <c r="J19" i="25" s="1"/>
  <c r="H18" i="25"/>
  <c r="H17" i="25"/>
  <c r="K14" i="25"/>
  <c r="G161" i="25" s="1"/>
  <c r="J161" i="25" s="1"/>
  <c r="B8" i="25"/>
  <c r="K7" i="25"/>
  <c r="L7" i="25" s="1"/>
  <c r="B20" i="24"/>
  <c r="E134" i="19" s="1"/>
  <c r="B16" i="24"/>
  <c r="E13" i="24"/>
  <c r="B13" i="24"/>
  <c r="A13" i="24"/>
  <c r="E12" i="24"/>
  <c r="B12" i="24"/>
  <c r="A12" i="24"/>
  <c r="E11" i="24"/>
  <c r="B11" i="24"/>
  <c r="A11" i="24"/>
  <c r="E10" i="24"/>
  <c r="D10" i="24"/>
  <c r="B10" i="24"/>
  <c r="A10" i="24"/>
  <c r="E9" i="24"/>
  <c r="D9" i="24"/>
  <c r="B9" i="24"/>
  <c r="A9" i="24"/>
  <c r="E8" i="24"/>
  <c r="B8" i="24"/>
  <c r="A8" i="24"/>
  <c r="E7" i="24"/>
  <c r="B7" i="24"/>
  <c r="A7" i="24"/>
  <c r="E6" i="24"/>
  <c r="B6" i="24"/>
  <c r="A6" i="24"/>
  <c r="E5" i="24"/>
  <c r="B5" i="24"/>
  <c r="A5" i="24"/>
  <c r="R11" i="21"/>
  <c r="R10" i="21"/>
  <c r="R9" i="21"/>
  <c r="C9" i="21"/>
  <c r="O9" i="21" s="1"/>
  <c r="R8" i="21"/>
  <c r="R7" i="21"/>
  <c r="R6" i="21"/>
  <c r="C6" i="21"/>
  <c r="O6" i="21" s="1"/>
  <c r="R5" i="21"/>
  <c r="R4" i="21"/>
  <c r="R3" i="21"/>
  <c r="C3" i="21"/>
  <c r="E133" i="19"/>
  <c r="E132" i="19"/>
  <c r="E131" i="19"/>
  <c r="E130" i="19"/>
  <c r="E129" i="19"/>
  <c r="E128" i="19"/>
  <c r="E127" i="19"/>
  <c r="E126" i="19"/>
  <c r="E125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111" i="19"/>
  <c r="E110" i="19"/>
  <c r="E109" i="19"/>
  <c r="E108" i="19"/>
  <c r="E107" i="19"/>
  <c r="E106" i="19"/>
  <c r="E105" i="19"/>
  <c r="E104" i="19"/>
  <c r="E103" i="19"/>
  <c r="E102" i="19"/>
  <c r="E100" i="19"/>
  <c r="E99" i="19"/>
  <c r="E98" i="19"/>
  <c r="E97" i="19"/>
  <c r="E95" i="19"/>
  <c r="E94" i="19"/>
  <c r="E93" i="19"/>
  <c r="E92" i="19"/>
  <c r="E90" i="19"/>
  <c r="E89" i="19"/>
  <c r="E88" i="19"/>
  <c r="E87" i="19"/>
  <c r="E85" i="19"/>
  <c r="E84" i="19"/>
  <c r="E83" i="19"/>
  <c r="E82" i="19"/>
  <c r="E80" i="19"/>
  <c r="E79" i="19"/>
  <c r="E78" i="19"/>
  <c r="E77" i="19"/>
  <c r="E75" i="19"/>
  <c r="E74" i="19"/>
  <c r="E73" i="19"/>
  <c r="E72" i="19"/>
  <c r="E70" i="19"/>
  <c r="E69" i="19"/>
  <c r="E68" i="19"/>
  <c r="E67" i="19"/>
  <c r="E65" i="19"/>
  <c r="E64" i="19"/>
  <c r="E63" i="19"/>
  <c r="E62" i="19"/>
  <c r="E60" i="19"/>
  <c r="E59" i="19"/>
  <c r="E58" i="19"/>
  <c r="E57" i="19"/>
  <c r="E55" i="19"/>
  <c r="E54" i="19"/>
  <c r="E53" i="19"/>
  <c r="E52" i="19"/>
  <c r="E50" i="19"/>
  <c r="E49" i="19"/>
  <c r="E48" i="19"/>
  <c r="E47" i="19"/>
  <c r="E45" i="19"/>
  <c r="E44" i="19"/>
  <c r="E40" i="19"/>
  <c r="E36" i="19"/>
  <c r="E35" i="19"/>
  <c r="E33" i="19"/>
  <c r="E32" i="19"/>
  <c r="E31" i="19"/>
  <c r="E28" i="19"/>
  <c r="E24" i="19"/>
  <c r="E21" i="19"/>
  <c r="E20" i="19"/>
  <c r="E19" i="19"/>
  <c r="E16" i="19"/>
  <c r="E12" i="19"/>
  <c r="E9" i="19"/>
  <c r="E8" i="19"/>
  <c r="E7" i="19"/>
  <c r="E3" i="19"/>
  <c r="B5" i="18"/>
  <c r="F6" i="22"/>
  <c r="E41" i="19"/>
  <c r="C10" i="21"/>
  <c r="O10" i="21" s="1"/>
  <c r="E29" i="19"/>
  <c r="C7" i="21"/>
  <c r="O7" i="21" s="1"/>
  <c r="E17" i="19"/>
  <c r="C4" i="21"/>
  <c r="O4" i="21" s="1"/>
  <c r="C15" i="15"/>
  <c r="D14" i="15"/>
  <c r="D13" i="15"/>
  <c r="O13" i="15" s="1"/>
  <c r="D12" i="15"/>
  <c r="D11" i="15"/>
  <c r="D10" i="15"/>
  <c r="D9" i="15"/>
  <c r="E76" i="19" s="1"/>
  <c r="D8" i="15"/>
  <c r="D7" i="15"/>
  <c r="D6" i="15"/>
  <c r="D5" i="15"/>
  <c r="D4" i="15"/>
  <c r="D3" i="15"/>
  <c r="L5" i="14"/>
  <c r="I5" i="14"/>
  <c r="H5" i="14"/>
  <c r="N120" i="12"/>
  <c r="M120" i="12"/>
  <c r="L120" i="12"/>
  <c r="K120" i="12"/>
  <c r="J120" i="12"/>
  <c r="I116" i="12"/>
  <c r="I112" i="12"/>
  <c r="I108" i="12"/>
  <c r="I104" i="12"/>
  <c r="I100" i="12"/>
  <c r="I96" i="12"/>
  <c r="I120" i="12" s="1"/>
  <c r="I92" i="12"/>
  <c r="N90" i="12"/>
  <c r="M90" i="12"/>
  <c r="L90" i="12"/>
  <c r="K90" i="12"/>
  <c r="J90" i="12"/>
  <c r="I86" i="12"/>
  <c r="I82" i="12"/>
  <c r="I78" i="12"/>
  <c r="I74" i="12"/>
  <c r="I70" i="12"/>
  <c r="I66" i="12"/>
  <c r="I62" i="12"/>
  <c r="N60" i="12"/>
  <c r="M60" i="12"/>
  <c r="L60" i="12"/>
  <c r="K60" i="12"/>
  <c r="J60" i="12"/>
  <c r="I56" i="12"/>
  <c r="I52" i="12"/>
  <c r="I48" i="12"/>
  <c r="I44" i="12"/>
  <c r="I40" i="12"/>
  <c r="I36" i="12"/>
  <c r="I60" i="12" s="1"/>
  <c r="I32" i="12"/>
  <c r="N30" i="12"/>
  <c r="M30" i="12"/>
  <c r="L30" i="12"/>
  <c r="K30" i="12"/>
  <c r="J30" i="12"/>
  <c r="H14" i="15" s="1"/>
  <c r="I26" i="12"/>
  <c r="I22" i="12"/>
  <c r="I18" i="12"/>
  <c r="I14" i="12"/>
  <c r="I10" i="12"/>
  <c r="I6" i="12"/>
  <c r="I2" i="12"/>
  <c r="I30" i="12" s="1"/>
  <c r="N116" i="11"/>
  <c r="M116" i="11"/>
  <c r="L116" i="11"/>
  <c r="K116" i="11"/>
  <c r="J116" i="11"/>
  <c r="I112" i="11"/>
  <c r="I108" i="11"/>
  <c r="I104" i="11"/>
  <c r="I100" i="11"/>
  <c r="I96" i="11"/>
  <c r="I92" i="11"/>
  <c r="I88" i="11"/>
  <c r="I116" i="11" s="1"/>
  <c r="N86" i="11"/>
  <c r="M86" i="11"/>
  <c r="L86" i="11"/>
  <c r="K86" i="11"/>
  <c r="J86" i="11"/>
  <c r="I82" i="11"/>
  <c r="I78" i="11"/>
  <c r="I74" i="11"/>
  <c r="I70" i="11"/>
  <c r="I66" i="11"/>
  <c r="I62" i="11"/>
  <c r="I86" i="11" s="1"/>
  <c r="N60" i="11"/>
  <c r="M60" i="11"/>
  <c r="L60" i="11"/>
  <c r="K60" i="11"/>
  <c r="J60" i="11"/>
  <c r="I56" i="11"/>
  <c r="I52" i="11"/>
  <c r="I48" i="11"/>
  <c r="I44" i="11"/>
  <c r="I40" i="11"/>
  <c r="I36" i="11"/>
  <c r="I60" i="11" s="1"/>
  <c r="I32" i="11"/>
  <c r="N30" i="11"/>
  <c r="M30" i="11"/>
  <c r="L30" i="11"/>
  <c r="K30" i="11"/>
  <c r="J30" i="11"/>
  <c r="H13" i="15" s="1"/>
  <c r="I26" i="11"/>
  <c r="I22" i="11"/>
  <c r="I18" i="11"/>
  <c r="I14" i="11"/>
  <c r="I10" i="11"/>
  <c r="I6" i="11"/>
  <c r="I30" i="11" s="1"/>
  <c r="I2" i="11"/>
  <c r="N202" i="10"/>
  <c r="M202" i="10"/>
  <c r="L202" i="10"/>
  <c r="K202" i="10"/>
  <c r="J202" i="10"/>
  <c r="I198" i="10"/>
  <c r="I194" i="10"/>
  <c r="I190" i="10"/>
  <c r="I186" i="10"/>
  <c r="I182" i="10"/>
  <c r="I178" i="10"/>
  <c r="I174" i="10"/>
  <c r="N172" i="10"/>
  <c r="M172" i="10"/>
  <c r="L172" i="10"/>
  <c r="K172" i="10"/>
  <c r="J172" i="10"/>
  <c r="I168" i="10"/>
  <c r="I164" i="10"/>
  <c r="I160" i="10"/>
  <c r="I156" i="10"/>
  <c r="I152" i="10"/>
  <c r="I148" i="10"/>
  <c r="I144" i="10"/>
  <c r="I172" i="10" s="1"/>
  <c r="N142" i="10"/>
  <c r="M142" i="10"/>
  <c r="L142" i="10"/>
  <c r="K142" i="10"/>
  <c r="J142" i="10"/>
  <c r="I138" i="10"/>
  <c r="I134" i="10"/>
  <c r="I130" i="10"/>
  <c r="I126" i="10"/>
  <c r="I122" i="10"/>
  <c r="I118" i="10"/>
  <c r="I142" i="10" s="1"/>
  <c r="N116" i="10"/>
  <c r="M116" i="10"/>
  <c r="L116" i="10"/>
  <c r="K116" i="10"/>
  <c r="J116" i="10"/>
  <c r="I112" i="10"/>
  <c r="I108" i="10"/>
  <c r="I104" i="10"/>
  <c r="I100" i="10"/>
  <c r="I96" i="10"/>
  <c r="I92" i="10"/>
  <c r="I116" i="10" s="1"/>
  <c r="I88" i="10"/>
  <c r="N86" i="10"/>
  <c r="M86" i="10"/>
  <c r="L86" i="10"/>
  <c r="K86" i="10"/>
  <c r="J86" i="10"/>
  <c r="I82" i="10"/>
  <c r="I78" i="10"/>
  <c r="I74" i="10"/>
  <c r="I70" i="10"/>
  <c r="I66" i="10"/>
  <c r="I62" i="10"/>
  <c r="I58" i="10"/>
  <c r="I86" i="10" s="1"/>
  <c r="N56" i="10"/>
  <c r="M56" i="10"/>
  <c r="L56" i="10"/>
  <c r="K56" i="10"/>
  <c r="J56" i="10"/>
  <c r="I52" i="10"/>
  <c r="I48" i="10"/>
  <c r="I44" i="10"/>
  <c r="I40" i="10"/>
  <c r="I36" i="10"/>
  <c r="I32" i="10"/>
  <c r="I28" i="10"/>
  <c r="I56" i="10" s="1"/>
  <c r="N26" i="10"/>
  <c r="M26" i="10"/>
  <c r="L26" i="10"/>
  <c r="K26" i="10"/>
  <c r="J26" i="10"/>
  <c r="I22" i="10"/>
  <c r="I18" i="10"/>
  <c r="I14" i="10"/>
  <c r="I10" i="10"/>
  <c r="I6" i="10"/>
  <c r="I2" i="10"/>
  <c r="I26" i="10" s="1"/>
  <c r="N156" i="9"/>
  <c r="M156" i="9"/>
  <c r="L156" i="9"/>
  <c r="K156" i="9"/>
  <c r="J156" i="9"/>
  <c r="I152" i="9"/>
  <c r="I148" i="9"/>
  <c r="I144" i="9"/>
  <c r="I140" i="9"/>
  <c r="I136" i="9"/>
  <c r="I132" i="9"/>
  <c r="I156" i="9" s="1"/>
  <c r="N130" i="9"/>
  <c r="M130" i="9"/>
  <c r="L130" i="9"/>
  <c r="K130" i="9"/>
  <c r="J130" i="9"/>
  <c r="I126" i="9"/>
  <c r="I122" i="9"/>
  <c r="I118" i="9"/>
  <c r="I114" i="9"/>
  <c r="I110" i="9"/>
  <c r="I106" i="9"/>
  <c r="I130" i="9" s="1"/>
  <c r="N104" i="9"/>
  <c r="M104" i="9"/>
  <c r="L104" i="9"/>
  <c r="K104" i="9"/>
  <c r="J104" i="9"/>
  <c r="I100" i="9"/>
  <c r="I96" i="9"/>
  <c r="I92" i="9"/>
  <c r="I88" i="9"/>
  <c r="I84" i="9"/>
  <c r="I80" i="9"/>
  <c r="I104" i="9" s="1"/>
  <c r="N78" i="9"/>
  <c r="M78" i="9"/>
  <c r="L78" i="9"/>
  <c r="K78" i="9"/>
  <c r="J78" i="9"/>
  <c r="I74" i="9"/>
  <c r="I70" i="9"/>
  <c r="I66" i="9"/>
  <c r="I62" i="9"/>
  <c r="I58" i="9"/>
  <c r="I54" i="9"/>
  <c r="I78" i="9" s="1"/>
  <c r="N52" i="9"/>
  <c r="M52" i="9"/>
  <c r="L52" i="9"/>
  <c r="K52" i="9"/>
  <c r="J52" i="9"/>
  <c r="I48" i="9"/>
  <c r="I44" i="9"/>
  <c r="I40" i="9"/>
  <c r="I36" i="9"/>
  <c r="I32" i="9"/>
  <c r="I28" i="9"/>
  <c r="I52" i="9" s="1"/>
  <c r="N26" i="9"/>
  <c r="M26" i="9"/>
  <c r="L26" i="9"/>
  <c r="K26" i="9"/>
  <c r="J26" i="9"/>
  <c r="H11" i="15" s="1"/>
  <c r="P11" i="15" s="1"/>
  <c r="I22" i="9"/>
  <c r="I18" i="9"/>
  <c r="I14" i="9"/>
  <c r="I10" i="9"/>
  <c r="I6" i="9"/>
  <c r="I2" i="9"/>
  <c r="I26" i="9" s="1"/>
  <c r="N130" i="8"/>
  <c r="M130" i="8"/>
  <c r="L130" i="8"/>
  <c r="K130" i="8"/>
  <c r="J130" i="8"/>
  <c r="I126" i="8"/>
  <c r="I122" i="8"/>
  <c r="I118" i="8"/>
  <c r="I114" i="8"/>
  <c r="I110" i="8"/>
  <c r="I106" i="8"/>
  <c r="I130" i="8" s="1"/>
  <c r="N104" i="8"/>
  <c r="M104" i="8"/>
  <c r="L104" i="8"/>
  <c r="K104" i="8"/>
  <c r="J104" i="8"/>
  <c r="I100" i="8"/>
  <c r="I96" i="8"/>
  <c r="I92" i="8"/>
  <c r="I88" i="8"/>
  <c r="I84" i="8"/>
  <c r="I80" i="8"/>
  <c r="I104" i="8" s="1"/>
  <c r="N78" i="8"/>
  <c r="M78" i="8"/>
  <c r="L78" i="8"/>
  <c r="K78" i="8"/>
  <c r="J78" i="8"/>
  <c r="I74" i="8"/>
  <c r="I70" i="8"/>
  <c r="I66" i="8"/>
  <c r="I62" i="8"/>
  <c r="I58" i="8"/>
  <c r="I54" i="8"/>
  <c r="I78" i="8" s="1"/>
  <c r="N52" i="8"/>
  <c r="M52" i="8"/>
  <c r="L52" i="8"/>
  <c r="K52" i="8"/>
  <c r="J52" i="8"/>
  <c r="I48" i="8"/>
  <c r="I44" i="8"/>
  <c r="I40" i="8"/>
  <c r="I36" i="8"/>
  <c r="I32" i="8"/>
  <c r="I28" i="8"/>
  <c r="I52" i="8" s="1"/>
  <c r="N26" i="8"/>
  <c r="M26" i="8"/>
  <c r="L26" i="8"/>
  <c r="K26" i="8"/>
  <c r="J26" i="8"/>
  <c r="H10" i="15" s="1"/>
  <c r="I22" i="8"/>
  <c r="I18" i="8"/>
  <c r="I14" i="8"/>
  <c r="I10" i="8"/>
  <c r="I6" i="8"/>
  <c r="I2" i="8"/>
  <c r="I26" i="8" s="1"/>
  <c r="N82" i="7"/>
  <c r="M82" i="7"/>
  <c r="L82" i="7"/>
  <c r="K82" i="7"/>
  <c r="J82" i="7"/>
  <c r="I78" i="7"/>
  <c r="I74" i="7"/>
  <c r="I70" i="7"/>
  <c r="I66" i="7"/>
  <c r="I62" i="7"/>
  <c r="I58" i="7"/>
  <c r="I82" i="7" s="1"/>
  <c r="I54" i="7"/>
  <c r="N52" i="7"/>
  <c r="M52" i="7"/>
  <c r="L52" i="7"/>
  <c r="K52" i="7"/>
  <c r="J52" i="7"/>
  <c r="I48" i="7"/>
  <c r="I44" i="7"/>
  <c r="I40" i="7"/>
  <c r="I36" i="7"/>
  <c r="I32" i="7"/>
  <c r="I28" i="7"/>
  <c r="I52" i="7" s="1"/>
  <c r="N26" i="7"/>
  <c r="M26" i="7"/>
  <c r="L26" i="7"/>
  <c r="K26" i="7"/>
  <c r="J26" i="7"/>
  <c r="I26" i="7"/>
  <c r="I22" i="7"/>
  <c r="I18" i="7"/>
  <c r="I14" i="7"/>
  <c r="I10" i="7"/>
  <c r="I6" i="7"/>
  <c r="I2" i="7"/>
  <c r="N134" i="6"/>
  <c r="M134" i="6"/>
  <c r="L134" i="6"/>
  <c r="K134" i="6"/>
  <c r="J134" i="6"/>
  <c r="I130" i="6"/>
  <c r="I126" i="6"/>
  <c r="I122" i="6"/>
  <c r="I118" i="6"/>
  <c r="I114" i="6"/>
  <c r="I110" i="6"/>
  <c r="I134" i="6" s="1"/>
  <c r="N108" i="6"/>
  <c r="M108" i="6"/>
  <c r="L108" i="6"/>
  <c r="K108" i="6"/>
  <c r="J108" i="6"/>
  <c r="I104" i="6"/>
  <c r="I100" i="6"/>
  <c r="I96" i="6"/>
  <c r="I92" i="6"/>
  <c r="I88" i="6"/>
  <c r="I84" i="6"/>
  <c r="I108" i="6" s="1"/>
  <c r="I80" i="6"/>
  <c r="N78" i="6"/>
  <c r="M78" i="6"/>
  <c r="L78" i="6"/>
  <c r="K78" i="6"/>
  <c r="J78" i="6"/>
  <c r="I74" i="6"/>
  <c r="I70" i="6"/>
  <c r="I66" i="6"/>
  <c r="I62" i="6"/>
  <c r="I58" i="6"/>
  <c r="I54" i="6"/>
  <c r="I78" i="6" s="1"/>
  <c r="N52" i="6"/>
  <c r="M52" i="6"/>
  <c r="L52" i="6"/>
  <c r="K52" i="6"/>
  <c r="J52" i="6"/>
  <c r="I48" i="6"/>
  <c r="I44" i="6"/>
  <c r="I40" i="6"/>
  <c r="I36" i="6"/>
  <c r="I32" i="6"/>
  <c r="I28" i="6"/>
  <c r="I52" i="6" s="1"/>
  <c r="N26" i="6"/>
  <c r="M26" i="6"/>
  <c r="L26" i="6"/>
  <c r="K26" i="6"/>
  <c r="J26" i="6"/>
  <c r="H8" i="15" s="1"/>
  <c r="P8" i="15" s="1"/>
  <c r="I22" i="6"/>
  <c r="I18" i="6"/>
  <c r="I14" i="6"/>
  <c r="I10" i="6"/>
  <c r="I6" i="6"/>
  <c r="I2" i="6"/>
  <c r="I26" i="6" s="1"/>
  <c r="N210" i="3"/>
  <c r="M210" i="3"/>
  <c r="L210" i="3"/>
  <c r="K210" i="3"/>
  <c r="J210" i="3"/>
  <c r="I206" i="3"/>
  <c r="I202" i="3"/>
  <c r="I198" i="3"/>
  <c r="I194" i="3"/>
  <c r="I190" i="3"/>
  <c r="I210" i="3" s="1"/>
  <c r="N188" i="3"/>
  <c r="M188" i="3"/>
  <c r="L188" i="3"/>
  <c r="K188" i="3"/>
  <c r="J188" i="3"/>
  <c r="I188" i="3"/>
  <c r="I184" i="3"/>
  <c r="I180" i="3"/>
  <c r="I176" i="3"/>
  <c r="I172" i="3"/>
  <c r="I168" i="3"/>
  <c r="N166" i="3"/>
  <c r="M166" i="3"/>
  <c r="L166" i="3"/>
  <c r="K166" i="3"/>
  <c r="J166" i="3"/>
  <c r="I162" i="3"/>
  <c r="I166" i="3" s="1"/>
  <c r="I158" i="3"/>
  <c r="I154" i="3"/>
  <c r="I150" i="3"/>
  <c r="I146" i="3"/>
  <c r="N144" i="3"/>
  <c r="M144" i="3"/>
  <c r="L144" i="3"/>
  <c r="K144" i="3"/>
  <c r="J144" i="3"/>
  <c r="I140" i="3"/>
  <c r="I136" i="3"/>
  <c r="I132" i="3"/>
  <c r="I128" i="3"/>
  <c r="I124" i="3"/>
  <c r="I144" i="3" s="1"/>
  <c r="N122" i="3"/>
  <c r="M122" i="3"/>
  <c r="L122" i="3"/>
  <c r="K122" i="3"/>
  <c r="J122" i="3"/>
  <c r="I118" i="3"/>
  <c r="I114" i="3"/>
  <c r="I110" i="3"/>
  <c r="I122" i="3" s="1"/>
  <c r="I106" i="3"/>
  <c r="I102" i="3"/>
  <c r="N100" i="3"/>
  <c r="M100" i="3"/>
  <c r="L100" i="3"/>
  <c r="K100" i="3"/>
  <c r="J100" i="3"/>
  <c r="I96" i="3"/>
  <c r="I92" i="3"/>
  <c r="I88" i="3"/>
  <c r="I84" i="3"/>
  <c r="I80" i="3"/>
  <c r="I100" i="3" s="1"/>
  <c r="N78" i="3"/>
  <c r="M78" i="3"/>
  <c r="L78" i="3"/>
  <c r="K78" i="3"/>
  <c r="J78" i="3"/>
  <c r="I74" i="3"/>
  <c r="I70" i="3"/>
  <c r="I66" i="3"/>
  <c r="I62" i="3"/>
  <c r="I58" i="3"/>
  <c r="I54" i="3"/>
  <c r="I78" i="3" s="1"/>
  <c r="N52" i="3"/>
  <c r="M52" i="3"/>
  <c r="L52" i="3"/>
  <c r="K52" i="3"/>
  <c r="J52" i="3"/>
  <c r="I48" i="3"/>
  <c r="I44" i="3"/>
  <c r="I40" i="3"/>
  <c r="I36" i="3"/>
  <c r="I32" i="3"/>
  <c r="I28" i="3"/>
  <c r="I52" i="3" s="1"/>
  <c r="N26" i="3"/>
  <c r="M26" i="3"/>
  <c r="L26" i="3"/>
  <c r="K26" i="3"/>
  <c r="J26" i="3"/>
  <c r="H7" i="15" s="1"/>
  <c r="I22" i="3"/>
  <c r="I18" i="3"/>
  <c r="I14" i="3"/>
  <c r="I10" i="3"/>
  <c r="I6" i="3"/>
  <c r="I2" i="3"/>
  <c r="I26" i="3" s="1"/>
  <c r="N330" i="5"/>
  <c r="M330" i="5"/>
  <c r="L330" i="5"/>
  <c r="K330" i="5"/>
  <c r="J330" i="5"/>
  <c r="I326" i="5"/>
  <c r="I322" i="5"/>
  <c r="I318" i="5"/>
  <c r="I314" i="5"/>
  <c r="I310" i="5"/>
  <c r="I306" i="5"/>
  <c r="I330" i="5" s="1"/>
  <c r="N304" i="5"/>
  <c r="M304" i="5"/>
  <c r="L304" i="5"/>
  <c r="K304" i="5"/>
  <c r="J304" i="5"/>
  <c r="I300" i="5"/>
  <c r="I296" i="5"/>
  <c r="I292" i="5"/>
  <c r="I288" i="5"/>
  <c r="I284" i="5"/>
  <c r="I304" i="5" s="1"/>
  <c r="N282" i="5"/>
  <c r="M282" i="5"/>
  <c r="L282" i="5"/>
  <c r="K282" i="5"/>
  <c r="J282" i="5"/>
  <c r="I278" i="5"/>
  <c r="I274" i="5"/>
  <c r="I270" i="5"/>
  <c r="I266" i="5"/>
  <c r="I262" i="5"/>
  <c r="I258" i="5"/>
  <c r="I282" i="5" s="1"/>
  <c r="N256" i="5"/>
  <c r="M256" i="5"/>
  <c r="L256" i="5"/>
  <c r="K256" i="5"/>
  <c r="J256" i="5"/>
  <c r="I252" i="5"/>
  <c r="I248" i="5"/>
  <c r="I244" i="5"/>
  <c r="I240" i="5"/>
  <c r="I236" i="5"/>
  <c r="I232" i="5"/>
  <c r="I256" i="5" s="1"/>
  <c r="N230" i="5"/>
  <c r="M230" i="5"/>
  <c r="L230" i="5"/>
  <c r="K230" i="5"/>
  <c r="J230" i="5"/>
  <c r="I226" i="5"/>
  <c r="I222" i="5"/>
  <c r="I218" i="5"/>
  <c r="I214" i="5"/>
  <c r="I210" i="5"/>
  <c r="I206" i="5"/>
  <c r="I230" i="5" s="1"/>
  <c r="N204" i="5"/>
  <c r="M204" i="5"/>
  <c r="L204" i="5"/>
  <c r="K204" i="5"/>
  <c r="J204" i="5"/>
  <c r="I200" i="5"/>
  <c r="I196" i="5"/>
  <c r="I192" i="5"/>
  <c r="I188" i="5"/>
  <c r="I184" i="5"/>
  <c r="I180" i="5"/>
  <c r="I204" i="5" s="1"/>
  <c r="N178" i="5"/>
  <c r="M178" i="5"/>
  <c r="L178" i="5"/>
  <c r="K178" i="5"/>
  <c r="J178" i="5"/>
  <c r="I174" i="5"/>
  <c r="I170" i="5"/>
  <c r="I166" i="5"/>
  <c r="I162" i="5"/>
  <c r="I158" i="5"/>
  <c r="I154" i="5"/>
  <c r="I178" i="5" s="1"/>
  <c r="N152" i="5"/>
  <c r="M152" i="5"/>
  <c r="L152" i="5"/>
  <c r="K152" i="5"/>
  <c r="J152" i="5"/>
  <c r="I148" i="5"/>
  <c r="I144" i="5"/>
  <c r="I140" i="5"/>
  <c r="I136" i="5"/>
  <c r="I132" i="5"/>
  <c r="I128" i="5"/>
  <c r="I152" i="5" s="1"/>
  <c r="N126" i="5"/>
  <c r="M126" i="5"/>
  <c r="L126" i="5"/>
  <c r="K126" i="5"/>
  <c r="J126" i="5"/>
  <c r="I122" i="5"/>
  <c r="I118" i="5"/>
  <c r="I114" i="5"/>
  <c r="I110" i="5"/>
  <c r="I106" i="5"/>
  <c r="I102" i="5"/>
  <c r="I126" i="5" s="1"/>
  <c r="N100" i="5"/>
  <c r="M100" i="5"/>
  <c r="L100" i="5"/>
  <c r="K100" i="5"/>
  <c r="J100" i="5"/>
  <c r="I100" i="5"/>
  <c r="I96" i="5"/>
  <c r="I92" i="5"/>
  <c r="I88" i="5"/>
  <c r="I84" i="5"/>
  <c r="I80" i="5"/>
  <c r="N78" i="5"/>
  <c r="M78" i="5"/>
  <c r="L78" i="5"/>
  <c r="K78" i="5"/>
  <c r="J78" i="5"/>
  <c r="I74" i="5"/>
  <c r="I70" i="5"/>
  <c r="I66" i="5"/>
  <c r="I62" i="5"/>
  <c r="I58" i="5"/>
  <c r="I54" i="5"/>
  <c r="I78" i="5" s="1"/>
  <c r="N52" i="5"/>
  <c r="M52" i="5"/>
  <c r="L52" i="5"/>
  <c r="K52" i="5"/>
  <c r="J52" i="5"/>
  <c r="I48" i="5"/>
  <c r="I44" i="5"/>
  <c r="I40" i="5"/>
  <c r="I36" i="5"/>
  <c r="I32" i="5"/>
  <c r="I28" i="5"/>
  <c r="I52" i="5" s="1"/>
  <c r="N26" i="5"/>
  <c r="M26" i="5"/>
  <c r="L26" i="5"/>
  <c r="K26" i="5"/>
  <c r="J26" i="5"/>
  <c r="I22" i="5"/>
  <c r="I18" i="5"/>
  <c r="I14" i="5"/>
  <c r="I10" i="5"/>
  <c r="I6" i="5"/>
  <c r="I2" i="5"/>
  <c r="I26" i="5" s="1"/>
  <c r="N168" i="4"/>
  <c r="M168" i="4"/>
  <c r="L168" i="4"/>
  <c r="K168" i="4"/>
  <c r="J168" i="4"/>
  <c r="I164" i="4"/>
  <c r="I160" i="4"/>
  <c r="I156" i="4"/>
  <c r="I152" i="4"/>
  <c r="I148" i="4"/>
  <c r="I144" i="4"/>
  <c r="I140" i="4"/>
  <c r="I168" i="4" s="1"/>
  <c r="N138" i="4"/>
  <c r="M138" i="4"/>
  <c r="L138" i="4"/>
  <c r="K138" i="4"/>
  <c r="J138" i="4"/>
  <c r="I134" i="4"/>
  <c r="I130" i="4"/>
  <c r="I126" i="4"/>
  <c r="I122" i="4"/>
  <c r="I118" i="4"/>
  <c r="I114" i="4"/>
  <c r="I138" i="4" s="1"/>
  <c r="I110" i="4"/>
  <c r="N108" i="4"/>
  <c r="M108" i="4"/>
  <c r="L108" i="4"/>
  <c r="K108" i="4"/>
  <c r="J108" i="4"/>
  <c r="I104" i="4"/>
  <c r="I100" i="4"/>
  <c r="I96" i="4"/>
  <c r="I92" i="4"/>
  <c r="I88" i="4"/>
  <c r="I84" i="4"/>
  <c r="I108" i="4" s="1"/>
  <c r="I80" i="4"/>
  <c r="N78" i="4"/>
  <c r="M78" i="4"/>
  <c r="L78" i="4"/>
  <c r="K78" i="4"/>
  <c r="J78" i="4"/>
  <c r="I74" i="4"/>
  <c r="I70" i="4"/>
  <c r="I66" i="4"/>
  <c r="I62" i="4"/>
  <c r="I58" i="4"/>
  <c r="I54" i="4"/>
  <c r="I78" i="4" s="1"/>
  <c r="N52" i="4"/>
  <c r="M52" i="4"/>
  <c r="L52" i="4"/>
  <c r="K52" i="4"/>
  <c r="J52" i="4"/>
  <c r="I48" i="4"/>
  <c r="I44" i="4"/>
  <c r="I40" i="4"/>
  <c r="I36" i="4"/>
  <c r="I32" i="4"/>
  <c r="I28" i="4"/>
  <c r="I52" i="4" s="1"/>
  <c r="N26" i="4"/>
  <c r="M26" i="4"/>
  <c r="L26" i="4"/>
  <c r="K26" i="4"/>
  <c r="J26" i="4"/>
  <c r="I22" i="4"/>
  <c r="I18" i="4"/>
  <c r="I14" i="4"/>
  <c r="I10" i="4"/>
  <c r="I6" i="4"/>
  <c r="I2" i="4"/>
  <c r="I26" i="4" s="1"/>
  <c r="N204" i="2"/>
  <c r="M204" i="2"/>
  <c r="L204" i="2"/>
  <c r="K204" i="2"/>
  <c r="J204" i="2"/>
  <c r="I200" i="2"/>
  <c r="I196" i="2"/>
  <c r="I192" i="2"/>
  <c r="I188" i="2"/>
  <c r="I184" i="2"/>
  <c r="I180" i="2"/>
  <c r="I204" i="2" s="1"/>
  <c r="N178" i="2"/>
  <c r="M178" i="2"/>
  <c r="L178" i="2"/>
  <c r="K178" i="2"/>
  <c r="J178" i="2"/>
  <c r="I174" i="2"/>
  <c r="I170" i="2"/>
  <c r="I166" i="2"/>
  <c r="I162" i="2"/>
  <c r="I158" i="2"/>
  <c r="I154" i="2"/>
  <c r="I178" i="2" s="1"/>
  <c r="N152" i="2"/>
  <c r="M152" i="2"/>
  <c r="L152" i="2"/>
  <c r="K152" i="2"/>
  <c r="J152" i="2"/>
  <c r="I148" i="2"/>
  <c r="I144" i="2"/>
  <c r="I140" i="2"/>
  <c r="I136" i="2"/>
  <c r="I132" i="2"/>
  <c r="I128" i="2"/>
  <c r="I152" i="2" s="1"/>
  <c r="N126" i="2"/>
  <c r="M126" i="2"/>
  <c r="L126" i="2"/>
  <c r="K126" i="2"/>
  <c r="J126" i="2"/>
  <c r="I122" i="2"/>
  <c r="I118" i="2"/>
  <c r="I114" i="2"/>
  <c r="I110" i="2"/>
  <c r="I106" i="2"/>
  <c r="I102" i="2"/>
  <c r="I126" i="2" s="1"/>
  <c r="N100" i="2"/>
  <c r="M100" i="2"/>
  <c r="L100" i="2"/>
  <c r="K100" i="2"/>
  <c r="J100" i="2"/>
  <c r="I96" i="2"/>
  <c r="I92" i="2"/>
  <c r="I88" i="2"/>
  <c r="I84" i="2"/>
  <c r="I80" i="2"/>
  <c r="I76" i="2"/>
  <c r="I100" i="2" s="1"/>
  <c r="N74" i="2"/>
  <c r="M74" i="2"/>
  <c r="L74" i="2"/>
  <c r="K74" i="2"/>
  <c r="J74" i="2"/>
  <c r="I70" i="2"/>
  <c r="I66" i="2"/>
  <c r="I62" i="2"/>
  <c r="I58" i="2"/>
  <c r="I54" i="2"/>
  <c r="I50" i="2"/>
  <c r="I74" i="2" s="1"/>
  <c r="N48" i="2"/>
  <c r="M48" i="2"/>
  <c r="L48" i="2"/>
  <c r="K48" i="2"/>
  <c r="J48" i="2"/>
  <c r="I44" i="2"/>
  <c r="I40" i="2"/>
  <c r="I36" i="2"/>
  <c r="I32" i="2"/>
  <c r="I28" i="2"/>
  <c r="I24" i="2"/>
  <c r="I48" i="2" s="1"/>
  <c r="N22" i="2"/>
  <c r="M22" i="2"/>
  <c r="L22" i="2"/>
  <c r="K22" i="2"/>
  <c r="J22" i="2"/>
  <c r="H4" i="15" s="1"/>
  <c r="P4" i="15" s="1"/>
  <c r="I18" i="2"/>
  <c r="I14" i="2"/>
  <c r="I10" i="2"/>
  <c r="I6" i="2"/>
  <c r="I2" i="2"/>
  <c r="I22" i="2" s="1"/>
  <c r="N214" i="1"/>
  <c r="M214" i="1"/>
  <c r="L214" i="1"/>
  <c r="K214" i="1"/>
  <c r="J214" i="1"/>
  <c r="I210" i="1"/>
  <c r="I206" i="1"/>
  <c r="I202" i="1"/>
  <c r="I198" i="1"/>
  <c r="I194" i="1"/>
  <c r="I190" i="1"/>
  <c r="I214" i="1" s="1"/>
  <c r="I186" i="1"/>
  <c r="N184" i="1"/>
  <c r="M184" i="1"/>
  <c r="L184" i="1"/>
  <c r="K184" i="1"/>
  <c r="J184" i="1"/>
  <c r="I180" i="1"/>
  <c r="I176" i="1"/>
  <c r="I172" i="1"/>
  <c r="I168" i="1"/>
  <c r="I164" i="1"/>
  <c r="I160" i="1"/>
  <c r="I156" i="1"/>
  <c r="I184" i="1" s="1"/>
  <c r="I152" i="1"/>
  <c r="N150" i="1"/>
  <c r="M150" i="1"/>
  <c r="L150" i="1"/>
  <c r="K150" i="1"/>
  <c r="J150" i="1"/>
  <c r="I146" i="1"/>
  <c r="I142" i="1"/>
  <c r="I138" i="1"/>
  <c r="I134" i="1"/>
  <c r="I130" i="1"/>
  <c r="I126" i="1"/>
  <c r="I150" i="1" s="1"/>
  <c r="N124" i="1"/>
  <c r="M124" i="1"/>
  <c r="L124" i="1"/>
  <c r="K124" i="1"/>
  <c r="J124" i="1"/>
  <c r="I120" i="1"/>
  <c r="I116" i="1"/>
  <c r="I112" i="1"/>
  <c r="I108" i="1"/>
  <c r="I104" i="1"/>
  <c r="I100" i="1"/>
  <c r="I96" i="1"/>
  <c r="I124" i="1" s="1"/>
  <c r="N94" i="1"/>
  <c r="M94" i="1"/>
  <c r="L94" i="1"/>
  <c r="K94" i="1"/>
  <c r="J94" i="1"/>
  <c r="I90" i="1"/>
  <c r="I86" i="1"/>
  <c r="I82" i="1"/>
  <c r="I78" i="1"/>
  <c r="I74" i="1"/>
  <c r="I70" i="1"/>
  <c r="I66" i="1"/>
  <c r="I94" i="1" s="1"/>
  <c r="N64" i="1"/>
  <c r="M64" i="1"/>
  <c r="L64" i="1"/>
  <c r="K64" i="1"/>
  <c r="J64" i="1"/>
  <c r="I60" i="1"/>
  <c r="I56" i="1"/>
  <c r="I52" i="1"/>
  <c r="I48" i="1"/>
  <c r="I44" i="1"/>
  <c r="I40" i="1"/>
  <c r="I64" i="1" s="1"/>
  <c r="I36" i="1"/>
  <c r="I32" i="1"/>
  <c r="N30" i="1"/>
  <c r="M30" i="1"/>
  <c r="L30" i="1"/>
  <c r="K30" i="1"/>
  <c r="J30" i="1"/>
  <c r="H3" i="15" s="1"/>
  <c r="I26" i="1"/>
  <c r="I22" i="1"/>
  <c r="I18" i="1"/>
  <c r="I14" i="1"/>
  <c r="I10" i="1"/>
  <c r="I6" i="1"/>
  <c r="I2" i="1"/>
  <c r="I30" i="1" s="1"/>
  <c r="B22" i="24" l="1"/>
  <c r="B6" i="14" s="1"/>
  <c r="D5" i="24"/>
  <c r="D12" i="24"/>
  <c r="E43" i="19"/>
  <c r="E10" i="21"/>
  <c r="E8" i="21"/>
  <c r="E6" i="21"/>
  <c r="E23" i="19"/>
  <c r="E4" i="21"/>
  <c r="D6" i="24"/>
  <c r="C12" i="24"/>
  <c r="E14" i="19"/>
  <c r="C5" i="25"/>
  <c r="F5" i="24"/>
  <c r="E4" i="19"/>
  <c r="L6" i="14"/>
  <c r="H6" i="14"/>
  <c r="I6" i="14" s="1"/>
  <c r="H9" i="15"/>
  <c r="E51" i="19"/>
  <c r="O4" i="15"/>
  <c r="E71" i="19"/>
  <c r="O8" i="15"/>
  <c r="O11" i="15"/>
  <c r="E101" i="19"/>
  <c r="O14" i="15"/>
  <c r="C7" i="24"/>
  <c r="E5" i="21"/>
  <c r="C13" i="24"/>
  <c r="E11" i="21"/>
  <c r="E56" i="19"/>
  <c r="E96" i="19"/>
  <c r="F8" i="24"/>
  <c r="G8" i="24" s="1"/>
  <c r="C8" i="25"/>
  <c r="D15" i="15"/>
  <c r="V15" i="15" s="1"/>
  <c r="H12" i="15"/>
  <c r="H6" i="15"/>
  <c r="N3" i="15"/>
  <c r="N4" i="15"/>
  <c r="Q4" i="15" s="1"/>
  <c r="S4" i="15" s="1"/>
  <c r="U4" i="15" s="1"/>
  <c r="N8" i="15"/>
  <c r="Q8" i="15" s="1"/>
  <c r="S8" i="15" s="1"/>
  <c r="U8" i="15" s="1"/>
  <c r="N11" i="15"/>
  <c r="Q11" i="15" s="1"/>
  <c r="S11" i="15" s="1"/>
  <c r="U11" i="15" s="1"/>
  <c r="N14" i="15"/>
  <c r="E22" i="19"/>
  <c r="E30" i="19"/>
  <c r="F11" i="24"/>
  <c r="G11" i="24" s="1"/>
  <c r="H11" i="24" s="1"/>
  <c r="B9" i="25"/>
  <c r="P14" i="15"/>
  <c r="C9" i="24"/>
  <c r="E7" i="21"/>
  <c r="E38" i="19"/>
  <c r="C6" i="24"/>
  <c r="B7" i="25"/>
  <c r="I90" i="12"/>
  <c r="O3" i="15"/>
  <c r="O7" i="15"/>
  <c r="E81" i="19"/>
  <c r="O10" i="15"/>
  <c r="I202" i="10"/>
  <c r="P3" i="15"/>
  <c r="N7" i="15"/>
  <c r="Q7" i="15" s="1"/>
  <c r="S7" i="15" s="1"/>
  <c r="U7" i="15" s="1"/>
  <c r="N10" i="15"/>
  <c r="N13" i="15"/>
  <c r="H8" i="24"/>
  <c r="E18" i="19"/>
  <c r="E46" i="19"/>
  <c r="E66" i="19"/>
  <c r="E86" i="19"/>
  <c r="C8" i="24"/>
  <c r="H5" i="15"/>
  <c r="O5" i="15" s="1"/>
  <c r="O6" i="15"/>
  <c r="E61" i="19"/>
  <c r="P7" i="15"/>
  <c r="P10" i="15"/>
  <c r="E91" i="19"/>
  <c r="P13" i="15"/>
  <c r="C5" i="24"/>
  <c r="C11" i="24"/>
  <c r="E9" i="21"/>
  <c r="F5" i="22"/>
  <c r="F4" i="22"/>
  <c r="B8" i="14"/>
  <c r="E26" i="19"/>
  <c r="J13" i="21"/>
  <c r="K8" i="18" s="1"/>
  <c r="C10" i="24"/>
  <c r="E13" i="19"/>
  <c r="E25" i="19"/>
  <c r="E37" i="19"/>
  <c r="O3" i="21"/>
  <c r="C5" i="21"/>
  <c r="C8" i="21"/>
  <c r="C11" i="21"/>
  <c r="C13" i="21"/>
  <c r="I13" i="21"/>
  <c r="K7" i="18" s="1"/>
  <c r="G169" i="25"/>
  <c r="J169" i="25" s="1"/>
  <c r="G177" i="25"/>
  <c r="J177" i="25" s="1"/>
  <c r="J227" i="25"/>
  <c r="B10" i="25" s="1"/>
  <c r="G37" i="25"/>
  <c r="G45" i="25"/>
  <c r="J45" i="25" s="1"/>
  <c r="G53" i="25"/>
  <c r="J53" i="25" s="1"/>
  <c r="G157" i="25"/>
  <c r="J157" i="25" s="1"/>
  <c r="G162" i="25"/>
  <c r="J162" i="25" s="1"/>
  <c r="G165" i="25"/>
  <c r="J165" i="25" s="1"/>
  <c r="G170" i="25"/>
  <c r="J170" i="25" s="1"/>
  <c r="G173" i="25"/>
  <c r="J173" i="25" s="1"/>
  <c r="J228" i="25"/>
  <c r="G41" i="25"/>
  <c r="J41" i="25" s="1"/>
  <c r="G49" i="25"/>
  <c r="J49" i="25" s="1"/>
  <c r="G57" i="25"/>
  <c r="J57" i="25" s="1"/>
  <c r="G5" i="24" l="1"/>
  <c r="H5" i="24" s="1"/>
  <c r="J37" i="25"/>
  <c r="B6" i="25" s="1"/>
  <c r="K6" i="25"/>
  <c r="L6" i="25" s="1"/>
  <c r="C10" i="25"/>
  <c r="F14" i="24"/>
  <c r="G14" i="24" s="1"/>
  <c r="H14" i="24" s="1"/>
  <c r="P5" i="15"/>
  <c r="P15" i="15" s="1"/>
  <c r="O11" i="21"/>
  <c r="N5" i="15"/>
  <c r="N9" i="15"/>
  <c r="Q9" i="15" s="1"/>
  <c r="S9" i="15" s="1"/>
  <c r="U9" i="15" s="1"/>
  <c r="P9" i="15"/>
  <c r="C7" i="25"/>
  <c r="F13" i="24"/>
  <c r="G13" i="24" s="1"/>
  <c r="H13" i="24" s="1"/>
  <c r="F7" i="24"/>
  <c r="G7" i="24" s="1"/>
  <c r="H7" i="24" s="1"/>
  <c r="F9" i="24"/>
  <c r="G9" i="24" s="1"/>
  <c r="H9" i="24" s="1"/>
  <c r="O8" i="21"/>
  <c r="O13" i="21" s="1"/>
  <c r="E8" i="18" s="1"/>
  <c r="O9" i="15"/>
  <c r="Q13" i="15"/>
  <c r="S13" i="15" s="1"/>
  <c r="U13" i="15" s="1"/>
  <c r="F10" i="24"/>
  <c r="G10" i="24" s="1"/>
  <c r="C9" i="25"/>
  <c r="Q3" i="15"/>
  <c r="N12" i="15"/>
  <c r="P12" i="15"/>
  <c r="O12" i="15"/>
  <c r="O15" i="15" s="1"/>
  <c r="H10" i="24"/>
  <c r="O5" i="21"/>
  <c r="H13" i="21"/>
  <c r="E5" i="19"/>
  <c r="B7" i="18"/>
  <c r="H8" i="14"/>
  <c r="I8" i="14" s="1"/>
  <c r="Q10" i="15"/>
  <c r="S10" i="15" s="1"/>
  <c r="U10" i="15" s="1"/>
  <c r="G13" i="21"/>
  <c r="Q14" i="15"/>
  <c r="S14" i="15" s="1"/>
  <c r="U14" i="15" s="1"/>
  <c r="N6" i="15"/>
  <c r="P6" i="15"/>
  <c r="Q12" i="15" l="1"/>
  <c r="S12" i="15" s="1"/>
  <c r="U12" i="15" s="1"/>
  <c r="K5" i="18"/>
  <c r="F12" i="24"/>
  <c r="G12" i="24" s="1"/>
  <c r="H12" i="24" s="1"/>
  <c r="F6" i="24"/>
  <c r="G6" i="24" s="1"/>
  <c r="C6" i="25"/>
  <c r="K5" i="25"/>
  <c r="Q6" i="15"/>
  <c r="S6" i="15" s="1"/>
  <c r="U6" i="15" s="1"/>
  <c r="K6" i="18"/>
  <c r="E5" i="18"/>
  <c r="N15" i="15"/>
  <c r="S3" i="15"/>
  <c r="Q5" i="15"/>
  <c r="S5" i="15" s="1"/>
  <c r="U5" i="15" s="1"/>
  <c r="U3" i="15" l="1"/>
  <c r="U15" i="15" s="1"/>
  <c r="S15" i="15"/>
  <c r="B9" i="14" s="1"/>
  <c r="L5" i="25"/>
  <c r="K8" i="25"/>
  <c r="L8" i="25" s="1"/>
  <c r="Q15" i="15"/>
  <c r="G15" i="24"/>
  <c r="H6" i="24"/>
  <c r="H15" i="24" s="1"/>
  <c r="B21" i="24" s="1"/>
  <c r="E3" i="21"/>
  <c r="G6" i="22" l="1"/>
  <c r="G4" i="22"/>
  <c r="G5" i="22"/>
  <c r="B10" i="14"/>
  <c r="B9" i="18" s="1"/>
  <c r="N6" i="22"/>
  <c r="N5" i="22"/>
  <c r="B7" i="14"/>
  <c r="B24" i="24"/>
  <c r="N4" i="22"/>
  <c r="B23" i="24"/>
  <c r="B25" i="24"/>
  <c r="H5" i="22" l="1"/>
  <c r="H4" i="22"/>
  <c r="J4" i="22" s="1"/>
  <c r="K4" i="22" s="1"/>
  <c r="B11" i="14"/>
  <c r="H7" i="14"/>
  <c r="I7" i="14" s="1"/>
  <c r="B12" i="14"/>
  <c r="L8" i="14"/>
  <c r="D6" i="21"/>
  <c r="F6" i="21" s="1"/>
  <c r="P6" i="21" s="1"/>
  <c r="Q6" i="21" s="1"/>
  <c r="D7" i="21"/>
  <c r="F7" i="21" s="1"/>
  <c r="P7" i="21" s="1"/>
  <c r="Q7" i="21" s="1"/>
  <c r="L7" i="14"/>
  <c r="D4" i="21"/>
  <c r="F4" i="21" s="1"/>
  <c r="P4" i="21" s="1"/>
  <c r="Q4" i="21" s="1"/>
  <c r="D10" i="21"/>
  <c r="F10" i="21" s="1"/>
  <c r="P10" i="21" s="1"/>
  <c r="Q10" i="21" s="1"/>
  <c r="D9" i="21"/>
  <c r="F9" i="21" s="1"/>
  <c r="P9" i="21" s="1"/>
  <c r="Q9" i="21" s="1"/>
  <c r="D3" i="21"/>
  <c r="D5" i="21"/>
  <c r="F5" i="21" s="1"/>
  <c r="P5" i="21" s="1"/>
  <c r="Q5" i="21" s="1"/>
  <c r="D8" i="21"/>
  <c r="F8" i="21" s="1"/>
  <c r="P8" i="21" s="1"/>
  <c r="Q8" i="21" s="1"/>
  <c r="D11" i="21"/>
  <c r="F11" i="21" s="1"/>
  <c r="P11" i="21" s="1"/>
  <c r="Q11" i="21" s="1"/>
  <c r="H6" i="22"/>
  <c r="J6" i="22" s="1"/>
  <c r="K6" i="22" s="1"/>
  <c r="B6" i="18" l="1"/>
  <c r="H10" i="14"/>
  <c r="I10" i="14" s="1"/>
  <c r="L9" i="14"/>
  <c r="E12" i="21"/>
  <c r="B8" i="18"/>
  <c r="B10" i="18" s="1"/>
  <c r="E6" i="19"/>
  <c r="H9" i="14"/>
  <c r="I9" i="14" s="1"/>
  <c r="F3" i="21"/>
  <c r="D13" i="21"/>
  <c r="F12" i="21" l="1"/>
  <c r="P12" i="21" s="1"/>
  <c r="Q12" i="21" s="1"/>
  <c r="E13" i="21"/>
  <c r="M13" i="21"/>
  <c r="L7" i="18" s="1"/>
  <c r="K13" i="21"/>
  <c r="L13" i="21"/>
  <c r="F13" i="21"/>
  <c r="P3" i="21"/>
  <c r="N13" i="21"/>
  <c r="L8" i="18" s="1"/>
  <c r="L5" i="18" l="1"/>
  <c r="R13" i="21"/>
  <c r="L6" i="18"/>
  <c r="I5" i="22"/>
  <c r="J5" i="22" s="1"/>
  <c r="K5" i="22" s="1"/>
  <c r="E6" i="18"/>
  <c r="E7" i="18" s="1"/>
  <c r="Q3" i="21"/>
  <c r="Q13" i="21" s="1"/>
  <c r="P13" i="21"/>
  <c r="E9" i="18" l="1"/>
  <c r="E1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tc={40883D65-B266-F100-91B1-DCF9892A37EC}</author>
  </authors>
  <commentList>
    <comment ref="B7" authorId="0" shapeId="0" xr:uid="{00000000-0006-0000-0D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user instruction, productivity-led compression is set exactly equal and opposite to secular growth.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tc={2EF18335-EB1B-128B-679A-26A7A2B5ADED}</author>
    <author>tc={B7E6DD9A-DBA5-19D8-C5E5-0F8228AB25EF}</author>
  </authors>
  <commentList>
    <comment ref="R3" authorId="0" shapeId="0" xr:uid="{00000000-0006-0000-0E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service conversion translates internal agentifiable business-function spend into annual third-party services TAM. It is the key calibration factor.</t>
      </text>
    </comment>
    <comment ref="T3" authorId="1" shapeId="0" xr:uid="{00000000-0006-0000-0E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Thesis case assumes only 5% GCC cannibalization of the adjacent service revenue pool; this is deliberately below a conventional 15% sensitivity.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tc={9ECEFE5B-A3FF-92E0-671F-0BBADBEE2E07}</author>
  </authors>
  <commentList>
    <comment ref="A2" authorId="0" shapeId="0" xr:uid="{00000000-0006-0000-1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Classification distinguishes external evidence, workbook-derived calculations, user/video thesis inputs and unsourced model judgments.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tc={6082BCD1-FED3-0A12-BDEE-9AEE0B996A31}</author>
  </authors>
  <commentList>
    <comment ref="L9" authorId="0" shapeId="0" xr:uid="{00000000-0006-0000-1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 thesis: product-engineering mid-tiers gain the most because agentic delivery reduces labor-scale advantage while domain/IP specialization remains valuable.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tc={37E1DB69-8889-0C92-A8B1-FEC9D8EF42D0}</author>
  </authors>
  <commentList>
    <comment ref="D5" authorId="0" shapeId="0" xr:uid="{00000000-0006-0000-1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External service conversion is the most important adjacent-TAM calibration and should be updated as managed-agent and outcome-based contract data emerges.</t>
      </text>
    </comment>
  </commentList>
</comments>
</file>

<file path=xl/sharedStrings.xml><?xml version="1.0" encoding="utf-8"?>
<sst xmlns="http://schemas.openxmlformats.org/spreadsheetml/2006/main" count="14158" uniqueCount="1552">
  <si>
    <t>Sector</t>
  </si>
  <si>
    <t>Subsector</t>
  </si>
  <si>
    <t>Core Activity</t>
  </si>
  <si>
    <t>Effort Split</t>
  </si>
  <si>
    <t>Key Main Task</t>
  </si>
  <si>
    <t>% Effort</t>
  </si>
  <si>
    <t>Category</t>
  </si>
  <si>
    <t>AI Addressable</t>
  </si>
  <si>
    <t>Agentification Potential</t>
  </si>
  <si>
    <t>Actual Agentification Possible</t>
  </si>
  <si>
    <t>NA</t>
  </si>
  <si>
    <t>EU</t>
  </si>
  <si>
    <t>APAC ex India</t>
  </si>
  <si>
    <t>India</t>
  </si>
  <si>
    <t>Healthcare</t>
  </si>
  <si>
    <t>Providers</t>
  </si>
  <si>
    <t>Finance &amp; Accounting</t>
  </si>
  <si>
    <t>Transaction processing &amp; reconciliation</t>
  </si>
  <si>
    <t>Task Processing / Query Handling</t>
  </si>
  <si>
    <t>Financial planning &amp; analysis</t>
  </si>
  <si>
    <t>Assessment &amp; Analysis</t>
  </si>
  <si>
    <t>Budgeting &amp; forecasting</t>
  </si>
  <si>
    <t>Modelling (incl. Forecasting)</t>
  </si>
  <si>
    <t>Financial reporting</t>
  </si>
  <si>
    <t>Document Generation &amp; Management</t>
  </si>
  <si>
    <t>Human Resources</t>
  </si>
  <si>
    <t>Recruitment administration</t>
  </si>
  <si>
    <t>Workforce planning</t>
  </si>
  <si>
    <t>Task Planning &amp; Management</t>
  </si>
  <si>
    <t>Employee relations &amp; support</t>
  </si>
  <si>
    <t>Stakeholder / Relationship Management</t>
  </si>
  <si>
    <t>HR documentation &amp; reporting</t>
  </si>
  <si>
    <t>Revenue Cycle &amp; Administrative Support</t>
  </si>
  <si>
    <t>Billing administration</t>
  </si>
  <si>
    <t>Claims &amp; payment follow-up</t>
  </si>
  <si>
    <t>Denial analysis</t>
  </si>
  <si>
    <t>Administrative documentation</t>
  </si>
  <si>
    <t>Corporate IT &amp; Enterprise Technology</t>
  </si>
  <si>
    <t>IT service desk &amp; user support</t>
  </si>
  <si>
    <t>Application &amp; infrastructure monitoring</t>
  </si>
  <si>
    <t>Monitoring</t>
  </si>
  <si>
    <t>Technology planning &amp; change coordination</t>
  </si>
  <si>
    <t>IT documentation</t>
  </si>
  <si>
    <t>Procurement &amp; Vendor Management</t>
  </si>
  <si>
    <t>Purchase administration</t>
  </si>
  <si>
    <t>Supplier evaluation &amp; spend analysis</t>
  </si>
  <si>
    <t>Vendor relationship management</t>
  </si>
  <si>
    <t>Contract &amp; procurement documentation</t>
  </si>
  <si>
    <t>Legal, Risk &amp; Compliance</t>
  </si>
  <si>
    <t>Compliance monitoring</t>
  </si>
  <si>
    <t>Contract &amp; policy review</t>
  </si>
  <si>
    <t>Legal &amp; Risk &amp; Compliance</t>
  </si>
  <si>
    <t>Regulatory stakeholder management</t>
  </si>
  <si>
    <t>Compliance documentation</t>
  </si>
  <si>
    <t>Corporate Strategy &amp; General Administration</t>
  </si>
  <si>
    <t>Strategic planning</t>
  </si>
  <si>
    <t>Strategy &amp; Design</t>
  </si>
  <si>
    <t>Management analysis</t>
  </si>
  <si>
    <t>Executive stakeholder coordination</t>
  </si>
  <si>
    <t>Corporate reporting</t>
  </si>
  <si>
    <t>Payers</t>
  </si>
  <si>
    <t>Customer &amp; Member Operations</t>
  </si>
  <si>
    <t>Member queries &amp; service requests</t>
  </si>
  <si>
    <t>Enrollment &amp; account administration</t>
  </si>
  <si>
    <t>Member issue assessment</t>
  </si>
  <si>
    <t>Member communications</t>
  </si>
  <si>
    <t>Sales &amp; Distribution</t>
  </si>
  <si>
    <t>Sales planning &amp; targeting</t>
  </si>
  <si>
    <t>Broker / employer relationship management</t>
  </si>
  <si>
    <t>Proposal &amp; quote support</t>
  </si>
  <si>
    <t>Sales performance analysis</t>
  </si>
  <si>
    <t>Marketing &amp; Member Engagement</t>
  </si>
  <si>
    <t>Campaign &amp; content development</t>
  </si>
  <si>
    <t>Content Generation</t>
  </si>
  <si>
    <t>Member segmentation &amp; analytics</t>
  </si>
  <si>
    <t>Campaign planning</t>
  </si>
  <si>
    <t>Agency / channel coordination</t>
  </si>
  <si>
    <t>Pharma</t>
  </si>
  <si>
    <t>Sales &amp; Commercial Operations</t>
  </si>
  <si>
    <t>HCP / account engagement</t>
  </si>
  <si>
    <t>Sales analytics &amp; next-best-action</t>
  </si>
  <si>
    <t>Commercial administration &amp; reporting</t>
  </si>
  <si>
    <t>Marketing &amp; Brand Management</t>
  </si>
  <si>
    <t>Content development</t>
  </si>
  <si>
    <t>Market &amp; customer analytics</t>
  </si>
  <si>
    <t>Brand &amp; campaign planning</t>
  </si>
  <si>
    <t>Agency / stakeholder coordination</t>
  </si>
  <si>
    <t>Medical Devices</t>
  </si>
  <si>
    <t>Physician / hospital account engagement</t>
  </si>
  <si>
    <t>Sales &amp; account analytics</t>
  </si>
  <si>
    <t>Marketing &amp; Product Management</t>
  </si>
  <si>
    <t>Product &amp; campaign planning</t>
  </si>
  <si>
    <t>KOL / channel coordination</t>
  </si>
  <si>
    <t>Legal, Regulatory &amp; Compliance</t>
  </si>
  <si>
    <t>Regulatory monitoring</t>
  </si>
  <si>
    <t>Regulatory / quality submission support</t>
  </si>
  <si>
    <t>Regulator &amp; legal stakeholder management</t>
  </si>
  <si>
    <t>CROs</t>
  </si>
  <si>
    <t>Business Development &amp; Client Management</t>
  </si>
  <si>
    <t>Opportunity identification &amp; targeting</t>
  </si>
  <si>
    <t>Client relationship management</t>
  </si>
  <si>
    <t>Proposal &amp; RFP development</t>
  </si>
  <si>
    <t>Pipeline reporting &amp; analytics</t>
  </si>
  <si>
    <t>Client / regulatory stakeholder management</t>
  </si>
  <si>
    <t>Healthcare Distribution</t>
  </si>
  <si>
    <t>Sales &amp; Account Management</t>
  </si>
  <si>
    <t>Customer / account relationship management</t>
  </si>
  <si>
    <t>Account &amp; pricing analytics</t>
  </si>
  <si>
    <t>Sales administration &amp; reporting</t>
  </si>
  <si>
    <t>Customer Operations</t>
  </si>
  <si>
    <t>Order &amp; customer query processing</t>
  </si>
  <si>
    <t>Order exception management</t>
  </si>
  <si>
    <t>Customer issue assessment</t>
  </si>
  <si>
    <t>Customer documentation &amp; communication</t>
  </si>
  <si>
    <t>Supplier &amp; spend analysis</t>
  </si>
  <si>
    <t>Supplier relationship management</t>
  </si>
  <si>
    <t>Procurement documentation</t>
  </si>
  <si>
    <t>Biotech</t>
  </si>
  <si>
    <t>Commercial analytics</t>
  </si>
  <si>
    <t>Marketing &amp; Market Development</t>
  </si>
  <si>
    <t>Market &amp; patient analytics</t>
  </si>
  <si>
    <t>Launch / market development planning</t>
  </si>
  <si>
    <t>KOL / stakeholder coordination</t>
  </si>
  <si>
    <t>Regulatory / compliance monitoring</t>
  </si>
  <si>
    <t>Regulatory / legal stakeholder management</t>
  </si>
  <si>
    <t>Regulatory &amp; compliance documentation</t>
  </si>
  <si>
    <t>Communications</t>
  </si>
  <si>
    <t>Advertising &amp; Marketing Services</t>
  </si>
  <si>
    <t>New Business &amp; Sales</t>
  </si>
  <si>
    <t>Lead &amp; opportunity targeting</t>
  </si>
  <si>
    <t>Prospect relationship management</t>
  </si>
  <si>
    <t>Pitch &amp; proposal development</t>
  </si>
  <si>
    <t>Pipeline analytics &amp; reporting</t>
  </si>
  <si>
    <t>Workforce / freelancer planning</t>
  </si>
  <si>
    <t>Employee &amp; talent relations</t>
  </si>
  <si>
    <t>Corporate IT &amp; Technology</t>
  </si>
  <si>
    <t>Legal &amp; Corporate Administration</t>
  </si>
  <si>
    <t>Legal / client stakeholder coordination</t>
  </si>
  <si>
    <t>Corporate &amp; strategic planning</t>
  </si>
  <si>
    <t>Legal &amp; corporate documentation</t>
  </si>
  <si>
    <t>Pay TV &amp; Distribution</t>
  </si>
  <si>
    <t>Sales &amp; Channel Management</t>
  </si>
  <si>
    <t>Sales &amp; channel planning</t>
  </si>
  <si>
    <t>Affiliate / channel relationship management</t>
  </si>
  <si>
    <t>Pricing &amp; account analytics</t>
  </si>
  <si>
    <t>Marketing &amp; Subscriber Growth</t>
  </si>
  <si>
    <t>Subscriber segmentation &amp; churn analytics</t>
  </si>
  <si>
    <t>Campaign / proposition planning</t>
  </si>
  <si>
    <t>IT support &amp; user services</t>
  </si>
  <si>
    <t>Enterprise system monitoring</t>
  </si>
  <si>
    <t>Technology planning &amp; coordination</t>
  </si>
  <si>
    <t>Legal, Regulatory &amp; Corporate Administration</t>
  </si>
  <si>
    <t>Regulatory / rights monitoring</t>
  </si>
  <si>
    <t>Regulatory / partner coordination</t>
  </si>
  <si>
    <t>Content Production &amp; Distribution</t>
  </si>
  <si>
    <t>Sales &amp; Distribution Partnerships</t>
  </si>
  <si>
    <t>Distribution opportunity targeting</t>
  </si>
  <si>
    <t>Studio / platform relationship management</t>
  </si>
  <si>
    <t>Deal economics &amp; performance analysis</t>
  </si>
  <si>
    <t>Proposal &amp; sales reporting</t>
  </si>
  <si>
    <t>Marketing &amp; Publicity</t>
  </si>
  <si>
    <t>Promotional content development</t>
  </si>
  <si>
    <t>Audience / campaign analytics</t>
  </si>
  <si>
    <t>Release / campaign planning</t>
  </si>
  <si>
    <t>Talent / agency coordination</t>
  </si>
  <si>
    <t>Transaction &amp; royalty reconciliation</t>
  </si>
  <si>
    <t>Human Resources &amp; Talent</t>
  </si>
  <si>
    <t>Crew / talent administration</t>
  </si>
  <si>
    <t>Workforce &amp; production talent planning</t>
  </si>
  <si>
    <t>Talent / employee relations</t>
  </si>
  <si>
    <t>HR / talent documentation</t>
  </si>
  <si>
    <t>IT service desk &amp; support</t>
  </si>
  <si>
    <t>System / infrastructure monitoring</t>
  </si>
  <si>
    <t>Technology planning</t>
  </si>
  <si>
    <t>Legal, Rights &amp; Corporate Administration</t>
  </si>
  <si>
    <t>Rights / compliance monitoring</t>
  </si>
  <si>
    <t>Licensing / contract review</t>
  </si>
  <si>
    <t>Rights-holder / legal coordination</t>
  </si>
  <si>
    <t>Rights &amp; corporate documentation</t>
  </si>
  <si>
    <t>Gaming</t>
  </si>
  <si>
    <t>Publishing &amp; Commercial Operations</t>
  </si>
  <si>
    <t>Commercial planning &amp; targeting</t>
  </si>
  <si>
    <t>Platform / ecosystem relationships</t>
  </si>
  <si>
    <t>Pricing &amp; monetization analytics</t>
  </si>
  <si>
    <t>Commercial reporting</t>
  </si>
  <si>
    <t>User Acquisition &amp; Marketing</t>
  </si>
  <si>
    <t>Campaign / creative development</t>
  </si>
  <si>
    <t>Player / acquisition analytics</t>
  </si>
  <si>
    <t>User acquisition planning</t>
  </si>
  <si>
    <t>Marketing reporting</t>
  </si>
  <si>
    <t>Revenue forecasting</t>
  </si>
  <si>
    <t>Employee / developer relations</t>
  </si>
  <si>
    <t>IT support</t>
  </si>
  <si>
    <t>System monitoring</t>
  </si>
  <si>
    <t>Platform / regulatory monitoring</t>
  </si>
  <si>
    <t>IP / contract review</t>
  </si>
  <si>
    <t>Publisher / legal coordination</t>
  </si>
  <si>
    <t>Legal &amp; compliance documentation</t>
  </si>
  <si>
    <t>Digital Platforms &amp; Internet Media</t>
  </si>
  <si>
    <t>Monetization &amp; Commercial Operations</t>
  </si>
  <si>
    <t>Commercial / inventory planning</t>
  </si>
  <si>
    <t>Revenue &amp; demand forecasting</t>
  </si>
  <si>
    <t>Marketing &amp; User Growth</t>
  </si>
  <si>
    <t>Content / campaign development</t>
  </si>
  <si>
    <t>User behaviour &amp; growth analytics</t>
  </si>
  <si>
    <t>Campaign / growth planning</t>
  </si>
  <si>
    <t>Growth reporting</t>
  </si>
  <si>
    <t>Application / infrastructure monitoring</t>
  </si>
  <si>
    <t>Regulatory / policy monitoring</t>
  </si>
  <si>
    <t>Policy / contract review</t>
  </si>
  <si>
    <t>Regulator / legal stakeholder management</t>
  </si>
  <si>
    <t>Broadcasting</t>
  </si>
  <si>
    <t>Advertising Sales &amp; Distribution</t>
  </si>
  <si>
    <t>Sales / inventory planning</t>
  </si>
  <si>
    <t>Advertiser / distributor relationships</t>
  </si>
  <si>
    <t>Yield / commercial analytics</t>
  </si>
  <si>
    <t>Audience Marketing</t>
  </si>
  <si>
    <t>Audience &amp; engagement analytics</t>
  </si>
  <si>
    <t>Workforce / talent planning</t>
  </si>
  <si>
    <t>Employee / talent relations</t>
  </si>
  <si>
    <t>Enterprise systems monitoring</t>
  </si>
  <si>
    <t>Rights / regulatory monitoring</t>
  </si>
  <si>
    <t>Rights / regulator coordination</t>
  </si>
  <si>
    <t>Rights &amp; compliance documentation</t>
  </si>
  <si>
    <t>Publishing</t>
  </si>
  <si>
    <t>Advertising &amp; Subscription Sales</t>
  </si>
  <si>
    <t>Sales &amp; subscription targeting</t>
  </si>
  <si>
    <t>Advertiser / enterprise relationships</t>
  </si>
  <si>
    <t>Sales &amp; subscription reporting</t>
  </si>
  <si>
    <t>Marketing &amp; Audience Development</t>
  </si>
  <si>
    <t>Marketing content development</t>
  </si>
  <si>
    <t>Audience / churn analytics</t>
  </si>
  <si>
    <t>Campaign / subscription planning</t>
  </si>
  <si>
    <t>Editorial / corporate workforce planning</t>
  </si>
  <si>
    <t>Copyright / compliance monitoring</t>
  </si>
  <si>
    <t>Copyright / contract review</t>
  </si>
  <si>
    <t>Author / legal stakeholder management</t>
  </si>
  <si>
    <t>Telecommunications</t>
  </si>
  <si>
    <t>Sales &amp; account targeting</t>
  </si>
  <si>
    <t>Enterprise / channel relationship management</t>
  </si>
  <si>
    <t>Marketing &amp; Customer Growth</t>
  </si>
  <si>
    <t>Customer segmentation &amp; churn analytics</t>
  </si>
  <si>
    <t>Consumer Staples</t>
  </si>
  <si>
    <t>Beverages</t>
  </si>
  <si>
    <t>Sales planning &amp; account targeting</t>
  </si>
  <si>
    <t>Distributor / retailer relationship management</t>
  </si>
  <si>
    <t>Consumer &amp; market analytics</t>
  </si>
  <si>
    <t>Brand / campaign planning</t>
  </si>
  <si>
    <t>Agency / sponsorship coordination</t>
  </si>
  <si>
    <t>Contract / policy review</t>
  </si>
  <si>
    <t>Food &amp; Agriculture</t>
  </si>
  <si>
    <t>Sales / channel planning</t>
  </si>
  <si>
    <t>Retailer / distributor relationship management</t>
  </si>
  <si>
    <t>Campaign / content development</t>
  </si>
  <si>
    <t>Consumer / category analytics</t>
  </si>
  <si>
    <t>Employee / labour relations</t>
  </si>
  <si>
    <t>Food / agricultural regulatory monitoring</t>
  </si>
  <si>
    <t>Regulator / stakeholder management</t>
  </si>
  <si>
    <t>Household &amp; Personal Care Products</t>
  </si>
  <si>
    <t>Consumer / market analytics</t>
  </si>
  <si>
    <t>Agency / influencer coordination</t>
  </si>
  <si>
    <t>Product / regulatory monitoring</t>
  </si>
  <si>
    <t>Contract / claims review</t>
  </si>
  <si>
    <t>Tobacco &amp; Cannabis</t>
  </si>
  <si>
    <t>Pricing &amp; channel analytics</t>
  </si>
  <si>
    <t>Marketing &amp; Consumer Insights</t>
  </si>
  <si>
    <t>Permitted content / communication development</t>
  </si>
  <si>
    <t>Market / portfolio planning</t>
  </si>
  <si>
    <t>Channel coordination</t>
  </si>
  <si>
    <t>Product / contract / policy review</t>
  </si>
  <si>
    <t>Regulatory documentation &amp; filings</t>
  </si>
  <si>
    <t>Corporate Strategy &amp; Administration</t>
  </si>
  <si>
    <t>Portfolio / strategic planning</t>
  </si>
  <si>
    <t>Management / market analysis</t>
  </si>
  <si>
    <t>Executive / external stakeholder coordination</t>
  </si>
  <si>
    <t>Staples Retail</t>
  </si>
  <si>
    <t>Merchandising &amp; Commercial Management</t>
  </si>
  <si>
    <t>Assortment / category planning</t>
  </si>
  <si>
    <t>Supplier / brand relationship management</t>
  </si>
  <si>
    <t>Pricing / promotion analytics</t>
  </si>
  <si>
    <t>Commercial / promotion reporting</t>
  </si>
  <si>
    <t>Marketing, Loyalty &amp; Customer Growth</t>
  </si>
  <si>
    <t>Customer / loyalty analytics</t>
  </si>
  <si>
    <t>Campaign / loyalty planning</t>
  </si>
  <si>
    <t>Customer communications</t>
  </si>
  <si>
    <t>Store / corporate workforce planning</t>
  </si>
  <si>
    <t>IT service desk &amp; store support</t>
  </si>
  <si>
    <t>Compliance / policy monitoring</t>
  </si>
  <si>
    <t>Network / portfolio planning</t>
  </si>
  <si>
    <t>Performance / market analysis</t>
  </si>
  <si>
    <t>Executive / external coordination</t>
  </si>
  <si>
    <t>Distribution &amp; Wholesale</t>
  </si>
  <si>
    <t>Sales &amp; account planning</t>
  </si>
  <si>
    <t>Retailer / customer relationship management</t>
  </si>
  <si>
    <t>Customer &amp; Order Operations</t>
  </si>
  <si>
    <t>Order / customer query processing</t>
  </si>
  <si>
    <t>Order exception administration</t>
  </si>
  <si>
    <t>Commercial / network strategic planning</t>
  </si>
  <si>
    <t>Executive / customer coordination</t>
  </si>
  <si>
    <t>Financials</t>
  </si>
  <si>
    <t>Retail Banking</t>
  </si>
  <si>
    <t>Marketing &amp; Corporate Communications</t>
  </si>
  <si>
    <t>Customer / market analytics</t>
  </si>
  <si>
    <t>Agency / external stakeholder coordination</t>
  </si>
  <si>
    <t>Application, infrastructure &amp; security monitoring</t>
  </si>
  <si>
    <t>Compliance &amp; corporate documentation</t>
  </si>
  <si>
    <t>Corporate Strategy &amp; Management</t>
  </si>
  <si>
    <t>Private Equity</t>
  </si>
  <si>
    <t>Purchase &amp; vendor administration</t>
  </si>
  <si>
    <t>Vendor / spend analysis</t>
  </si>
  <si>
    <t>Asset Management</t>
  </si>
  <si>
    <t>Capital Markets / Investment Banking</t>
  </si>
  <si>
    <t>Insurance</t>
  </si>
  <si>
    <t>Wealth Management</t>
  </si>
  <si>
    <t>Consumer Lending</t>
  </si>
  <si>
    <t>Mortgage Lending</t>
  </si>
  <si>
    <t>Commercial Lending</t>
  </si>
  <si>
    <t>Custody &amp; Fund Administration</t>
  </si>
  <si>
    <t>Insurance Distribution</t>
  </si>
  <si>
    <t>Reinsurance</t>
  </si>
  <si>
    <t>Universal Banking</t>
  </si>
  <si>
    <t>Consumer Discretionary</t>
  </si>
  <si>
    <t>Consumer Products Manufacturing</t>
  </si>
  <si>
    <t>Legal / external stakeholder management</t>
  </si>
  <si>
    <t>Automotive</t>
  </si>
  <si>
    <t>Sales &amp; Dealer Management</t>
  </si>
  <si>
    <t>Sales &amp; demand planning</t>
  </si>
  <si>
    <t>Dealer / fleet relationship management</t>
  </si>
  <si>
    <t>Pricing &amp; dealer performance analytics</t>
  </si>
  <si>
    <t>Agency / dealer coordination</t>
  </si>
  <si>
    <t>Homebuilding &amp; Home Products</t>
  </si>
  <si>
    <t>Sales / project targeting</t>
  </si>
  <si>
    <t>Dealer / broker / customer relationships</t>
  </si>
  <si>
    <t>Pricing &amp; sales analytics</t>
  </si>
  <si>
    <t>Marketing &amp; Customer Acquisition</t>
  </si>
  <si>
    <t>Campaign / listing content development</t>
  </si>
  <si>
    <t>Customer &amp; market analytics</t>
  </si>
  <si>
    <t>Campaign / market planning</t>
  </si>
  <si>
    <t>Legal &amp; external stakeholder coordination</t>
  </si>
  <si>
    <t>Consumer Services</t>
  </si>
  <si>
    <t>Customer queries &amp; service requests</t>
  </si>
  <si>
    <t>Account / booking administration</t>
  </si>
  <si>
    <t>Customer communications &amp; documentation</t>
  </si>
  <si>
    <t>Sales &amp; Marketing</t>
  </si>
  <si>
    <t>Sales / customer targeting</t>
  </si>
  <si>
    <t>Customer / partner relationship management</t>
  </si>
  <si>
    <t>Customer &amp; campaign analytics</t>
  </si>
  <si>
    <t>Marketing content &amp; reporting</t>
  </si>
  <si>
    <t>Corporate IT &amp; Administration</t>
  </si>
  <si>
    <t>Technology / corporate planning</t>
  </si>
  <si>
    <t>IT / corporate documentation</t>
  </si>
  <si>
    <t>Travel &amp; Leisure</t>
  </si>
  <si>
    <t>Customer, Booking &amp; Loyalty Operations</t>
  </si>
  <si>
    <t>Booking / customer query processing</t>
  </si>
  <si>
    <t>Booking changes &amp; account administration</t>
  </si>
  <si>
    <t>Service disruption / issue assessment</t>
  </si>
  <si>
    <t>Sales, Revenue &amp; Marketing</t>
  </si>
  <si>
    <t>Demand / campaign planning</t>
  </si>
  <si>
    <t>Partner / corporate account management</t>
  </si>
  <si>
    <t>Pricing / demand analytics</t>
  </si>
  <si>
    <t>Workforce / scheduling planning</t>
  </si>
  <si>
    <t>Corporate IT, Legal &amp; Administration</t>
  </si>
  <si>
    <t>IT / administrative query processing</t>
  </si>
  <si>
    <t>System / compliance monitoring</t>
  </si>
  <si>
    <t>Contract / policy assessment</t>
  </si>
  <si>
    <t>Corporate / compliance documentation</t>
  </si>
  <si>
    <t>Leisure &amp; Entertainment</t>
  </si>
  <si>
    <t>Ticketing, Membership &amp; Customer Operations</t>
  </si>
  <si>
    <t>Ticket / customer query processing</t>
  </si>
  <si>
    <t>Membership / booking administration</t>
  </si>
  <si>
    <t>Sales, Partnerships &amp; Marketing</t>
  </si>
  <si>
    <t>Event / campaign planning</t>
  </si>
  <si>
    <t>Sponsor / partner relationship management</t>
  </si>
  <si>
    <t>Audience &amp; commercial analytics</t>
  </si>
  <si>
    <t>Campaign content &amp; reporting</t>
  </si>
  <si>
    <t>Workforce / event staffing planning</t>
  </si>
  <si>
    <t>Hospitality &amp; Restaurants</t>
  </si>
  <si>
    <t>Customer, Reservations &amp; Loyalty Operations</t>
  </si>
  <si>
    <t>Reservation / customer query processing</t>
  </si>
  <si>
    <t>Loyalty / account administration</t>
  </si>
  <si>
    <t>Guest issue assessment</t>
  </si>
  <si>
    <t>Guest communications</t>
  </si>
  <si>
    <t>Corporate / channel relationship management</t>
  </si>
  <si>
    <t>Workforce / shift planning</t>
  </si>
  <si>
    <t>Retail &amp; E-Commerce</t>
  </si>
  <si>
    <t>Customer &amp; Commerce Operations</t>
  </si>
  <si>
    <t>Customer queries / order support</t>
  </si>
  <si>
    <t>Order / return administration</t>
  </si>
  <si>
    <t>Customer / order issue assessment</t>
  </si>
  <si>
    <t>Merchandising, Pricing &amp; Marketing</t>
  </si>
  <si>
    <t>Assortment / campaign planning</t>
  </si>
  <si>
    <t>Vendor / brand relationship management</t>
  </si>
  <si>
    <t>Pricing / customer analytics</t>
  </si>
  <si>
    <t>Product / campaign content generation</t>
  </si>
  <si>
    <t>Consumer Distribution &amp; Wholesale</t>
  </si>
  <si>
    <t>Energy</t>
  </si>
  <si>
    <t>Upstream Oil &amp; Gas</t>
  </si>
  <si>
    <t>Integrated Oil &amp; Gas</t>
  </si>
  <si>
    <t>Midstream Oil &amp; Gas</t>
  </si>
  <si>
    <t>Downstream Oil &amp; Gas</t>
  </si>
  <si>
    <t>Renewable Energy</t>
  </si>
  <si>
    <t>Government</t>
  </si>
  <si>
    <t>Governmental Banks</t>
  </si>
  <si>
    <t>Vendor &amp; spend analysis</t>
  </si>
  <si>
    <t>Management &amp; economic analysis</t>
  </si>
  <si>
    <t>Executive / institutional coordination</t>
  </si>
  <si>
    <t>National Government &amp; Agencies</t>
  </si>
  <si>
    <t>Finance &amp; Budget Administration</t>
  </si>
  <si>
    <t>Transaction &amp; expenditure administration</t>
  </si>
  <si>
    <t>Budget analysis</t>
  </si>
  <si>
    <t>Budgeting &amp; expenditure forecasting</t>
  </si>
  <si>
    <t>Financial &amp; budget reporting</t>
  </si>
  <si>
    <t>Recruitment &amp; personnel administration</t>
  </si>
  <si>
    <t>Employee / civil service relations</t>
  </si>
  <si>
    <t>Personnel documentation &amp; reporting</t>
  </si>
  <si>
    <t>Corporate IT &amp; Digital Administration</t>
  </si>
  <si>
    <t>System, infrastructure &amp; security monitoring</t>
  </si>
  <si>
    <t>Technology documentation</t>
  </si>
  <si>
    <t>Procurement &amp; Contract Administration</t>
  </si>
  <si>
    <t>Purchase / tender administration</t>
  </si>
  <si>
    <t>Bid / vendor assessment</t>
  </si>
  <si>
    <t>Vendor &amp; contractor management</t>
  </si>
  <si>
    <t>Tender &amp; contract documentation</t>
  </si>
  <si>
    <t>Legal, Ethics &amp; Internal Compliance</t>
  </si>
  <si>
    <t>Legal / ethics monitoring</t>
  </si>
  <si>
    <t>Policy &amp; legal review</t>
  </si>
  <si>
    <t>Legal / oversight stakeholder coordination</t>
  </si>
  <si>
    <t>Executive &amp; General Administration</t>
  </si>
  <si>
    <t>Executive planning</t>
  </si>
  <si>
    <t>Management analysis &amp; briefing</t>
  </si>
  <si>
    <t>Inter-agency / executive coordination</t>
  </si>
  <si>
    <t>Executive documentation &amp; reporting</t>
  </si>
  <si>
    <t>Local &amp; Regional Government</t>
  </si>
  <si>
    <t>Transaction &amp; payment processing</t>
  </si>
  <si>
    <t>Budgeting &amp; revenue forecasting</t>
  </si>
  <si>
    <t>Vendor / bid assessment</t>
  </si>
  <si>
    <t>Vendor / contractor management</t>
  </si>
  <si>
    <t>Tender &amp; procurement documentation</t>
  </si>
  <si>
    <t>General Administration &amp; Management</t>
  </si>
  <si>
    <t>Administrative / strategic planning</t>
  </si>
  <si>
    <t>Performance / management analysis</t>
  </si>
  <si>
    <t>Executive / departmental coordination</t>
  </si>
  <si>
    <t>Administrative reporting</t>
  </si>
  <si>
    <t>Communications &amp; Public Engagement</t>
  </si>
  <si>
    <t>Public information content</t>
  </si>
  <si>
    <t>Citizen / community sentiment analysis</t>
  </si>
  <si>
    <t>Engagement planning</t>
  </si>
  <si>
    <t>Community / stakeholder coordination</t>
  </si>
  <si>
    <t>Real Estate</t>
  </si>
  <si>
    <t>Traditional REITs</t>
  </si>
  <si>
    <t>Investor Relations &amp; Capital Markets</t>
  </si>
  <si>
    <t>Investor materials preparation</t>
  </si>
  <si>
    <t>Investor / market analysis</t>
  </si>
  <si>
    <t>Investor &amp; lender relationship management</t>
  </si>
  <si>
    <t>Disclosure &amp; investor reporting</t>
  </si>
  <si>
    <t>Lease / corporate contract review</t>
  </si>
  <si>
    <t>Legal / regulatory stakeholder management</t>
  </si>
  <si>
    <t>Portfolio / corporate strategic planning</t>
  </si>
  <si>
    <t>Management &amp; market analysis</t>
  </si>
  <si>
    <t>Hospitality REITs</t>
  </si>
  <si>
    <t>Corporate workforce planning</t>
  </si>
  <si>
    <t>Executive / operator stakeholder coordination</t>
  </si>
  <si>
    <t>Specialized REITs</t>
  </si>
  <si>
    <t>Application, infrastructure &amp; asset-system monitoring</t>
  </si>
  <si>
    <t>Portfolio / asset strategic planning</t>
  </si>
  <si>
    <t>Management / asset-market analysis</t>
  </si>
  <si>
    <t>Owners &amp; Developers</t>
  </si>
  <si>
    <t>Regulatory / approval monitoring</t>
  </si>
  <si>
    <t>Contract / legal review</t>
  </si>
  <si>
    <t>Corporate / legal documentation</t>
  </si>
  <si>
    <t>Corporate vendor relationship management</t>
  </si>
  <si>
    <t>Market &amp; management analysis</t>
  </si>
  <si>
    <t>Executive / financing stakeholder coordination</t>
  </si>
  <si>
    <t>Real Estate Services</t>
  </si>
  <si>
    <t>Marketing / thought-leadership content</t>
  </si>
  <si>
    <t>Market / campaign analytics</t>
  </si>
  <si>
    <t>Strategic / service-line planning</t>
  </si>
  <si>
    <t>Executive / corporate stakeholder coordination</t>
  </si>
  <si>
    <t>Utilities</t>
  </si>
  <si>
    <t>Energy Marketing &amp; Trading</t>
  </si>
  <si>
    <t>Legal, Risk &amp; Regulatory Administration</t>
  </si>
  <si>
    <t>Regulatory &amp; market-rule monitoring</t>
  </si>
  <si>
    <t>Strategic / portfolio planning</t>
  </si>
  <si>
    <t>Utility Network Operations</t>
  </si>
  <si>
    <t>Network / strategic planning</t>
  </si>
  <si>
    <t>Management &amp; performance analysis</t>
  </si>
  <si>
    <t>Integrated Electric Utilities</t>
  </si>
  <si>
    <t>Regulatory / tariff-policy monitoring</t>
  </si>
  <si>
    <t>Power Generation</t>
  </si>
  <si>
    <t>Regulatory / environmental monitoring</t>
  </si>
  <si>
    <t>Generation / portfolio strategic planning</t>
  </si>
  <si>
    <t>Gas Utilities</t>
  </si>
  <si>
    <t>Regulatory / safety-policy monitoring</t>
  </si>
  <si>
    <t>Network / corporate strategic planning</t>
  </si>
  <si>
    <t>Water Utilities</t>
  </si>
  <si>
    <t>Network / infrastructure strategic planning</t>
  </si>
  <si>
    <t>Executive / public stakeholder coordination</t>
  </si>
  <si>
    <t>Industrials</t>
  </si>
  <si>
    <t>Aerospace &amp; Defense</t>
  </si>
  <si>
    <t>Workforce &amp; skills planning</t>
  </si>
  <si>
    <t>Export-control / regulatory monitoring</t>
  </si>
  <si>
    <t>Government / regulator stakeholder management</t>
  </si>
  <si>
    <t>Strategic vendor relationship management</t>
  </si>
  <si>
    <t>Executive / government stakeholder coordination</t>
  </si>
  <si>
    <t>Industrial Electronics &amp; Components</t>
  </si>
  <si>
    <t>OEM / customer relationship management</t>
  </si>
  <si>
    <t>Industrial Automation</t>
  </si>
  <si>
    <t>Sales &amp; Solution Commercialization</t>
  </si>
  <si>
    <t>Sales / opportunity targeting</t>
  </si>
  <si>
    <t>Enterprise customer relationship management</t>
  </si>
  <si>
    <t>Solution pricing &amp; commercial analytics</t>
  </si>
  <si>
    <t>Proposal &amp; commercial reporting</t>
  </si>
  <si>
    <t>Workforce &amp; technical-skills planning</t>
  </si>
  <si>
    <t>Technology / market analysis</t>
  </si>
  <si>
    <t>Executive / ecosystem coordination</t>
  </si>
  <si>
    <t>Engineering &amp; Construction Services</t>
  </si>
  <si>
    <t>Finance &amp; Project Accounting</t>
  </si>
  <si>
    <t>Transaction / project accounting</t>
  </si>
  <si>
    <t>Project financial analysis</t>
  </si>
  <si>
    <t>Project budgeting &amp; forecasting</t>
  </si>
  <si>
    <t>Financial &amp; project reporting</t>
  </si>
  <si>
    <t>Business Development &amp; Bidding</t>
  </si>
  <si>
    <t>Opportunity identification &amp; bid planning</t>
  </si>
  <si>
    <t>Bid economics &amp; opportunity analysis</t>
  </si>
  <si>
    <t>Proposal / tender preparation</t>
  </si>
  <si>
    <t>Workforce / resource planning</t>
  </si>
  <si>
    <t>Legal, Contracts &amp; Compliance</t>
  </si>
  <si>
    <t>Regulatory / contractual monitoring</t>
  </si>
  <si>
    <t>Contract &amp; claims review</t>
  </si>
  <si>
    <t>Client / legal stakeholder management</t>
  </si>
  <si>
    <t>Contract &amp; compliance documentation</t>
  </si>
  <si>
    <t>Purchase / subcontract administration</t>
  </si>
  <si>
    <t>Vendor / subcontractor analysis</t>
  </si>
  <si>
    <t>Vendor / subcontractor relationship management</t>
  </si>
  <si>
    <t>Strategic / market planning</t>
  </si>
  <si>
    <t>Executive / partner coordination</t>
  </si>
  <si>
    <t>Industrial Services</t>
  </si>
  <si>
    <t>Sales &amp; opportunity planning</t>
  </si>
  <si>
    <t>Customer relationship management</t>
  </si>
  <si>
    <t>Contract / account profitability analysis</t>
  </si>
  <si>
    <t>Sales / account reporting</t>
  </si>
  <si>
    <t>Field workforce planning</t>
  </si>
  <si>
    <t>Employee / technician relations</t>
  </si>
  <si>
    <t>Contract / compliance monitoring</t>
  </si>
  <si>
    <t>Service-line strategic planning</t>
  </si>
  <si>
    <t>Performance &amp; market analysis</t>
  </si>
  <si>
    <t>Executive / client coordination</t>
  </si>
  <si>
    <t>Commercial &amp; Professional Services</t>
  </si>
  <si>
    <t>Sales &amp; Business Development</t>
  </si>
  <si>
    <t>Proposal / RFP development</t>
  </si>
  <si>
    <t>Workforce / capacity planning</t>
  </si>
  <si>
    <t>Employee / professional relations</t>
  </si>
  <si>
    <t>Transportation &amp; Logistics</t>
  </si>
  <si>
    <t>Sales &amp; Customer Management</t>
  </si>
  <si>
    <t>Sales / account planning</t>
  </si>
  <si>
    <t>Customer / shipper relationship management</t>
  </si>
  <si>
    <t>Sales &amp; account reporting</t>
  </si>
  <si>
    <t>Driver / workforce planning</t>
  </si>
  <si>
    <t>Transport / safety regulation monitoring</t>
  </si>
  <si>
    <t>Carrier / vendor relationship management</t>
  </si>
  <si>
    <t>Materials</t>
  </si>
  <si>
    <t>Packaging</t>
  </si>
  <si>
    <t>Customer / brand relationship management</t>
  </si>
  <si>
    <t>Legal, Regulatory &amp; Sustainability</t>
  </si>
  <si>
    <t>Regulatory / sustainability monitoring</t>
  </si>
  <si>
    <t>Regulator / customer stakeholder management</t>
  </si>
  <si>
    <t>Compliance / sustainability documentation</t>
  </si>
  <si>
    <t>Executive / stakeholder coordination</t>
  </si>
  <si>
    <t>Forestry, Paper &amp; Wood</t>
  </si>
  <si>
    <t>Sales &amp; Commercial Management</t>
  </si>
  <si>
    <t>Customer / distributor relationship management</t>
  </si>
  <si>
    <t>Pricing &amp; product-mix analytics</t>
  </si>
  <si>
    <t>Environmental / regulatory monitoring</t>
  </si>
  <si>
    <t>Regulator / community stakeholder management</t>
  </si>
  <si>
    <t>Compliance &amp; sustainability documentation</t>
  </si>
  <si>
    <t>Supplier / contractor relationship management</t>
  </si>
  <si>
    <t>Strategic / capacity planning</t>
  </si>
  <si>
    <t>Metals &amp; Mining</t>
  </si>
  <si>
    <t>Budgeting &amp; commodity forecasting</t>
  </si>
  <si>
    <t>Workforce / site staffing planning</t>
  </si>
  <si>
    <t>Legal, Regulatory &amp; Community Relations</t>
  </si>
  <si>
    <t>Mining / environmental regulation monitoring</t>
  </si>
  <si>
    <t>Licence / contract / policy review</t>
  </si>
  <si>
    <t>Government / community stakeholder management</t>
  </si>
  <si>
    <t>Compliance &amp; ESG documentation</t>
  </si>
  <si>
    <t>Vendor / contractor &amp; spend analysis</t>
  </si>
  <si>
    <t>Contractor / supplier relationship management</t>
  </si>
  <si>
    <t>Portfolio / mine strategic planning</t>
  </si>
  <si>
    <t>Commodity / market analysis</t>
  </si>
  <si>
    <t>Government / executive coordination</t>
  </si>
  <si>
    <t>Steel</t>
  </si>
  <si>
    <t>Pricing / product-mix analytics</t>
  </si>
  <si>
    <t>Vendor / raw-material spend analysis</t>
  </si>
  <si>
    <t>Capacity / portfolio strategic planning</t>
  </si>
  <si>
    <t>Technology</t>
  </si>
  <si>
    <t>Semiconductors</t>
  </si>
  <si>
    <t>Design-win / account targeting</t>
  </si>
  <si>
    <t>OEM / hyperscaler relationship management</t>
  </si>
  <si>
    <t>Sales / design-win reporting</t>
  </si>
  <si>
    <t>Capacity / revenue forecasting</t>
  </si>
  <si>
    <t>Engineering workforce planning</t>
  </si>
  <si>
    <t>IT / engineering-system support</t>
  </si>
  <si>
    <t>Enterprise / engineering-system monitoring</t>
  </si>
  <si>
    <t>Legal, IP &amp; Regulatory Compliance</t>
  </si>
  <si>
    <t>Compliance / IP documentation</t>
  </si>
  <si>
    <t>Product / portfolio strategy</t>
  </si>
  <si>
    <t>Market / competitor analysis</t>
  </si>
  <si>
    <t>Procurement &amp; Supplier Management</t>
  </si>
  <si>
    <t>Purchase / supplier administration</t>
  </si>
  <si>
    <t>Supplier / spend analysis</t>
  </si>
  <si>
    <t>Foundry / supplier relationship management</t>
  </si>
  <si>
    <t>Technology Hardware</t>
  </si>
  <si>
    <t>Budgeting &amp; demand forecasting</t>
  </si>
  <si>
    <t>Electronics Manufacturing &amp; Components</t>
  </si>
  <si>
    <t>Sales / program targeting</t>
  </si>
  <si>
    <t>SG&amp;A agentification</t>
  </si>
  <si>
    <t>Sales / customer reporting</t>
  </si>
  <si>
    <t>Workforce / skills planning</t>
  </si>
  <si>
    <t>Purchase &amp; supplier administration</t>
  </si>
  <si>
    <t>Legal, Quality &amp; Regulatory Administration</t>
  </si>
  <si>
    <t>Regulatory / quality monitoring</t>
  </si>
  <si>
    <t>Technology Distribution</t>
  </si>
  <si>
    <t>Reseller / customer relationship management</t>
  </si>
  <si>
    <t>Purchase / vendor administration</t>
  </si>
  <si>
    <t>Legal / channel stakeholder management</t>
  </si>
  <si>
    <t>Commercial / portfolio planning</t>
  </si>
  <si>
    <t>Business Opportunity</t>
  </si>
  <si>
    <t>Service Line</t>
  </si>
  <si>
    <t>Digital Business</t>
  </si>
  <si>
    <t>Application Maintenance &amp; Development</t>
  </si>
  <si>
    <t>Application Development</t>
  </si>
  <si>
    <t>Requirements interpretation &amp; solution decomposition</t>
  </si>
  <si>
    <t>Code generation &amp; implementation</t>
  </si>
  <si>
    <t>Code review &amp; debugging</t>
  </si>
  <si>
    <t>Technical documentation</t>
  </si>
  <si>
    <t>Application Maintenance &amp; Support</t>
  </si>
  <si>
    <t>Incident triage &amp; classification</t>
  </si>
  <si>
    <t>Root-cause analysis &amp; issue diagnosis</t>
  </si>
  <si>
    <t>Remediation / code-fix execution</t>
  </si>
  <si>
    <t>Support documentation &amp; knowledge-base updates</t>
  </si>
  <si>
    <t>Testing &amp; Quality Engineering</t>
  </si>
  <si>
    <t>Test-case design</t>
  </si>
  <si>
    <t>Test-script generation &amp; automation</t>
  </si>
  <si>
    <t>Defect analysis &amp; prioritization</t>
  </si>
  <si>
    <t>Test reporting &amp; documentation</t>
  </si>
  <si>
    <t>Application Modernization</t>
  </si>
  <si>
    <t>Application / technical-debt assessment</t>
  </si>
  <si>
    <t>Target architecture &amp; modernization design</t>
  </si>
  <si>
    <t>Code refactoring &amp; migration</t>
  </si>
  <si>
    <t>Migration documentation &amp; transition planning</t>
  </si>
  <si>
    <t>DevOps &amp; Release Management</t>
  </si>
  <si>
    <t>Build / deployment pipeline execution</t>
  </si>
  <si>
    <t>Release planning &amp; orchestration</t>
  </si>
  <si>
    <t>Environment / deployment monitoring</t>
  </si>
  <si>
    <t>Release notes &amp; operational documentation</t>
  </si>
  <si>
    <t>Business Process Services</t>
  </si>
  <si>
    <t>Business Functions</t>
  </si>
  <si>
    <t>Process request intake &amp; transaction handling</t>
  </si>
  <si>
    <t>Process coordination &amp; workflow execution</t>
  </si>
  <si>
    <t>Exception assessment &amp; resolution support</t>
  </si>
  <si>
    <t>Process documentation &amp; reporting</t>
  </si>
  <si>
    <t>Customer Management</t>
  </si>
  <si>
    <t>Customer request intake &amp; resolution</t>
  </si>
  <si>
    <t>Customer issue assessment &amp; routing</t>
  </si>
  <si>
    <t>Complex customer interaction &amp; escalation</t>
  </si>
  <si>
    <t>Customer interaction documentation &amp; reporting</t>
  </si>
  <si>
    <t>Finance and Accounting</t>
  </si>
  <si>
    <t>Financial analysis &amp; exception assessment</t>
  </si>
  <si>
    <t>Planning, budgeting &amp; forecasting</t>
  </si>
  <si>
    <t>Financial reporting &amp; documentation</t>
  </si>
  <si>
    <t>Employee / recruitment request processing</t>
  </si>
  <si>
    <t>Workforce &amp; resource planning</t>
  </si>
  <si>
    <t>Employee support &amp; escalation management</t>
  </si>
  <si>
    <t>Industry-Specific BPS</t>
  </si>
  <si>
    <t>Industry transaction / case processing</t>
  </si>
  <si>
    <t>Case assessment &amp; exception analysis</t>
  </si>
  <si>
    <t>Workflow planning &amp; case coordination</t>
  </si>
  <si>
    <t>Industry documentation &amp; reporting</t>
  </si>
  <si>
    <t>Supply Management</t>
  </si>
  <si>
    <t>Procurement transaction processing</t>
  </si>
  <si>
    <t>Supplier coordination &amp; exception management</t>
  </si>
  <si>
    <t>Procurement documentation &amp; reporting</t>
  </si>
  <si>
    <t>Consulting</t>
  </si>
  <si>
    <t>Business Operations</t>
  </si>
  <si>
    <t>Current-state process &amp; operating-model assessment</t>
  </si>
  <si>
    <t>Process &amp; operating-model redesign</t>
  </si>
  <si>
    <t>Business-case &amp; performance analysis</t>
  </si>
  <si>
    <t>Recommendations &amp; deliverable development</t>
  </si>
  <si>
    <t>Corporate Strategy</t>
  </si>
  <si>
    <t>Market &amp; competitive analysis</t>
  </si>
  <si>
    <t>Strategic option development</t>
  </si>
  <si>
    <t>Financial &amp; scenario modelling</t>
  </si>
  <si>
    <t>Executive recommendations &amp; presentations</t>
  </si>
  <si>
    <t>Marketing and Customer Management</t>
  </si>
  <si>
    <t>Customer &amp; market analysis</t>
  </si>
  <si>
    <t>Customer-experience &amp; marketing strategy design</t>
  </si>
  <si>
    <t>Marketing planning &amp; campaign recommendations</t>
  </si>
  <si>
    <t>Customer / marketing deliverable development</t>
  </si>
  <si>
    <t>Risk Management</t>
  </si>
  <si>
    <t>Risk identification &amp; data assessment</t>
  </si>
  <si>
    <t>Risk monitoring &amp; control assessment</t>
  </si>
  <si>
    <t>Scenario &amp; exposure modelling</t>
  </si>
  <si>
    <t>Risk reporting &amp; documentation</t>
  </si>
  <si>
    <t>Application Technology Consulting</t>
  </si>
  <si>
    <t>Application landscape assessment</t>
  </si>
  <si>
    <t>Application architecture &amp; transformation design</t>
  </si>
  <si>
    <t>Technology / solution evaluation</t>
  </si>
  <si>
    <t>Roadmap &amp; recommendation documentation</t>
  </si>
  <si>
    <t>Infrastructure Technology Consulting</t>
  </si>
  <si>
    <t>Infrastructure &amp; cloud estate assessment</t>
  </si>
  <si>
    <t>Target infrastructure / cloud architecture design</t>
  </si>
  <si>
    <t>Capacity, cost &amp; migration analysis</t>
  </si>
  <si>
    <t>Transformation roadmap &amp; documentation</t>
  </si>
  <si>
    <t>Technology Strategy and Governance</t>
  </si>
  <si>
    <t>Technology estate &amp; maturity assessment</t>
  </si>
  <si>
    <t>Technology strategy &amp; operating-model design</t>
  </si>
  <si>
    <t>Technology governance &amp; investment planning</t>
  </si>
  <si>
    <t>Governance policies, roadmap &amp; reporting</t>
  </si>
  <si>
    <t>Digital Technology and Cloud Enablement</t>
  </si>
  <si>
    <t>Application Implementation and Managed Services</t>
  </si>
  <si>
    <t>Commercial Application Implementation</t>
  </si>
  <si>
    <t>Requirements &amp; configuration assessment</t>
  </si>
  <si>
    <t>Application configuration &amp; implementation</t>
  </si>
  <si>
    <t>Integration &amp; migration coordination</t>
  </si>
  <si>
    <t>Implementation documentation</t>
  </si>
  <si>
    <t>Custom Application Implementation</t>
  </si>
  <si>
    <t>Code generation &amp; development</t>
  </si>
  <si>
    <t>Testing, debugging &amp; code review</t>
  </si>
  <si>
    <t>Management and Modernization (AMS)</t>
  </si>
  <si>
    <t>Application estate &amp; technical-debt assessment</t>
  </si>
  <si>
    <t>Incident diagnosis &amp; maintenance planning</t>
  </si>
  <si>
    <t>Remediation, refactoring &amp; modernization execution</t>
  </si>
  <si>
    <t>Service &amp; modernization documentation</t>
  </si>
  <si>
    <t>Application landscape &amp; maturity assessment</t>
  </si>
  <si>
    <t>Technology &amp; solution evaluation</t>
  </si>
  <si>
    <t>Infrastructure Implementation and Managed Services</t>
  </si>
  <si>
    <t>Data Center and Workplace Implementation</t>
  </si>
  <si>
    <t>Implementation design &amp; readiness assessment</t>
  </si>
  <si>
    <t>Physical deployment &amp; installation</t>
  </si>
  <si>
    <t>Physical</t>
  </si>
  <si>
    <t>Deployment planning &amp; coordination</t>
  </si>
  <si>
    <t>Network Implementation</t>
  </si>
  <si>
    <t>Network design &amp; readiness assessment</t>
  </si>
  <si>
    <t>Network deployment &amp; configuration</t>
  </si>
  <si>
    <t>Testing &amp; deployment validation</t>
  </si>
  <si>
    <t>Data Center Services</t>
  </si>
  <si>
    <t>Infrastructure operations &amp; request handling</t>
  </si>
  <si>
    <t>Infrastructure &amp; availability monitoring</t>
  </si>
  <si>
    <t>Capacity &amp; performance optimization</t>
  </si>
  <si>
    <t>Operations reporting &amp; documentation</t>
  </si>
  <si>
    <t>Desktop as a Service</t>
  </si>
  <si>
    <t>Desktop provisioning &amp; configuration</t>
  </si>
  <si>
    <t>Endpoint monitoring &amp; issue detection</t>
  </si>
  <si>
    <t>User request &amp; incident resolution</t>
  </si>
  <si>
    <t>Service documentation &amp; reporting</t>
  </si>
  <si>
    <t>Enterprise Network Managed Services</t>
  </si>
  <si>
    <t>Network monitoring &amp; event detection</t>
  </si>
  <si>
    <t>Incident diagnosis &amp; remediation</t>
  </si>
  <si>
    <t>Network performance &amp; capacity optimization</t>
  </si>
  <si>
    <t>Network reporting &amp; documentation</t>
  </si>
  <si>
    <t>Managed Workplace Services</t>
  </si>
  <si>
    <t>Workplace request &amp; incident handling</t>
  </si>
  <si>
    <t>Endpoint &amp; workplace monitoring</t>
  </si>
  <si>
    <t>Workplace configuration &amp; remediation</t>
  </si>
  <si>
    <t>Service reporting &amp; knowledge documentation</t>
  </si>
  <si>
    <t>Service Desk Managed Services</t>
  </si>
  <si>
    <t>Service request intake &amp; classification</t>
  </si>
  <si>
    <t>Incident diagnosis &amp; resolution</t>
  </si>
  <si>
    <t>Escalation &amp; workflow coordination</t>
  </si>
  <si>
    <t>Ticket documentation &amp; knowledge-base management</t>
  </si>
  <si>
    <t>Digital Product Engineering</t>
  </si>
  <si>
    <t>Integration, testing &amp; deployment support</t>
  </si>
  <si>
    <t>Requirements &amp; solution decomposition</t>
  </si>
  <si>
    <t>Custom Product Centric Application Managed Services</t>
  </si>
  <si>
    <t>Product application monitoring &amp; issue detection</t>
  </si>
  <si>
    <t>Enhancement &amp; release planning</t>
  </si>
  <si>
    <t>Service &amp; product documentation</t>
  </si>
  <si>
    <t>Application monitoring &amp; incident detection</t>
  </si>
  <si>
    <t>Incident resolution &amp; maintenance execution</t>
  </si>
  <si>
    <t>Modernization &amp; technical-debt planning</t>
  </si>
  <si>
    <t>Business process execution</t>
  </si>
  <si>
    <t>Process exception assessment</t>
  </si>
  <si>
    <t>Workflow planning &amp; coordination</t>
  </si>
  <si>
    <t>Process reporting &amp; documentation</t>
  </si>
  <si>
    <t>Customer request handling</t>
  </si>
  <si>
    <t>Customer issue assessment &amp; resolution</t>
  </si>
  <si>
    <t>Interaction monitoring &amp; quality assessment</t>
  </si>
  <si>
    <t>Customer interaction documentation</t>
  </si>
  <si>
    <t>Financial control &amp; exception assessment</t>
  </si>
  <si>
    <t>Planning &amp; analytical support</t>
  </si>
  <si>
    <t>Employee query &amp; case handling</t>
  </si>
  <si>
    <t>Recruitment &amp; workforce administration</t>
  </si>
  <si>
    <t>Workforce planning &amp; analytics</t>
  </si>
  <si>
    <t>Industry process execution</t>
  </si>
  <si>
    <t>Process exception &amp; case assessment</t>
  </si>
  <si>
    <t>Process monitoring &amp; control</t>
  </si>
  <si>
    <t>Process documentation</t>
  </si>
  <si>
    <t>Procurement planning &amp; coordination</t>
  </si>
  <si>
    <t>Procurement reporting &amp; documentation</t>
  </si>
  <si>
    <t>Customer experience &amp; marketing strategy design</t>
  </si>
  <si>
    <t>Customer &amp; marketing deliverable development</t>
  </si>
  <si>
    <t>Digital Technology &amp; Cloud</t>
  </si>
  <si>
    <t>Data &amp; Analytics</t>
  </si>
  <si>
    <t>Data Engineering</t>
  </si>
  <si>
    <t>Source mapping &amp; data preparation</t>
  </si>
  <si>
    <t>Pipeline and transformation code generation</t>
  </si>
  <si>
    <t>Data-quality assessment and remediation</t>
  </si>
  <si>
    <t>Pipeline documentation and lineage</t>
  </si>
  <si>
    <t>BI &amp; Reporting</t>
  </si>
  <si>
    <t>Business and performance analysis</t>
  </si>
  <si>
    <t>Dashboard and query generation</t>
  </si>
  <si>
    <t>Narrative insight and report generation</t>
  </si>
  <si>
    <t>Stakeholder requirements and interpretation</t>
  </si>
  <si>
    <t>Advanced Analytics</t>
  </si>
  <si>
    <t>Statistical modelling and forecasting</t>
  </si>
  <si>
    <t>Feature engineering and analytical data preparation</t>
  </si>
  <si>
    <t>Experiment and model-result assessment</t>
  </si>
  <si>
    <t>Model documentation and reporting</t>
  </si>
  <si>
    <t>Data Governance</t>
  </si>
  <si>
    <t>Metadata classification and cataloguing</t>
  </si>
  <si>
    <t>Data-quality and policy monitoring</t>
  </si>
  <si>
    <t>Privacy, compliance and exception assessment</t>
  </si>
  <si>
    <t>Governance documentation and controls</t>
  </si>
  <si>
    <t>AI Expands the Addressable Market Despite Legacy Compression</t>
  </si>
  <si>
    <t>Global tech services market | $ trillion | 2025–2030E | bottom-up agentification linked to the completed workbook</t>
  </si>
  <si>
    <t>Core bridge assumption</t>
  </si>
  <si>
    <t>Value</t>
  </si>
  <si>
    <t>Units</t>
  </si>
  <si>
    <t>Model treatment</t>
  </si>
  <si>
    <t>External market-build comparison</t>
  </si>
  <si>
    <t>External build</t>
  </si>
  <si>
    <t>Model</t>
  </si>
  <si>
    <t>Variance</t>
  </si>
  <si>
    <t>Market milestone</t>
  </si>
  <si>
    <t>Market size ($tn)</t>
  </si>
  <si>
    <t>2025 legacy tech-services market</t>
  </si>
  <si>
    <t>$tn</t>
  </si>
  <si>
    <t>Independent outsourced-market component build</t>
  </si>
  <si>
    <t>2025 market</t>
  </si>
  <si>
    <t>Secular growth to 2030</t>
  </si>
  <si>
    <t>Independent broad IT-services CAGR applied to 2025 market</t>
  </si>
  <si>
    <t>Secular growth</t>
  </si>
  <si>
    <t>2030 with secular growth</t>
  </si>
  <si>
    <t>Productivity-led compression</t>
  </si>
  <si>
    <t>Bottom-up service-line productivity compression</t>
  </si>
  <si>
    <t>Compression</t>
  </si>
  <si>
    <t>After legacy compression</t>
  </si>
  <si>
    <t>Expansion from new services</t>
  </si>
  <si>
    <t>Derived from Service Line TAM</t>
  </si>
  <si>
    <t>New services</t>
  </si>
  <si>
    <t>Plus new services</t>
  </si>
  <si>
    <t>Gross adjacent business-function TAM</t>
  </si>
  <si>
    <t>Derived from Adjacent TAM Detail</t>
  </si>
  <si>
    <t>Adjacent TAM midpoint</t>
  </si>
  <si>
    <t>Plus adjacent TAM</t>
  </si>
  <si>
    <t>GCC cannibalization</t>
  </si>
  <si>
    <t>Low 5% haircut to adjacent TAM</t>
  </si>
  <si>
    <t>2030 with adjacent TAM midpoint</t>
  </si>
  <si>
    <t>Net adjacent TAM</t>
  </si>
  <si>
    <t>Gross adjacent TAM less GCC cannibalization</t>
  </si>
  <si>
    <t>2030E market including adjacent TAM</t>
  </si>
  <si>
    <t>Sum of bridge components</t>
  </si>
  <si>
    <t>Value-pool conclusion</t>
  </si>
  <si>
    <t>Secular growth and productivity compression are independently calculated from the $1.136tn outsourced-market base; their residual difference is retained rather than forced to zero.</t>
  </si>
  <si>
    <t>The increase comes from two incremental pools: agent-enabled new services and externalized adjacent business functions.</t>
  </si>
  <si>
    <t>GCC cannibalization is only 5% of gross adjacent TAM in the thesis case; a conventional 15% haircut would be more punitive.</t>
  </si>
  <si>
    <t>The adjacent TAM is an annual 2030 revenue pool, not cumulative savings or enterprise value.</t>
  </si>
  <si>
    <t>Adjacent Business-Function TAM — Industry Build</t>
  </si>
  <si>
    <t>Industry / sector</t>
  </si>
  <si>
    <t>Source sheet</t>
  </si>
  <si>
    <t>2024 revenue / spend pool ($bn)</t>
  </si>
  <si>
    <t>2030E revenue / spend pool ($bn)</t>
  </si>
  <si>
    <t>Direct cost %</t>
  </si>
  <si>
    <t>SG&amp;A %</t>
  </si>
  <si>
    <t>R&amp;D %</t>
  </si>
  <si>
    <t>Workbook business-function agentification</t>
  </si>
  <si>
    <t>Direct agentification multiplier</t>
  </si>
  <si>
    <t>R&amp;D agentification multiplier</t>
  </si>
  <si>
    <t>Direct max adoption</t>
  </si>
  <si>
    <t>SG&amp;A max adoption</t>
  </si>
  <si>
    <t>R&amp;D max adoption</t>
  </si>
  <si>
    <t>Direct agentifiable pool ($bn)</t>
  </si>
  <si>
    <t>SG&amp;A agentifiable pool ($bn)</t>
  </si>
  <si>
    <t>R&amp;D agentifiable pool ($bn)</t>
  </si>
  <si>
    <t>Total agentifiable pool ($bn)</t>
  </si>
  <si>
    <t>External service conversion</t>
  </si>
  <si>
    <t>Gross adjacent TAM ($bn)</t>
  </si>
  <si>
    <t>Net adjacent TAM ($bn)</t>
  </si>
  <si>
    <t>Sector CAGR, 2024–30</t>
  </si>
  <si>
    <t>Source classification</t>
  </si>
  <si>
    <t>2024 pool source / derivation</t>
  </si>
  <si>
    <t>CAGR derivation</t>
  </si>
  <si>
    <t>Source URL</t>
  </si>
  <si>
    <t>Healthcare SG&amp;A</t>
  </si>
  <si>
    <t>Source-based global spend proxy</t>
  </si>
  <si>
    <t>WHO Global Health Expenditure Database; pool represents worldwide health activity/spend, not a vendor TAM.</t>
  </si>
  <si>
    <t>CAGR calibrated to the model’s sourced/proxied 2024 and 2030 sector-pool endpoints.</t>
  </si>
  <si>
    <t>https://apps.who.int/nha/database</t>
  </si>
  <si>
    <t>Source-based revenue proxy</t>
  </si>
  <si>
    <t>ITU global ICT indicators and operator/communications revenue triangulation; broader than telecom-services revenue.</t>
  </si>
  <si>
    <t>CAGR calibrated to the model endpoints and cross-checked against the ITU communications outlook.</t>
  </si>
  <si>
    <t>https://www.itu.int/itu-d/reports/statistics/facts-figures-2024/</t>
  </si>
  <si>
    <t>Macro allocation proxy</t>
  </si>
  <si>
    <t>World Bank household final-consumption expenditure allocated to essential-consumption categories.</t>
  </si>
  <si>
    <t>CAGR is an explicit model input implied by the selected 2024/2030 consumption pools.</t>
  </si>
  <si>
    <t>https://data.worldbank.org/indicator/NE.CON.PRVT.CD</t>
  </si>
  <si>
    <t>Source-based financial-activity proxy</t>
  </si>
  <si>
    <t>World Bank Global Financial Development Database and global financial-sector activity triangulation.</t>
  </si>
  <si>
    <t>CAGR is an explicit model input implied by the selected financial-activity endpoints.</t>
  </si>
  <si>
    <t>https://www.worldbank.org/en/publication/gfdr/data/global-financial-development-database</t>
  </si>
  <si>
    <t>CD</t>
  </si>
  <si>
    <t>World Bank household final-consumption expenditure allocated to discretionary categories.</t>
  </si>
  <si>
    <t>IEA World Energy Investment and global energy-sector revenue/output triangulation; not a single published market TAM.</t>
  </si>
  <si>
    <t>CAGR is an explicit model input implied by the selected energy-pool endpoints.</t>
  </si>
  <si>
    <t>https://www.iea.org/reports/world-energy-investment-2024</t>
  </si>
  <si>
    <t>Govt</t>
  </si>
  <si>
    <t>Macro expenditure proxy</t>
  </si>
  <si>
    <t>World Bank general-government final-consumption expenditure; excludes transfers and avoids using total government budgets.</t>
  </si>
  <si>
    <t>CAGR is an explicit model input implied by the selected government-consumption endpoints.</t>
  </si>
  <si>
    <t>https://data.worldbank.org/indicator/NE.CON.GOVT.CD</t>
  </si>
  <si>
    <t>World Bank services value added with real-estate activity allocation; not global property asset value.</t>
  </si>
  <si>
    <t>CAGR is an explicit model input implied by the selected real-estate activity endpoints.</t>
  </si>
  <si>
    <t>https://data.worldbank.org/indicator/NV.SRV.TOTL.CD</t>
  </si>
  <si>
    <t>World Bank industry value added and utility-sector revenue triangulation.</t>
  </si>
  <si>
    <t>CAGR is an explicit model input implied by the selected utility-activity endpoints.</t>
  </si>
  <si>
    <t>https://data.worldbank.org/indicator/NV.IND.TOTL.CD</t>
  </si>
  <si>
    <t>Source-based output proxy</t>
  </si>
  <si>
    <t>World Bank manufacturing value added plus non-manufacturing industrial activity; broader than listed-company revenue.</t>
  </si>
  <si>
    <t>CAGR is an explicit model input implied by the selected industrial-output endpoints.</t>
  </si>
  <si>
    <t>https://data.worldbank.org/indicator/NV.IND.MANF.CD</t>
  </si>
  <si>
    <t>World Bank manufacturing/industry value added allocated to chemicals, metals, mining and materials.</t>
  </si>
  <si>
    <t>CAGR is an explicit model input implied by the selected materials endpoints.</t>
  </si>
  <si>
    <t>Source-based technology-spend proxy</t>
  </si>
  <si>
    <t>Gartner worldwide IT spending plus technology-sector revenue pools; deliberately broader than IT services alone.</t>
  </si>
  <si>
    <t>CAGR is an explicit model input implied by the selected technology-spend endpoints and checked against Gartner growth.</t>
  </si>
  <si>
    <t>https://www.gartner.com/en/newsroom/press-releases/2024-04-16-gartner-forecast-worldwide-it-spending-to-grow-8-percent-in-2024</t>
  </si>
  <si>
    <t>Total</t>
  </si>
  <si>
    <t>Portfolio-weighted result</t>
  </si>
  <si>
    <t>2030 total is calculated from the twelve explicit sector CAGRs.</t>
  </si>
  <si>
    <t>New Services TAM Derived from Existing Service-Line Agentification</t>
  </si>
  <si>
    <t>Business opportunity</t>
  </si>
  <si>
    <t>Service line</t>
  </si>
  <si>
    <t>2030 market allocation</t>
  </si>
  <si>
    <t>Workbook-derived agentification</t>
  </si>
  <si>
    <t>Maximum adoption</t>
  </si>
  <si>
    <t>New-service monetization</t>
  </si>
  <si>
    <t>Interpretation</t>
  </si>
  <si>
    <t>Derived productivity</t>
  </si>
  <si>
    <t>Application Implementation &amp; Managed Services</t>
  </si>
  <si>
    <t>Infrastructure Implementation &amp; Managed Services</t>
  </si>
  <si>
    <t>Check</t>
  </si>
  <si>
    <t>Status</t>
  </si>
  <si>
    <t>Agentification: Market Expansion and Mid-Tier Share Shift</t>
  </si>
  <si>
    <t>Detailed thesis dashboard | market compression is offset by secular growth; new pools drive expansion | $ trillion unless stated</t>
  </si>
  <si>
    <t>Market KPI</t>
  </si>
  <si>
    <t>Mid-tier KPI</t>
  </si>
  <si>
    <t>Cohort</t>
  </si>
  <si>
    <t>2025 share</t>
  </si>
  <si>
    <t>2030 share</t>
  </si>
  <si>
    <t>2025 tech-services market</t>
  </si>
  <si>
    <t>2025 weighted mid-tier share</t>
  </si>
  <si>
    <t>Large providers</t>
  </si>
  <si>
    <t>2030 market incl. adjacent TAM</t>
  </si>
  <si>
    <t>2030 weighted mid-tier share</t>
  </si>
  <si>
    <t>Mid-tier providers</t>
  </si>
  <si>
    <t>New-services TAM</t>
  </si>
  <si>
    <t>Share gain</t>
  </si>
  <si>
    <t>Specialists / local</t>
  </si>
  <si>
    <t>2025 mid-tier TAM ($bn)</t>
  </si>
  <si>
    <t>Platforms / hyperscalers</t>
  </si>
  <si>
    <t>GCC haircut on adjacent TAM</t>
  </si>
  <si>
    <t>2030 mid-tier TAM ($bn)</t>
  </si>
  <si>
    <t>Total incremental AI-created pool</t>
  </si>
  <si>
    <t>Incremental mid-tier TAM ($bn)</t>
  </si>
  <si>
    <t>Investment and competitive implications</t>
  </si>
  <si>
    <t>1. Independently derived secular growth (~$0.27tn) broadly offsets bottom-up productivity compression (~$0.30tn); the residual ~$0.03tn legacy contraction is retained, not plugged away.</t>
  </si>
  <si>
    <t>2. Mid-tier upside is a share-shift thesis. The model moves broad mid-tier share from the low teens toward the high teens, with the strongest capture in product engineering, application modernization and adjacent domain operations.</t>
  </si>
  <si>
    <t>3. Large providers retain an advantage in transition risk, global delivery, regulated BPS and multi-tower infrastructure; the model does not assume wholesale disintermediation.</t>
  </si>
  <si>
    <t>4. Platforms/hyperscalers gain most in infrastructure and repeatable tool layers, while specialists remain important in consulting and regulated vertical workflows.</t>
  </si>
  <si>
    <t>5. GCCs remain a structural competitor, but only a 5% adjacent-TAM haircut is used because the thesis assumes providers retain value through reusable platforms, managed outcomes and ecosystem orchestration.</t>
  </si>
  <si>
    <t>6. The key proof points are monetization, external service conversion and observable mid-tier win-rate/share gains—not raw model capability.</t>
  </si>
  <si>
    <t>Complete Assumption Register</t>
  </si>
  <si>
    <t>ID</t>
  </si>
  <si>
    <t>Model area</t>
  </si>
  <si>
    <t>Source cell / range</t>
  </si>
  <si>
    <t>Assumption</t>
  </si>
  <si>
    <t>Live value</t>
  </si>
  <si>
    <t>Classification</t>
  </si>
  <si>
    <t>Source / derivation</t>
  </si>
  <si>
    <t>Logic for chosen value</t>
  </si>
  <si>
    <t>Sensitivity / effect</t>
  </si>
  <si>
    <t>Evidence strength</t>
  </si>
  <si>
    <t>URL</t>
  </si>
  <si>
    <t>Owner / review</t>
  </si>
  <si>
    <t>Market bridge</t>
  </si>
  <si>
    <t>TAM Bridge!B5</t>
  </si>
  <si>
    <t>Independent market build</t>
  </si>
  <si>
    <t>Grand View Research IT outsourcing and BPO market estimates</t>
  </si>
  <si>
    <t>Combines mutually exclusive outsourced IT services and business-process operations; application outsourcing remains within IT outsourcing and is not added again.</t>
  </si>
  <si>
    <t>Every $0.1tn changes the service-line allocations and bridge proportionately.</t>
  </si>
  <si>
    <t>Medium–High</t>
  </si>
  <si>
    <t>https://www.grandviewresearch.com/industry-analysis/it-services-outsourcing-market | https://finance.yahoo.com/sectors/technology/articles/global-bpo-market-reach-695-140500757.html</t>
  </si>
  <si>
    <t>Annual</t>
  </si>
  <si>
    <t>Active</t>
  </si>
  <si>
    <t>TAM Bridge!B6:B7</t>
  </si>
  <si>
    <t>Secular growth and compression calculated independently</t>
  </si>
  <si>
    <t>Independent calculations</t>
  </si>
  <si>
    <t>Compression &amp; Secular</t>
  </si>
  <si>
    <t>Secular growth uses an external broad-market CAGR; compression uses service-line agentification. No balancing variable connects them.</t>
  </si>
  <si>
    <t>The residual difference flows directly into the 2030 legacy market.</t>
  </si>
  <si>
    <t>User input</t>
  </si>
  <si>
    <t>On thesis change</t>
  </si>
  <si>
    <t>TAM Bridge!B8</t>
  </si>
  <si>
    <t>Calculated</t>
  </si>
  <si>
    <t>Service Line TAM</t>
  </si>
  <si>
    <t>Agentified service pool × monetization × (1-GCC exposure).</t>
  </si>
  <si>
    <t>Highly sensitive to adoption and monetization.</t>
  </si>
  <si>
    <t>Model calculation</t>
  </si>
  <si>
    <t>Quarterly</t>
  </si>
  <si>
    <t>TAM Bridge!B11</t>
  </si>
  <si>
    <t>Adjacent TAM Detail</t>
  </si>
  <si>
    <t>Industry function pools × agentification × adoption × external conversion × (1-GCC cannibalization).</t>
  </si>
  <si>
    <t>Most sensitive to external service conversion.</t>
  </si>
  <si>
    <t>GCC</t>
  </si>
  <si>
    <t>Adjacent TAM Detail!T3:T14</t>
  </si>
  <si>
    <t>GCC cannibalization — adjacent TAM</t>
  </si>
  <si>
    <t>%</t>
  </si>
  <si>
    <t>Thesis assumption</t>
  </si>
  <si>
    <t>NASSCOM–Zinnov GCC landscape; user thesis</t>
  </si>
  <si>
    <t>5% is deliberately low: GCC growth is real, but the thesis assumes agentic platforms lower provider delivery costs and more value remains contestable.</t>
  </si>
  <si>
    <t>10% instead of 5% reduces adjacent TAM by ~1.2% of gross adjacent pool.</t>
  </si>
  <si>
    <t>Medium</t>
  </si>
  <si>
    <t>https://community.nasscom.in/index.php/communities/nasscom-insights/india-gcc-landscape-report-5-year-journey</t>
  </si>
  <si>
    <t>Service Line TAM!J3:J11</t>
  </si>
  <si>
    <t>GCC exposure — new services</t>
  </si>
  <si>
    <t>User thesis</t>
  </si>
  <si>
    <t>3% haircut reflects new services being less easily internalized than mature run-the-business work.</t>
  </si>
  <si>
    <t>1 percentage point changes new-services TAM by roughly 1% of gross pool.</t>
  </si>
  <si>
    <t>Low</t>
  </si>
  <si>
    <t>Semiannual</t>
  </si>
  <si>
    <t>Service-line TAM</t>
  </si>
  <si>
    <t>Service Line TAM!D3</t>
  </si>
  <si>
    <t>Model allocation</t>
  </si>
  <si>
    <t>Grand View total; existing workbook taxonomy</t>
  </si>
  <si>
    <t>Allocates the $1.136tn base across the nine service-line/business-opportunity combinations without changing the control total.</t>
  </si>
  <si>
    <t>Reallocates opportunity; no effect on total new-services TAM unless scores differ.</t>
  </si>
  <si>
    <t>Low–Medium</t>
  </si>
  <si>
    <t>https://www.grandviewresearch.com/industry-analysis/it-services-outsourcing-market</t>
  </si>
  <si>
    <t>Service Line TAM!E3</t>
  </si>
  <si>
    <t>Calculated from uploaded workbook</t>
  </si>
  <si>
    <t>Task rows D×F×J</t>
  </si>
  <si>
    <t>Weighted average of the completed workbook’s actual agentification scores for the stated source rows.</t>
  </si>
  <si>
    <t>Directly scales agentified service pool.</t>
  </si>
  <si>
    <t>Workbook-derived</t>
  </si>
  <si>
    <t>On framework change</t>
  </si>
  <si>
    <t>Service Line TAM!F3</t>
  </si>
  <si>
    <t>McKinsey automation potential and adoption constraint</t>
  </si>
  <si>
    <t>65% recognizes that technical task exposure is not the same as enterprise deployment, control approval or workflow redesign.</t>
  </si>
  <si>
    <t>10-point change moves new-service TAM about 15%.</t>
  </si>
  <si>
    <t>https://www.mckinsey.com/capabilities/tech-and-ai/our-insights/the-economic-potential-of-generative-ai-the-next-productivity-frontier</t>
  </si>
  <si>
    <t>Service Line TAM!G3</t>
  </si>
  <si>
    <t>Reference chart and value-pool calibration</t>
  </si>
  <si>
    <t>50% converts agentified capacity into incremental revenue rather than only cost saving or price reduction.</t>
  </si>
  <si>
    <t>Largest service-line sensitivity; ±10 points changes new-services TAM ±20%.</t>
  </si>
  <si>
    <t>Service Line TAM!D4</t>
  </si>
  <si>
    <t>Service Line TAM!E4</t>
  </si>
  <si>
    <t>Service Line TAM!F4</t>
  </si>
  <si>
    <t>Service Line TAM!G4</t>
  </si>
  <si>
    <t>Service Line TAM!D5</t>
  </si>
  <si>
    <t>Service Line TAM!E5</t>
  </si>
  <si>
    <t>Service Line TAM!F5</t>
  </si>
  <si>
    <t>Service Line TAM!G5</t>
  </si>
  <si>
    <t>Service Line TAM!D6</t>
  </si>
  <si>
    <t>Service Line TAM!E6</t>
  </si>
  <si>
    <t>Service Line TAM!F6</t>
  </si>
  <si>
    <t>Service Line TAM!G6</t>
  </si>
  <si>
    <t>Service Line TAM!D7</t>
  </si>
  <si>
    <t>Service Line TAM!E7</t>
  </si>
  <si>
    <t>Service Line TAM!F7</t>
  </si>
  <si>
    <t>Service Line TAM!G7</t>
  </si>
  <si>
    <t>Service Line TAM!D8</t>
  </si>
  <si>
    <t>Service Line TAM!E8</t>
  </si>
  <si>
    <t>Service Line TAM!F8</t>
  </si>
  <si>
    <t>Service Line TAM!G8</t>
  </si>
  <si>
    <t>Service Line TAM!D9</t>
  </si>
  <si>
    <t>Service Line TAM!E9</t>
  </si>
  <si>
    <t>Service Line TAM!F9</t>
  </si>
  <si>
    <t>Service Line TAM!G9</t>
  </si>
  <si>
    <t>Service Line TAM!D10</t>
  </si>
  <si>
    <t>Service Line TAM!E10</t>
  </si>
  <si>
    <t>Service Line TAM!F10</t>
  </si>
  <si>
    <t>Service Line TAM!G10</t>
  </si>
  <si>
    <t>Service Line TAM!D11</t>
  </si>
  <si>
    <t>Service Line TAM!E11</t>
  </si>
  <si>
    <t>Service Line TAM!F11</t>
  </si>
  <si>
    <t>Service Line TAM!G11</t>
  </si>
  <si>
    <t>Industry pool</t>
  </si>
  <si>
    <t>Adjacent TAM Detail!C3</t>
  </si>
  <si>
    <t>Healthcare 2024 revenue / spend pool</t>
  </si>
  <si>
    <t>$bn</t>
  </si>
  <si>
    <t>Model estimate</t>
  </si>
  <si>
    <t>World Bank / sector financial-statistic triangulation</t>
  </si>
  <si>
    <t>Top-down global revenue or expenditure proxy; not a directly reported single dataset. Government uses spend, not corporate revenue.</t>
  </si>
  <si>
    <t>Scales all three function pools.</t>
  </si>
  <si>
    <t>https://data.worldbank.org/</t>
  </si>
  <si>
    <t>Adjacent TAM Detail!D3</t>
  </si>
  <si>
    <t>Healthcare 2030 revenue / spend pool</t>
  </si>
  <si>
    <t>2024 pool grown by sector-specific nominal growth</t>
  </si>
  <si>
    <t>Growth reflects nominal sector expansion, not AI uplift, avoiding double count with adjacent TAM.</t>
  </si>
  <si>
    <t>Cost pool</t>
  </si>
  <si>
    <t>Adjacent TAM Detail!E3</t>
  </si>
  <si>
    <t>Healthcare direct cost %</t>
  </si>
  <si>
    <t>U.S. Census QFR / sector financial statements</t>
  </si>
  <si>
    <t>Higher for physical product and asset-heavy sectors; lower for financials and technology.</t>
  </si>
  <si>
    <t>Largest pool; direct multiplier deliberately conservative.</t>
  </si>
  <si>
    <t>https://www2.census.gov/econ/qfr/pubs/qfr24q4.pdf</t>
  </si>
  <si>
    <t>Adjacent TAM Detail!F3</t>
  </si>
  <si>
    <t>Healthcare SG&amp;A %</t>
  </si>
  <si>
    <t>Higher in financials, government, technology and customer-intensive sectors.</t>
  </si>
  <si>
    <t>High agentification makes this a key adjacent pool.</t>
  </si>
  <si>
    <t>Adjacent TAM Detail!G3</t>
  </si>
  <si>
    <t>Healthcare R&amp;D %</t>
  </si>
  <si>
    <t>OECD ANBERD / company filings</t>
  </si>
  <si>
    <t>Highest for technology; material for communications and industrials; low for utilities, government and property.</t>
  </si>
  <si>
    <t>High in technology despite smaller aggregate cost pool.</t>
  </si>
  <si>
    <t>https://data-explorer.oecd.org/vis?bp=true&amp;df%5Bag%5D=OECD.STI.STP&amp;df%5Bds%5D=dsDisseminateFinalDMZ&amp;df%5Bid%5D=DSD_RDS_BERD%40DF_BERD_INDU</t>
  </si>
  <si>
    <t>Adjacent TAM Detail!C4</t>
  </si>
  <si>
    <t>Communications 2024 revenue / spend pool</t>
  </si>
  <si>
    <t>Adjacent TAM Detail!D4</t>
  </si>
  <si>
    <t>Communications 2030 revenue / spend pool</t>
  </si>
  <si>
    <t>Adjacent TAM Detail!E4</t>
  </si>
  <si>
    <t>Communications direct cost %</t>
  </si>
  <si>
    <t>Adjacent TAM Detail!F4</t>
  </si>
  <si>
    <t>Communications SG&amp;A %</t>
  </si>
  <si>
    <t>Adjacent TAM Detail!G4</t>
  </si>
  <si>
    <t>Communications R&amp;D %</t>
  </si>
  <si>
    <t>Adjacent TAM Detail!C5</t>
  </si>
  <si>
    <t>Consumer Staples 2024 revenue / spend pool</t>
  </si>
  <si>
    <t>Adjacent TAM Detail!D5</t>
  </si>
  <si>
    <t>Consumer Staples 2030 revenue / spend pool</t>
  </si>
  <si>
    <t>Adjacent TAM Detail!E5</t>
  </si>
  <si>
    <t>Consumer Staples direct cost %</t>
  </si>
  <si>
    <t>Adjacent TAM Detail!F5</t>
  </si>
  <si>
    <t>Consumer Staples SG&amp;A %</t>
  </si>
  <si>
    <t>Adjacent TAM Detail!G5</t>
  </si>
  <si>
    <t>Consumer Staples R&amp;D %</t>
  </si>
  <si>
    <t>Adjacent TAM Detail!C6</t>
  </si>
  <si>
    <t>Financials 2024 revenue / spend pool</t>
  </si>
  <si>
    <t>Adjacent TAM Detail!D6</t>
  </si>
  <si>
    <t>Financials 2030 revenue / spend pool</t>
  </si>
  <si>
    <t>Adjacent TAM Detail!E6</t>
  </si>
  <si>
    <t>Financials direct cost %</t>
  </si>
  <si>
    <t>Adjacent TAM Detail!F6</t>
  </si>
  <si>
    <t>Financials SG&amp;A %</t>
  </si>
  <si>
    <t>Adjacent TAM Detail!G6</t>
  </si>
  <si>
    <t>Financials R&amp;D %</t>
  </si>
  <si>
    <t>Adjacent TAM Detail!C7</t>
  </si>
  <si>
    <t>Consumer Discretionary 2024 revenue / spend pool</t>
  </si>
  <si>
    <t>Adjacent TAM Detail!D7</t>
  </si>
  <si>
    <t>Consumer Discretionary 2030 revenue / spend pool</t>
  </si>
  <si>
    <t>Adjacent TAM Detail!E7</t>
  </si>
  <si>
    <t>Consumer Discretionary direct cost %</t>
  </si>
  <si>
    <t>Adjacent TAM Detail!F7</t>
  </si>
  <si>
    <t>Consumer Discretionary SG&amp;A %</t>
  </si>
  <si>
    <t>Adjacent TAM Detail!G7</t>
  </si>
  <si>
    <t>Consumer Discretionary R&amp;D %</t>
  </si>
  <si>
    <t>Adjacent TAM Detail!C8</t>
  </si>
  <si>
    <t>Energy 2024 revenue / spend pool</t>
  </si>
  <si>
    <t>Adjacent TAM Detail!D8</t>
  </si>
  <si>
    <t>Energy 2030 revenue / spend pool</t>
  </si>
  <si>
    <t>Adjacent TAM Detail!E8</t>
  </si>
  <si>
    <t>Energy direct cost %</t>
  </si>
  <si>
    <t>Adjacent TAM Detail!F8</t>
  </si>
  <si>
    <t>Energy SG&amp;A %</t>
  </si>
  <si>
    <t>Adjacent TAM Detail!G8</t>
  </si>
  <si>
    <t>Energy R&amp;D %</t>
  </si>
  <si>
    <t>Adjacent TAM Detail!C9</t>
  </si>
  <si>
    <t>Government 2024 revenue / spend pool</t>
  </si>
  <si>
    <t>Adjacent TAM Detail!D9</t>
  </si>
  <si>
    <t>Government 2030 revenue / spend pool</t>
  </si>
  <si>
    <t>Adjacent TAM Detail!E9</t>
  </si>
  <si>
    <t>Government direct cost %</t>
  </si>
  <si>
    <t>Adjacent TAM Detail!F9</t>
  </si>
  <si>
    <t>Government SG&amp;A %</t>
  </si>
  <si>
    <t>Adjacent TAM Detail!G9</t>
  </si>
  <si>
    <t>Government R&amp;D %</t>
  </si>
  <si>
    <t>Adjacent TAM Detail!C10</t>
  </si>
  <si>
    <t>Real Estate 2024 revenue / spend pool</t>
  </si>
  <si>
    <t>Adjacent TAM Detail!D10</t>
  </si>
  <si>
    <t>Real Estate 2030 revenue / spend pool</t>
  </si>
  <si>
    <t>Adjacent TAM Detail!E10</t>
  </si>
  <si>
    <t>Real Estate direct cost %</t>
  </si>
  <si>
    <t>Adjacent TAM Detail!F10</t>
  </si>
  <si>
    <t>Real Estate SG&amp;A %</t>
  </si>
  <si>
    <t>Adjacent TAM Detail!G10</t>
  </si>
  <si>
    <t>Real Estate R&amp;D %</t>
  </si>
  <si>
    <t>Adjacent TAM Detail!C11</t>
  </si>
  <si>
    <t>Utilities 2024 revenue / spend pool</t>
  </si>
  <si>
    <t>Adjacent TAM Detail!D11</t>
  </si>
  <si>
    <t>Utilities 2030 revenue / spend pool</t>
  </si>
  <si>
    <t>Adjacent TAM Detail!E11</t>
  </si>
  <si>
    <t>Utilities direct cost %</t>
  </si>
  <si>
    <t>Adjacent TAM Detail!F11</t>
  </si>
  <si>
    <t>Utilities SG&amp;A %</t>
  </si>
  <si>
    <t>Adjacent TAM Detail!G11</t>
  </si>
  <si>
    <t>Utilities R&amp;D %</t>
  </si>
  <si>
    <t>Adjacent TAM Detail!C12</t>
  </si>
  <si>
    <t>Industrials 2024 revenue / spend pool</t>
  </si>
  <si>
    <t>Adjacent TAM Detail!D12</t>
  </si>
  <si>
    <t>Industrials 2030 revenue / spend pool</t>
  </si>
  <si>
    <t>Adjacent TAM Detail!E12</t>
  </si>
  <si>
    <t>Industrials direct cost %</t>
  </si>
  <si>
    <t>Adjacent TAM Detail!F12</t>
  </si>
  <si>
    <t>Industrials SG&amp;A %</t>
  </si>
  <si>
    <t>Adjacent TAM Detail!G12</t>
  </si>
  <si>
    <t>Industrials R&amp;D %</t>
  </si>
  <si>
    <t>Adjacent TAM Detail!C13</t>
  </si>
  <si>
    <t>Materials 2024 revenue / spend pool</t>
  </si>
  <si>
    <t>Adjacent TAM Detail!D13</t>
  </si>
  <si>
    <t>Materials 2030 revenue / spend pool</t>
  </si>
  <si>
    <t>Adjacent TAM Detail!E13</t>
  </si>
  <si>
    <t>Materials direct cost %</t>
  </si>
  <si>
    <t>Adjacent TAM Detail!F13</t>
  </si>
  <si>
    <t>Materials SG&amp;A %</t>
  </si>
  <si>
    <t>Adjacent TAM Detail!G13</t>
  </si>
  <si>
    <t>Materials R&amp;D %</t>
  </si>
  <si>
    <t>Adjacent TAM Detail!C14</t>
  </si>
  <si>
    <t>Technology 2024 revenue / spend pool</t>
  </si>
  <si>
    <t>Adjacent TAM Detail!D14</t>
  </si>
  <si>
    <t>Technology 2030 revenue / spend pool</t>
  </si>
  <si>
    <t>Adjacent TAM Detail!E14</t>
  </si>
  <si>
    <t>Technology direct cost %</t>
  </si>
  <si>
    <t>Adjacent TAM Detail!F14</t>
  </si>
  <si>
    <t>Technology SG&amp;A %</t>
  </si>
  <si>
    <t>Adjacent TAM Detail!G14</t>
  </si>
  <si>
    <t>Technology R&amp;D %</t>
  </si>
  <si>
    <t>Adjacent mechanics</t>
  </si>
  <si>
    <t>Adjacent TAM Detail!I3:I14</t>
  </si>
  <si>
    <t>Thesis multiplier</t>
  </si>
  <si>
    <t>Model calibration</t>
  </si>
  <si>
    <t>55% applies a physical-work and domain-execution haircut to business-function agentification.</t>
  </si>
  <si>
    <t>High sensitivity for external conversion; proportional effect otherwise.</t>
  </si>
  <si>
    <t>Adjacent TAM Detail!J3:J14</t>
  </si>
  <si>
    <t>80% recognizes strong research augmentation but preserves experimentation and expert judgment.</t>
  </si>
  <si>
    <t>https://www.oecd.org/en/data/datasets/analytical-business-enterprise-research-and-development.html</t>
  </si>
  <si>
    <t>Adjacent TAM Detail!K3:K14</t>
  </si>
  <si>
    <t>Direct maximum adoption</t>
  </si>
  <si>
    <t>45% is below SG&amp;A because physical and regulated execution slows adoption.</t>
  </si>
  <si>
    <t>Adjacent TAM Detail!L3:L14</t>
  </si>
  <si>
    <t>SG&amp;A maximum adoption</t>
  </si>
  <si>
    <t>65% reflects mostly digital workflows but retains exceptions, controls and change-management constraints.</t>
  </si>
  <si>
    <t>Adjacent TAM Detail!M3:M14</t>
  </si>
  <si>
    <t>R&amp;D maximum adoption</t>
  </si>
  <si>
    <t>55% reflects strong tool use but slower validation and accountability transfer.</t>
  </si>
  <si>
    <t>Adjacent TAM Detail!R3:R14</t>
  </si>
  <si>
    <t>1.6% converts internal agentifiable activity into annual third-party service revenue; calibrated to ~$0.23tn gross adjacent TAM.</t>
  </si>
  <si>
    <t>https://isg-one.com/research/isg-index-insider/articles/index-insider--what-can-2024-it-services-demand-tell-us-about-2025-momentum</t>
  </si>
  <si>
    <t>Provider capture</t>
  </si>
  <si>
    <t>Provider Capture!H3</t>
  </si>
  <si>
    <t>2025 mid-tier share — row 1</t>
  </si>
  <si>
    <t>Thesis baseline</t>
  </si>
  <si>
    <t>HFS / ISG / user video</t>
  </si>
  <si>
    <t>Broad mid-tier cohort share based on vertical specialization and current ability to compete below tier-1 scale.</t>
  </si>
  <si>
    <t>Directly changes 2025 mid-tier TAM.</t>
  </si>
  <si>
    <t>https://www.hfsresearch.com/research/fast-growing-mid-tiers/</t>
  </si>
  <si>
    <t>Provider Capture!L3</t>
  </si>
  <si>
    <t>2030 mid-tier share — row 1</t>
  </si>
  <si>
    <t>Thesis scenario</t>
  </si>
  <si>
    <t>HFS / reported 2025 incremental revenue / user video</t>
  </si>
  <si>
    <t>Agentic delivery reduces labor-scale advantage; highest share gains in product engineering and adjacent domain operations.</t>
  </si>
  <si>
    <t>Directly changes 2030 and incremental mid-tier TAM.</t>
  </si>
  <si>
    <t>https://www.moneycontrol.com/news/business/information-technology/mid-cap-it-firms-corner-58-of-2025-incremental-revenue-as-enterprises-widen-vendor-pool-for-large-deals-13854473.html/amp</t>
  </si>
  <si>
    <t>Provider Capture!H4</t>
  </si>
  <si>
    <t>2025 mid-tier share — row 2</t>
  </si>
  <si>
    <t>Provider Capture!L4</t>
  </si>
  <si>
    <t>2030 mid-tier share — row 2</t>
  </si>
  <si>
    <t>Provider Capture!H5</t>
  </si>
  <si>
    <t>2025 mid-tier share — row 3</t>
  </si>
  <si>
    <t>Provider Capture!L5</t>
  </si>
  <si>
    <t>2030 mid-tier share — row 3</t>
  </si>
  <si>
    <t>Provider Capture!H6</t>
  </si>
  <si>
    <t>2025 mid-tier share — row 4</t>
  </si>
  <si>
    <t>Provider Capture!L6</t>
  </si>
  <si>
    <t>2030 mid-tier share — row 4</t>
  </si>
  <si>
    <t>Provider Capture!H7</t>
  </si>
  <si>
    <t>2025 mid-tier share — row 5</t>
  </si>
  <si>
    <t>Provider Capture!L7</t>
  </si>
  <si>
    <t>2030 mid-tier share — row 5</t>
  </si>
  <si>
    <t>Provider Capture!H8</t>
  </si>
  <si>
    <t>2025 mid-tier share — row 6</t>
  </si>
  <si>
    <t>Provider Capture!L8</t>
  </si>
  <si>
    <t>2030 mid-tier share — row 6</t>
  </si>
  <si>
    <t>Provider Capture!H9</t>
  </si>
  <si>
    <t>2025 mid-tier share — row 7</t>
  </si>
  <si>
    <t>Provider Capture!L9</t>
  </si>
  <si>
    <t>2030 mid-tier share — row 7</t>
  </si>
  <si>
    <t>Provider Capture!H10</t>
  </si>
  <si>
    <t>2025 mid-tier share — row 8</t>
  </si>
  <si>
    <t>Provider Capture!L10</t>
  </si>
  <si>
    <t>2030 mid-tier share — row 8</t>
  </si>
  <si>
    <t>Provider Capture!H11</t>
  </si>
  <si>
    <t>2025 mid-tier share — row 9</t>
  </si>
  <si>
    <t>Provider Capture!L11</t>
  </si>
  <si>
    <t>2030 mid-tier share — row 9</t>
  </si>
  <si>
    <t>Provider Capture!H12</t>
  </si>
  <si>
    <t>2025 mid-tier share — row 10</t>
  </si>
  <si>
    <t>Provider Capture!L12</t>
  </si>
  <si>
    <t>2030 mid-tier share — row 10</t>
  </si>
  <si>
    <t>Compression mechanics</t>
  </si>
  <si>
    <t>Compression &amp; Secular!B17</t>
  </si>
  <si>
    <t>Passback factor</t>
  </si>
  <si>
    <t>65% converts technical productivity into client price compression; the balance is retained, reinvested or used to fund transition.</t>
  </si>
  <si>
    <t>Directly scales uncapped productivity.</t>
  </si>
  <si>
    <t>Compression &amp; Secular!B18</t>
  </si>
  <si>
    <t>Minimum productivity impact</t>
  </si>
  <si>
    <t>User constraint</t>
  </si>
  <si>
    <t>User instruction</t>
  </si>
  <si>
    <t>Each service line is floored at 12% productivity impact.</t>
  </si>
  <si>
    <t>Raises compression for low-agentification lines.</t>
  </si>
  <si>
    <t>Compression &amp; Secular!B19</t>
  </si>
  <si>
    <t>Maximum productivity impact</t>
  </si>
  <si>
    <t>Each service line is capped at 25% productivity impact.</t>
  </si>
  <si>
    <t>Limits compression for highly agentifiable lines.</t>
  </si>
  <si>
    <t>Compression &amp; Secular!B20</t>
  </si>
  <si>
    <t>Independent secular CAGR</t>
  </si>
  <si>
    <t>External forecast input</t>
  </si>
  <si>
    <t>Statista global IT services forecast</t>
  </si>
  <si>
    <t>3.81% broad-market CAGR is used directly; it is not solved from compression or the desired chart result.</t>
  </si>
  <si>
    <t>Directly determines secular growth.</t>
  </si>
  <si>
    <t>https://www.statista.com/outlook/tmo/it-services/worldwide</t>
  </si>
  <si>
    <t>Scenario Sensitivity!M4</t>
  </si>
  <si>
    <t>Low secular benchmark</t>
  </si>
  <si>
    <t>ISG 2026 forecast</t>
  </si>
  <si>
    <t>Managed-services revenue growth provides a conservative mature-services case.</t>
  </si>
  <si>
    <t>Used only in conservative scenario.</t>
  </si>
  <si>
    <t>https://ir.isg-one.com/news-market-information/press-releases/news-details/2026/Global-Technology-Demand-Reaches-Record-High-in-Q4-Fueled-by-AI-ISG-Index-Finds/default.aspx</t>
  </si>
  <si>
    <t>Scenario Sensitivity!M6</t>
  </si>
  <si>
    <t>Upper secular benchmark</t>
  </si>
  <si>
    <t>Frost &amp; Sullivan / Mouritech industry report</t>
  </si>
  <si>
    <t>ADM growth provides an upper mature-service comparator without referencing productivity compression.</t>
  </si>
  <si>
    <t>Used only in upside scenario.</t>
  </si>
  <si>
    <t>https://www.mouritech.com/wp-content/uploads/2025/05/MT_Industry-Report25.pdf</t>
  </si>
  <si>
    <t>Task Addressability Logic and Evidence</t>
  </si>
  <si>
    <t>Task category</t>
  </si>
  <si>
    <t>AI addressable</t>
  </si>
  <si>
    <t>Why this level</t>
  </si>
  <si>
    <t>Human-control constraint</t>
  </si>
  <si>
    <t>Evidence / calibration</t>
  </si>
  <si>
    <t>Primary source</t>
  </si>
  <si>
    <t>Workbook use</t>
  </si>
  <si>
    <t>Review trigger</t>
  </si>
  <si>
    <t>Structured digital intake, classification, retrieval and rules-based response can be executed end to end.</t>
  </si>
  <si>
    <t>Exceptions, identity, payments and regulated decisions retain approval gates.</t>
  </si>
  <si>
    <t>Workbook upper bound; customer-support field study showed ~14–15% realized productivity, well below theoretical task automation.</t>
  </si>
  <si>
    <t>NBER — Generative AI at Work</t>
  </si>
  <si>
    <t>https://www.nber.org/system/files/working_papers/w31161/revisions/w31161.rev0.pdf</t>
  </si>
  <si>
    <t>Applied to transaction processing, service requests, tickets and cases</t>
  </si>
  <si>
    <t>Reduce if exception rates or manual approvals exceed plan</t>
  </si>
  <si>
    <t>Drafting, summarization, extraction, formatting and knowledge retrieval are highly digitizable.</t>
  </si>
  <si>
    <t>Final accountability, privileged content and factual verification remain human-owned.</t>
  </si>
  <si>
    <t>McKinsey found code documentation could be completed in roughly half the time; addressability is task exposure, not realized productivity.</t>
  </si>
  <si>
    <t>McKinsey — Developer productivity</t>
  </si>
  <si>
    <t>https://www.mckinsey.com/capabilities/tech-and-ai/our-insights/unleashing-developer-productivity-with-generative-ai</t>
  </si>
  <si>
    <t>Used for reports, documentation, policies and knowledge artifacts</t>
  </si>
  <si>
    <t>Reduce for highly regulated or non-digitized records</t>
  </si>
  <si>
    <t>Agents can prepare data, run scenarios, generate first-pass forecasts and explain variances.</t>
  </si>
  <si>
    <t>Model design, causal judgment and sign-off remain human-led.</t>
  </si>
  <si>
    <t>Directional calibration from analytical automation literature and existing planning-tool capabilities.</t>
  </si>
  <si>
    <t>McKinsey — Economic potential of generative AI</t>
  </si>
  <si>
    <t>Budgeting, forecasting and scenario models</t>
  </si>
  <si>
    <t>Reduce when data lineage or model-risk controls are weak</t>
  </si>
  <si>
    <t>Retrieval, synthesis, anomaly detection and first-pass recommendations are automatable.</t>
  </si>
  <si>
    <t>Ambiguous trade-offs, novel contexts and accountable decisions are not fully delegable.</t>
  </si>
  <si>
    <t>McKinsey estimates broad activity exposure but stresses adoption and redeployment constraints.</t>
  </si>
  <si>
    <t>Research, diagnostics, FP&amp;A and process assessment</t>
  </si>
  <si>
    <t>Raise only after accuracy and decision-quality validation</t>
  </si>
  <si>
    <t>Agents can decompose work, sequence activities, monitor dependencies and recommend interventions.</t>
  </si>
  <si>
    <t>Priority conflicts, budget authority and organizational trade-offs require people.</t>
  </si>
  <si>
    <t>Model judgment based on current workflow-agent capability.</t>
  </si>
  <si>
    <t>Model assumption / user thesis</t>
  </si>
  <si>
    <t>Planning, scheduling, release and workforce workflows</t>
  </si>
  <si>
    <t>Review as tool-use reliability improves</t>
  </si>
  <si>
    <t>First drafts, variants and personalization are strong use cases.</t>
  </si>
  <si>
    <t>Brand, IP, claims substantiation and editorial judgment constrain autonomy.</t>
  </si>
  <si>
    <t>Supported directionally by enterprise GenAI deployments; haircut from document generation for originality and brand risk.</t>
  </si>
  <si>
    <t>Campaigns, proposals, pitch content and communications</t>
  </si>
  <si>
    <t>Reduce where legal review or originality burden is high</t>
  </si>
  <si>
    <t>Continuous log/event review, alert correlation and threshold-based action suit agents.</t>
  </si>
  <si>
    <t>False positives, security incidents and operational safety require escalation.</t>
  </si>
  <si>
    <t>Model judgment; calibrated below transaction processing because action errors can propagate.</t>
  </si>
  <si>
    <t>Model assumption / operational practice</t>
  </si>
  <si>
    <t>Infrastructure, security, risk and compliance monitoring</t>
  </si>
  <si>
    <t>Review against precision/recall and incident data</t>
  </si>
  <si>
    <t>Research and option generation can be augmented, but final architecture and strategy depend on context.</t>
  </si>
  <si>
    <t>Accountability, stakeholder alignment and novel trade-offs remain human-intensive.</t>
  </si>
  <si>
    <t>McKinsey developer study found less than 10% savings on some complex/unfamiliar tasks.</t>
  </si>
  <si>
    <t>Technology strategy, operating model and architecture</t>
  </si>
  <si>
    <t>Raise only with proven domain-specific agents</t>
  </si>
  <si>
    <t>Preparation, reminders and meeting synthesis can be supported, but the relationship itself is not automatable.</t>
  </si>
  <si>
    <t>Trust, influence, negotiation, empathy and accountability are human.</t>
  </si>
  <si>
    <t>Conservative model judgment.</t>
  </si>
  <si>
    <t>Account management, employee relations, negotiation and governance</t>
  </si>
  <si>
    <t>No increase without evidence of delegated decision authority</t>
  </si>
  <si>
    <t>Service-Line TAM Capture by Provider Cohort</t>
  </si>
  <si>
    <t>2025 market ($tn)</t>
  </si>
  <si>
    <t>2030 legacy market ($tn)</t>
  </si>
  <si>
    <t>2030 new-services TAM ($tn)</t>
  </si>
  <si>
    <t>2030 total service-line TAM ($tn)</t>
  </si>
  <si>
    <t>2025 large-provider share</t>
  </si>
  <si>
    <t>2025 mid-tier share</t>
  </si>
  <si>
    <t>2025 specialist share</t>
  </si>
  <si>
    <t>2025 platform share</t>
  </si>
  <si>
    <t>2030 large-provider share</t>
  </si>
  <si>
    <t>2030 mid-tier share</t>
  </si>
  <si>
    <t>2030 specialist share</t>
  </si>
  <si>
    <t>2030 platform share</t>
  </si>
  <si>
    <t>Mid-tier share change</t>
  </si>
  <si>
    <t>Why mid-tiers gain / lose</t>
  </si>
  <si>
    <t>Evidence classification</t>
  </si>
  <si>
    <t>Primary evidence</t>
  </si>
  <si>
    <t>Model note</t>
  </si>
  <si>
    <t>Less legacy estate and faster use of coding agents offset scale disadvantage.</t>
  </si>
  <si>
    <t>Thesis assumption informed by external directional evidence</t>
  </si>
  <si>
    <t>HFS mid-tier growth; reported 2025 incremental-revenue share; user video thesis</t>
  </si>
  <si>
    <t>Broad mid-tier = scaled providers below global tier-1, not only listed Indian mid-caps</t>
  </si>
  <si>
    <t>Domain-led operations favor specialists, but transition scale still helps tier-1 providers.</t>
  </si>
  <si>
    <t>AI compresses research production and rewards vertical expertise and senior access.</t>
  </si>
  <si>
    <t>Reusable implementation assets narrow the large-provider delivery advantage.</t>
  </si>
  <si>
    <t>Cloud ecosystem credentials and speed support mid-tier share gains.</t>
  </si>
  <si>
    <t>Platforms capture more value; mid-tiers gain where automation reduces minimum efficient scale.</t>
  </si>
  <si>
    <t>Engineering IP, focused verticals and smaller autonomous teams favor challengers.</t>
  </si>
  <si>
    <t>Product-linked operations reward domain depth over labor-pyramid scale.</t>
  </si>
  <si>
    <t>Boutique expertise and product context matter more than global bench size.</t>
  </si>
  <si>
    <t>Adjacent functions</t>
  </si>
  <si>
    <t>Cross-industry agentified operations</t>
  </si>
  <si>
    <t>New pool is fragmented and domain-heavy; mid-tiers can capture more than in legacy services.</t>
  </si>
  <si>
    <t>Thesis assumption informed by user video and market fragmentation evidence</t>
  </si>
  <si>
    <t>HFS; ISG; user video</t>
  </si>
  <si>
    <t>Adjacent TAM is net of GCC cannibalization before provider allocation</t>
  </si>
  <si>
    <t>Total / weighted share</t>
  </si>
  <si>
    <t>Scenario Sensitivity — New Pools, GCC and Mid-Tier Capture</t>
  </si>
  <si>
    <t>Scenario</t>
  </si>
  <si>
    <t>Service-line GCC exposure</t>
  </si>
  <si>
    <t>Adjacent GCC cannibalization</t>
  </si>
  <si>
    <t>New-services TAM ($tn)</t>
  </si>
  <si>
    <t>Net adjacent TAM ($tn)</t>
  </si>
  <si>
    <t>2030 total market ($tn)</t>
  </si>
  <si>
    <t>Mid-tier 2030 share</t>
  </si>
  <si>
    <t>Mid-tier TAM ($bn)</t>
  </si>
  <si>
    <t>Net legacy change ($tn)</t>
  </si>
  <si>
    <t>Conservative</t>
  </si>
  <si>
    <t>Slower monetization, higher captive delivery and limited challenger share shift</t>
  </si>
  <si>
    <t>Base</t>
  </si>
  <si>
    <t>Current thesis; aligns closely with the uploaded reference chart midpoint</t>
  </si>
  <si>
    <t>Upside</t>
  </si>
  <si>
    <t>Faster externalization and more modular agentic delivery expand challenger opportunity</t>
  </si>
  <si>
    <t>Productivity Compression and Secular-Growth Calibration</t>
  </si>
  <si>
    <t>Compression and secular growth are calculated independently; their degree of offset is an output, never an assumption.</t>
  </si>
  <si>
    <t>Agentification context</t>
  </si>
  <si>
    <t>Maximum adoption context</t>
  </si>
  <si>
    <t>Passback context</t>
  </si>
  <si>
    <t>Evidence-derived productivity</t>
  </si>
  <si>
    <t>Bounded productivity impact</t>
  </si>
  <si>
    <t>Compression ($tn)</t>
  </si>
  <si>
    <t>Total / weighted productivity</t>
  </si>
  <si>
    <t>2025 base market ($tn)</t>
  </si>
  <si>
    <t>Grand View Research IT outsourcing + BPO</t>
  </si>
  <si>
    <t>2025 reported market sizes</t>
  </si>
  <si>
    <t>Combined legacy outsourced technology and operations</t>
  </si>
  <si>
    <t>$807.91bn IT outsourcing + $328.40bn BPO = $1.13631tn; BPO source: https://finance.yahoo.com/sectors/technology/articles/global-bpo-market-reach-695-140500757.html</t>
  </si>
  <si>
    <t>Legacy passback factor (context only)</t>
  </si>
  <si>
    <t>ISG managed services</t>
  </si>
  <si>
    <t>2026 revenue forecast</t>
  </si>
  <si>
    <t>Low case</t>
  </si>
  <si>
    <t>Near-term mature managed-services demand</t>
  </si>
  <si>
    <t>Statista global IT services</t>
  </si>
  <si>
    <t>2026–2030 CAGR</t>
  </si>
  <si>
    <t>Base case</t>
  </si>
  <si>
    <t>Broad IT-services forecast; avoids using the desired bridge outcome</t>
  </si>
  <si>
    <t>Frost &amp; Sullivan ADM</t>
  </si>
  <si>
    <t>2025–2030 CAGR</t>
  </si>
  <si>
    <t>Upper comparator</t>
  </si>
  <si>
    <t>Mature application-services comparator, page 8</t>
  </si>
  <si>
    <t>Productivity-led compression ($tn)</t>
  </si>
  <si>
    <t>Calculated secular growth ($tn)</t>
  </si>
  <si>
    <t>Net legacy-market change ($tn)</t>
  </si>
  <si>
    <t>Compression-equivalent CAGR</t>
  </si>
  <si>
    <t>Ex-post secular / compression coverage</t>
  </si>
  <si>
    <t>Productivity is independently derived from activity and task weights multiplied by empirical task benchmarks and a visible 90% workflow-realization factor.</t>
  </si>
  <si>
    <t>Agentification, adoption and passback remain visible as context but are not multiplied again: doing so would double-count deployment already present in measured productivity studies.</t>
  </si>
  <si>
    <t>Compression = 2025 market × service-line allocation × bounded evidence-derived productivity. Secular growth remains independently calculated from the external CAGR.</t>
  </si>
  <si>
    <t>The ex-post secular/compression coverage ratio remains an output; neither productivity nor secular growth is reverse-solved to force an offset.</t>
  </si>
  <si>
    <t>Service-Line Productivity Derivation | Empirical Task Benchmarks</t>
  </si>
  <si>
    <t>Productivity is derived bottom-up from the workbook's activity/task weights. Adoption and passback are not multiplied again because the empirical benchmarks measure achieved productivity in deployed workflows.</t>
  </si>
  <si>
    <t>Range check</t>
  </si>
  <si>
    <t>Primary driver</t>
  </si>
  <si>
    <t>Coding, testing and maintenance automation</t>
  </si>
  <si>
    <t>All productivity within 12%-25%</t>
  </si>
  <si>
    <t>Transaction-heavy workflows calibrated to the observed NBER 14%-34% range</t>
  </si>
  <si>
    <t>All source tasks mapped</t>
  </si>
  <si>
    <t>Analysis/drafting gains limited by judgment and client interaction</t>
  </si>
  <si>
    <t>No service-line denominator is zero</t>
  </si>
  <si>
    <t>Code/configuration/migration acceleration with integration leakage</t>
  </si>
  <si>
    <t>Overall status</t>
  </si>
  <si>
    <t>Triage, monitoring, investigation and documentation</t>
  </si>
  <si>
    <t>Data engineering, BI, analytics and governance automation</t>
  </si>
  <si>
    <t>Visible model parameter</t>
  </si>
  <si>
    <t>Empirical benchmark</t>
  </si>
  <si>
    <t>Productivity</t>
  </si>
  <si>
    <t>Evidence scope</t>
  </si>
  <si>
    <t>BPS transaction-processing calibration</t>
  </si>
  <si>
    <t>Basis</t>
  </si>
  <si>
    <t>End-to-end workflow realization</t>
  </si>
  <si>
    <t>S1</t>
  </si>
  <si>
    <t>GitHub Copilot controlled developer experiment</t>
  </si>
  <si>
    <t>95 professional developers; coding task</t>
  </si>
  <si>
    <t>https://github.blog/news-insights/research/research-quantifying-github-copilots-impact-on-developer-productivity-and-happiness/</t>
  </si>
  <si>
    <t>Observed average customer-support uplift</t>
  </si>
  <si>
    <t>Rounded NBER S2 average (13.8%)</t>
  </si>
  <si>
    <t>Minimum permitted productivity</t>
  </si>
  <si>
    <t>S2</t>
  </si>
  <si>
    <t>NBER Generative AI at Work</t>
  </si>
  <si>
    <t>5,179 customer-support agents; issues resolved per hour</t>
  </si>
  <si>
    <t>https://www.nber.org/system/files/working_papers/w31161/w31161.pdf</t>
  </si>
  <si>
    <t>Observed novice / lower-skill uplift</t>
  </si>
  <si>
    <t>NBER S2 observed cohort result</t>
  </si>
  <si>
    <t>Maximum permitted productivity</t>
  </si>
  <si>
    <t>S3</t>
  </si>
  <si>
    <t>HBS / BCG jagged-frontier field experiment</t>
  </si>
  <si>
    <t>758 consultants; speed on tasks within the AI frontier</t>
  </si>
  <si>
    <t>https://www.library.hbs.edu/working-knowledge/humans-vs-machines-untangling-the-tasks-ai-can-and-cant-handle</t>
  </si>
  <si>
    <t>BPS processing benchmark</t>
  </si>
  <si>
    <t>Midpoint of observed average and lower-skill outcomes</t>
  </si>
  <si>
    <t>S4</t>
  </si>
  <si>
    <t>Microsoft Security Copilot study</t>
  </si>
  <si>
    <t>Experienced security analysts performing common security tasks</t>
  </si>
  <si>
    <t>https://techcommunity.microsoft.com/blog/securitycopilotblog/microsoft-copilot-for-security-general-availability-details/4079970</t>
  </si>
  <si>
    <t>Core activity</t>
  </si>
  <si>
    <t>Core effort</t>
  </si>
  <si>
    <t>Task</t>
  </si>
  <si>
    <t>Task effort</t>
  </si>
  <si>
    <t>Benchmark productivity</t>
  </si>
  <si>
    <t>Combined weight</t>
  </si>
  <si>
    <t>Evidence ID</t>
  </si>
  <si>
    <t>Weighted contribution</t>
  </si>
  <si>
    <t>Source row</t>
  </si>
  <si>
    <t>Task agentification</t>
  </si>
  <si>
    <t>Weighted agentification</t>
  </si>
  <si>
    <t>S5</t>
  </si>
  <si>
    <t>S2-BPS</t>
  </si>
  <si>
    <t>M1</t>
  </si>
  <si>
    <t>Size without AI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</si>
</sst>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$0.00"/>
    <numFmt numFmtId="166" formatCode="\$#,##0.0"/>
    <numFmt numFmtId="167" formatCode="\$0.000"/>
  </numFmts>
  <fonts count="18" x14ac:knownFonts="1"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0"/>
      <color rgb="FFFFFFFF"/>
      <name val="Aptos"/>
      <family val="2"/>
    </font>
    <font>
      <i/>
      <sz val="10"/>
      <color rgb="FF1F2937"/>
      <name val="Aptos"/>
      <family val="2"/>
    </font>
    <font>
      <sz val="10"/>
      <color theme="1"/>
      <name val="Aptos"/>
      <family val="2"/>
    </font>
    <font>
      <sz val="10"/>
      <color rgb="FF0000FF"/>
      <name val="Aptos"/>
      <family val="2"/>
    </font>
    <font>
      <sz val="10"/>
      <color rgb="FF1F2937"/>
      <name val="Aptos"/>
      <family val="2"/>
    </font>
    <font>
      <b/>
      <sz val="10"/>
      <color theme="1"/>
      <name val="Aptos"/>
      <family val="2"/>
    </font>
    <font>
      <b/>
      <sz val="10"/>
      <color rgb="FF1F2937"/>
      <name val="Aptos"/>
      <family val="2"/>
    </font>
    <font>
      <sz val="10"/>
      <color rgb="FF008000"/>
      <name val="Aptos"/>
      <family val="2"/>
    </font>
    <font>
      <i/>
      <sz val="10"/>
      <color rgb="FF404040"/>
      <name val="Aptos"/>
      <family val="2"/>
    </font>
    <font>
      <sz val="10"/>
      <color rgb="FF000000"/>
      <name val="Aptos"/>
      <family val="2"/>
    </font>
    <font>
      <b/>
      <sz val="10"/>
      <color rgb="FF008000"/>
      <name val="Aptos"/>
      <family val="2"/>
    </font>
    <font>
      <b/>
      <sz val="10"/>
      <color rgb="FF000000"/>
      <name val="Aptos"/>
      <family val="2"/>
    </font>
    <font>
      <i/>
      <sz val="10"/>
      <color rgb="FF17365D"/>
      <name val="Aptos"/>
      <family val="2"/>
    </font>
    <font>
      <b/>
      <sz val="15"/>
      <color rgb="FFFFFFFF"/>
      <name val="Aptos"/>
      <family val="2"/>
    </font>
  </fonts>
  <fills count="31">
    <fill>
      <patternFill patternType="none"/>
    </fill>
    <fill>
      <patternFill patternType="gray125"/>
    </fill>
    <fill>
      <patternFill patternType="solid">
        <fgColor rgb="FF102A7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02A72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4778C4"/>
      </patternFill>
    </fill>
    <fill>
      <patternFill patternType="solid">
        <fgColor rgb="FFE2E3E5"/>
      </patternFill>
    </fill>
    <fill>
      <patternFill patternType="solid">
        <fgColor rgb="FF4778C4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26">
    <border>
      <left/>
      <right/>
      <top/>
      <bottom/>
      <diagonal/>
    </border>
    <border>
      <left/>
      <right/>
      <top/>
      <bottom style="thin">
        <color rgb="FFB4C6E7"/>
      </bottom>
      <diagonal/>
    </border>
    <border>
      <left/>
      <right/>
      <top style="double">
        <color rgb="FF1F2937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 style="thin">
        <color rgb="FFD9E2F3"/>
      </right>
      <top/>
      <bottom style="thin">
        <color rgb="FFB4C6E7"/>
      </bottom>
      <diagonal/>
    </border>
    <border>
      <left style="thin">
        <color rgb="FFD9E2F3"/>
      </left>
      <right/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D9E1F2"/>
      </top>
      <bottom style="thin">
        <color rgb="FFE7E6E6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 style="medium">
        <color rgb="FF4472C4"/>
      </top>
      <bottom/>
      <diagonal/>
    </border>
  </borders>
  <cellStyleXfs count="1">
    <xf numFmtId="0" fontId="0" fillId="0" borderId="0"/>
  </cellStyleXfs>
  <cellXfs count="127">
    <xf numFmtId="0" fontId="0" fillId="0" borderId="0" xfId="0"/>
    <xf numFmtId="9" fontId="0" fillId="0" borderId="0" xfId="0" applyNumberFormat="1"/>
    <xf numFmtId="9" fontId="1" fillId="0" borderId="0" xfId="0" applyNumberFormat="1" applyFont="1"/>
    <xf numFmtId="0" fontId="6" fillId="0" borderId="0" xfId="0" applyFont="1"/>
    <xf numFmtId="0" fontId="4" fillId="3" borderId="1" xfId="0" applyFont="1" applyFill="1" applyBorder="1" applyAlignment="1">
      <alignment vertical="center" wrapText="1"/>
    </xf>
    <xf numFmtId="165" fontId="6" fillId="0" borderId="0" xfId="0" applyNumberFormat="1" applyFont="1"/>
    <xf numFmtId="0" fontId="6" fillId="5" borderId="0" xfId="0" applyFont="1" applyFill="1" applyAlignment="1">
      <alignment wrapText="1"/>
    </xf>
    <xf numFmtId="166" fontId="7" fillId="4" borderId="0" xfId="0" applyNumberFormat="1" applyFont="1" applyFill="1"/>
    <xf numFmtId="164" fontId="7" fillId="4" borderId="0" xfId="0" applyNumberFormat="1" applyFont="1" applyFill="1"/>
    <xf numFmtId="164" fontId="8" fillId="5" borderId="0" xfId="0" applyNumberFormat="1" applyFont="1" applyFill="1"/>
    <xf numFmtId="166" fontId="6" fillId="0" borderId="0" xfId="0" applyNumberFormat="1" applyFont="1"/>
    <xf numFmtId="0" fontId="9" fillId="6" borderId="2" xfId="0" applyFont="1" applyFill="1" applyBorder="1"/>
    <xf numFmtId="166" fontId="9" fillId="6" borderId="2" xfId="0" applyNumberFormat="1" applyFont="1" applyFill="1" applyBorder="1"/>
    <xf numFmtId="0" fontId="6" fillId="0" borderId="0" xfId="0" applyFont="1" applyAlignment="1">
      <alignment wrapText="1"/>
    </xf>
    <xf numFmtId="0" fontId="4" fillId="10" borderId="1" xfId="0" applyFont="1" applyFill="1" applyBorder="1" applyAlignment="1">
      <alignment vertical="center" wrapText="1"/>
    </xf>
    <xf numFmtId="164" fontId="6" fillId="0" borderId="0" xfId="0" applyNumberFormat="1" applyFont="1"/>
    <xf numFmtId="9" fontId="7" fillId="11" borderId="0" xfId="0" applyNumberFormat="1" applyFont="1" applyFill="1" applyAlignment="1">
      <alignment wrapText="1"/>
    </xf>
    <xf numFmtId="164" fontId="7" fillId="11" borderId="0" xfId="0" applyNumberFormat="1" applyFont="1" applyFill="1" applyAlignment="1">
      <alignment wrapText="1"/>
    </xf>
    <xf numFmtId="166" fontId="6" fillId="0" borderId="0" xfId="0" applyNumberFormat="1" applyFont="1" applyAlignment="1">
      <alignment wrapText="1"/>
    </xf>
    <xf numFmtId="164" fontId="6" fillId="0" borderId="0" xfId="0" applyNumberFormat="1" applyFont="1" applyAlignment="1">
      <alignment wrapText="1"/>
    </xf>
    <xf numFmtId="0" fontId="9" fillId="13" borderId="2" xfId="0" applyFont="1" applyFill="1" applyBorder="1" applyAlignment="1">
      <alignment wrapText="1"/>
    </xf>
    <xf numFmtId="166" fontId="9" fillId="13" borderId="2" xfId="0" applyNumberFormat="1" applyFont="1" applyFill="1" applyBorder="1" applyAlignment="1">
      <alignment wrapText="1"/>
    </xf>
    <xf numFmtId="164" fontId="9" fillId="13" borderId="2" xfId="0" applyNumberFormat="1" applyFont="1" applyFill="1" applyBorder="1" applyAlignment="1">
      <alignment wrapText="1"/>
    </xf>
    <xf numFmtId="165" fontId="6" fillId="0" borderId="0" xfId="0" applyNumberFormat="1" applyFont="1" applyAlignment="1">
      <alignment wrapText="1"/>
    </xf>
    <xf numFmtId="167" fontId="0" fillId="0" borderId="0" xfId="0" applyNumberFormat="1"/>
    <xf numFmtId="0" fontId="2" fillId="1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164" fontId="0" fillId="0" borderId="9" xfId="0" applyNumberFormat="1" applyBorder="1" applyAlignment="1">
      <alignment wrapText="1"/>
    </xf>
    <xf numFmtId="0" fontId="0" fillId="0" borderId="5" xfId="0" applyBorder="1" applyAlignment="1">
      <alignment wrapText="1"/>
    </xf>
    <xf numFmtId="164" fontId="0" fillId="0" borderId="5" xfId="0" applyNumberFormat="1" applyBorder="1" applyAlignment="1">
      <alignment wrapText="1"/>
    </xf>
    <xf numFmtId="0" fontId="0" fillId="0" borderId="7" xfId="0" applyBorder="1" applyAlignment="1">
      <alignment wrapText="1"/>
    </xf>
    <xf numFmtId="10" fontId="0" fillId="0" borderId="0" xfId="0" applyNumberFormat="1" applyAlignment="1">
      <alignment wrapText="1"/>
    </xf>
    <xf numFmtId="10" fontId="0" fillId="0" borderId="7" xfId="0" applyNumberFormat="1" applyBorder="1" applyAlignment="1">
      <alignment wrapText="1"/>
    </xf>
    <xf numFmtId="10" fontId="3" fillId="4" borderId="0" xfId="0" applyNumberFormat="1" applyFont="1" applyFill="1"/>
    <xf numFmtId="0" fontId="4" fillId="17" borderId="10" xfId="0" applyFont="1" applyFill="1" applyBorder="1" applyAlignment="1">
      <alignment vertical="center" wrapText="1"/>
    </xf>
    <xf numFmtId="0" fontId="2" fillId="17" borderId="11" xfId="0" applyFont="1" applyFill="1" applyBorder="1" applyAlignment="1">
      <alignment wrapText="1"/>
    </xf>
    <xf numFmtId="0" fontId="2" fillId="17" borderId="12" xfId="0" applyFont="1" applyFill="1" applyBorder="1" applyAlignment="1">
      <alignment wrapText="1"/>
    </xf>
    <xf numFmtId="10" fontId="7" fillId="18" borderId="9" xfId="0" applyNumberFormat="1" applyFont="1" applyFill="1" applyBorder="1" applyAlignment="1">
      <alignment wrapText="1"/>
    </xf>
    <xf numFmtId="10" fontId="7" fillId="18" borderId="5" xfId="0" applyNumberFormat="1" applyFont="1" applyFill="1" applyBorder="1" applyAlignment="1">
      <alignment wrapText="1"/>
    </xf>
    <xf numFmtId="10" fontId="9" fillId="6" borderId="7" xfId="0" applyNumberFormat="1" applyFont="1" applyFill="1" applyBorder="1"/>
    <xf numFmtId="0" fontId="0" fillId="0" borderId="19" xfId="0" applyBorder="1"/>
    <xf numFmtId="0" fontId="0" fillId="0" borderId="20" xfId="0" applyBorder="1"/>
    <xf numFmtId="164" fontId="0" fillId="0" borderId="20" xfId="0" applyNumberFormat="1" applyBorder="1"/>
    <xf numFmtId="0" fontId="0" fillId="0" borderId="22" xfId="0" applyBorder="1"/>
    <xf numFmtId="0" fontId="0" fillId="0" borderId="23" xfId="0" applyBorder="1"/>
    <xf numFmtId="164" fontId="0" fillId="0" borderId="23" xfId="0" applyNumberFormat="1" applyBorder="1"/>
    <xf numFmtId="0" fontId="4" fillId="21" borderId="0" xfId="0" applyFont="1" applyFill="1" applyAlignment="1">
      <alignment wrapText="1"/>
    </xf>
    <xf numFmtId="0" fontId="11" fillId="0" borderId="5" xfId="0" applyFont="1" applyBorder="1"/>
    <xf numFmtId="164" fontId="11" fillId="0" borderId="5" xfId="0" applyNumberFormat="1" applyFont="1" applyBorder="1"/>
    <xf numFmtId="164" fontId="13" fillId="0" borderId="5" xfId="0" applyNumberFormat="1" applyFont="1" applyBorder="1"/>
    <xf numFmtId="167" fontId="13" fillId="0" borderId="6" xfId="0" applyNumberFormat="1" applyFont="1" applyBorder="1"/>
    <xf numFmtId="0" fontId="14" fillId="16" borderId="7" xfId="0" applyFont="1" applyFill="1" applyBorder="1"/>
    <xf numFmtId="164" fontId="14" fillId="16" borderId="7" xfId="0" applyNumberFormat="1" applyFont="1" applyFill="1" applyBorder="1"/>
    <xf numFmtId="164" fontId="15" fillId="16" borderId="7" xfId="0" applyNumberFormat="1" applyFont="1" applyFill="1" applyBorder="1"/>
    <xf numFmtId="167" fontId="15" fillId="16" borderId="8" xfId="0" applyNumberFormat="1" applyFont="1" applyFill="1" applyBorder="1"/>
    <xf numFmtId="0" fontId="4" fillId="15" borderId="0" xfId="0" applyFont="1" applyFill="1"/>
    <xf numFmtId="0" fontId="4" fillId="15" borderId="0" xfId="0" applyFont="1" applyFill="1" applyAlignment="1">
      <alignment wrapText="1"/>
    </xf>
    <xf numFmtId="0" fontId="6" fillId="0" borderId="9" xfId="0" applyFont="1" applyBorder="1" applyAlignment="1">
      <alignment wrapText="1"/>
    </xf>
    <xf numFmtId="10" fontId="6" fillId="0" borderId="9" xfId="0" applyNumberFormat="1" applyFont="1" applyBorder="1" applyAlignment="1">
      <alignment wrapText="1"/>
    </xf>
    <xf numFmtId="0" fontId="6" fillId="0" borderId="5" xfId="0" applyFont="1" applyBorder="1" applyAlignment="1">
      <alignment wrapText="1"/>
    </xf>
    <xf numFmtId="10" fontId="6" fillId="0" borderId="5" xfId="0" applyNumberFormat="1" applyFont="1" applyBorder="1" applyAlignment="1">
      <alignment wrapText="1"/>
    </xf>
    <xf numFmtId="0" fontId="6" fillId="0" borderId="7" xfId="0" applyFont="1" applyBorder="1" applyAlignment="1">
      <alignment wrapText="1"/>
    </xf>
    <xf numFmtId="10" fontId="6" fillId="0" borderId="7" xfId="0" applyNumberFormat="1" applyFont="1" applyBorder="1" applyAlignment="1">
      <alignment wrapText="1"/>
    </xf>
    <xf numFmtId="10" fontId="11" fillId="8" borderId="0" xfId="0" applyNumberFormat="1" applyFont="1" applyFill="1"/>
    <xf numFmtId="167" fontId="6" fillId="0" borderId="0" xfId="0" applyNumberFormat="1" applyFont="1"/>
    <xf numFmtId="0" fontId="4" fillId="21" borderId="13" xfId="0" applyFont="1" applyFill="1" applyBorder="1" applyAlignment="1">
      <alignment wrapText="1"/>
    </xf>
    <xf numFmtId="0" fontId="6" fillId="0" borderId="13" xfId="0" applyFont="1" applyBorder="1"/>
    <xf numFmtId="164" fontId="9" fillId="22" borderId="13" xfId="0" applyNumberFormat="1" applyFont="1" applyFill="1" applyBorder="1"/>
    <xf numFmtId="0" fontId="4" fillId="21" borderId="0" xfId="0" applyFont="1" applyFill="1"/>
    <xf numFmtId="164" fontId="7" fillId="23" borderId="0" xfId="0" applyNumberFormat="1" applyFont="1" applyFill="1"/>
    <xf numFmtId="0" fontId="6" fillId="0" borderId="14" xfId="0" applyFont="1" applyBorder="1"/>
    <xf numFmtId="164" fontId="6" fillId="0" borderId="14" xfId="0" applyNumberFormat="1" applyFont="1" applyBorder="1"/>
    <xf numFmtId="0" fontId="6" fillId="0" borderId="14" xfId="0" applyFont="1" applyBorder="1" applyAlignment="1">
      <alignment wrapText="1"/>
    </xf>
    <xf numFmtId="0" fontId="4" fillId="21" borderId="15" xfId="0" applyFont="1" applyFill="1" applyBorder="1" applyAlignment="1">
      <alignment wrapText="1"/>
    </xf>
    <xf numFmtId="0" fontId="4" fillId="21" borderId="16" xfId="0" applyFont="1" applyFill="1" applyBorder="1" applyAlignment="1">
      <alignment wrapText="1"/>
    </xf>
    <xf numFmtId="0" fontId="4" fillId="21" borderId="17" xfId="0" applyFont="1" applyFill="1" applyBorder="1" applyAlignment="1">
      <alignment wrapText="1"/>
    </xf>
    <xf numFmtId="164" fontId="4" fillId="21" borderId="17" xfId="0" applyNumberFormat="1" applyFont="1" applyFill="1" applyBorder="1" applyAlignment="1">
      <alignment wrapText="1"/>
    </xf>
    <xf numFmtId="0" fontId="4" fillId="21" borderId="18" xfId="0" applyFont="1" applyFill="1" applyBorder="1" applyAlignment="1">
      <alignment wrapText="1"/>
    </xf>
    <xf numFmtId="0" fontId="6" fillId="0" borderId="19" xfId="0" applyFont="1" applyBorder="1"/>
    <xf numFmtId="0" fontId="6" fillId="0" borderId="20" xfId="0" applyFont="1" applyBorder="1"/>
    <xf numFmtId="164" fontId="6" fillId="0" borderId="20" xfId="0" applyNumberFormat="1" applyFont="1" applyBorder="1"/>
    <xf numFmtId="164" fontId="6" fillId="0" borderId="20" xfId="0" applyNumberFormat="1" applyFont="1" applyBorder="1" applyAlignment="1">
      <alignment wrapText="1"/>
    </xf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164" fontId="6" fillId="0" borderId="23" xfId="0" applyNumberFormat="1" applyFont="1" applyBorder="1"/>
    <xf numFmtId="0" fontId="6" fillId="0" borderId="24" xfId="0" applyFont="1" applyBorder="1"/>
    <xf numFmtId="0" fontId="4" fillId="21" borderId="1" xfId="0" applyFont="1" applyFill="1" applyBorder="1" applyAlignment="1">
      <alignment vertical="center" wrapText="1"/>
    </xf>
    <xf numFmtId="0" fontId="4" fillId="21" borderId="3" xfId="0" applyFont="1" applyFill="1" applyBorder="1" applyAlignment="1">
      <alignment wrapText="1"/>
    </xf>
    <xf numFmtId="0" fontId="4" fillId="21" borderId="4" xfId="0" applyFont="1" applyFill="1" applyBorder="1" applyAlignment="1">
      <alignment wrapText="1"/>
    </xf>
    <xf numFmtId="0" fontId="6" fillId="22" borderId="0" xfId="0" applyFont="1" applyFill="1"/>
    <xf numFmtId="167" fontId="7" fillId="4" borderId="0" xfId="0" applyNumberFormat="1" applyFont="1" applyFill="1"/>
    <xf numFmtId="167" fontId="8" fillId="5" borderId="0" xfId="0" applyNumberFormat="1" applyFont="1" applyFill="1"/>
    <xf numFmtId="167" fontId="4" fillId="15" borderId="0" xfId="0" applyNumberFormat="1" applyFont="1" applyFill="1"/>
    <xf numFmtId="167" fontId="8" fillId="5" borderId="0" xfId="0" applyNumberFormat="1" applyFont="1" applyFill="1" applyAlignment="1">
      <alignment wrapText="1"/>
    </xf>
    <xf numFmtId="167" fontId="10" fillId="6" borderId="2" xfId="0" applyNumberFormat="1" applyFont="1" applyFill="1" applyBorder="1" applyAlignment="1">
      <alignment wrapText="1"/>
    </xf>
    <xf numFmtId="0" fontId="4" fillId="24" borderId="14" xfId="0" applyFont="1" applyFill="1" applyBorder="1" applyAlignment="1">
      <alignment wrapText="1"/>
    </xf>
    <xf numFmtId="164" fontId="9" fillId="25" borderId="14" xfId="0" applyNumberFormat="1" applyFont="1" applyFill="1" applyBorder="1"/>
    <xf numFmtId="0" fontId="6" fillId="0" borderId="13" xfId="0" applyFont="1" applyBorder="1" applyAlignment="1">
      <alignment wrapText="1"/>
    </xf>
    <xf numFmtId="164" fontId="9" fillId="26" borderId="13" xfId="0" applyNumberFormat="1" applyFont="1" applyFill="1" applyBorder="1"/>
    <xf numFmtId="0" fontId="2" fillId="27" borderId="0" xfId="0" applyFont="1" applyFill="1" applyAlignment="1">
      <alignment wrapText="1"/>
    </xf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164" fontId="0" fillId="0" borderId="18" xfId="0" applyNumberFormat="1" applyBorder="1"/>
    <xf numFmtId="164" fontId="0" fillId="0" borderId="21" xfId="0" applyNumberFormat="1" applyBorder="1"/>
    <xf numFmtId="164" fontId="0" fillId="0" borderId="24" xfId="0" applyNumberFormat="1" applyBorder="1"/>
    <xf numFmtId="0" fontId="9" fillId="28" borderId="2" xfId="0" applyFont="1" applyFill="1" applyBorder="1"/>
    <xf numFmtId="0" fontId="14" fillId="28" borderId="2" xfId="0" applyFont="1" applyFill="1" applyBorder="1"/>
    <xf numFmtId="164" fontId="9" fillId="29" borderId="2" xfId="0" applyNumberFormat="1" applyFont="1" applyFill="1" applyBorder="1"/>
    <xf numFmtId="0" fontId="1" fillId="30" borderId="0" xfId="0" applyFont="1" applyFill="1"/>
    <xf numFmtId="0" fontId="0" fillId="0" borderId="25" xfId="0" applyBorder="1"/>
    <xf numFmtId="9" fontId="0" fillId="0" borderId="25" xfId="0" applyNumberFormat="1" applyBorder="1"/>
    <xf numFmtId="0" fontId="17" fillId="19" borderId="0" xfId="0" applyFont="1" applyFill="1" applyAlignment="1">
      <alignment vertical="center"/>
    </xf>
    <xf numFmtId="0" fontId="6" fillId="5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5" fillId="7" borderId="0" xfId="0" applyFont="1" applyFill="1"/>
    <xf numFmtId="0" fontId="0" fillId="0" borderId="0" xfId="0"/>
    <xf numFmtId="0" fontId="6" fillId="12" borderId="0" xfId="0" applyFont="1" applyFill="1" applyAlignment="1">
      <alignment wrapText="1"/>
    </xf>
    <xf numFmtId="0" fontId="4" fillId="9" borderId="0" xfId="0" applyFont="1" applyFill="1" applyAlignment="1">
      <alignment vertical="center"/>
    </xf>
    <xf numFmtId="0" fontId="5" fillId="14" borderId="0" xfId="0" applyFont="1" applyFill="1"/>
    <xf numFmtId="0" fontId="4" fillId="9" borderId="0" xfId="0" applyFont="1" applyFill="1"/>
    <xf numFmtId="0" fontId="17" fillId="19" borderId="0" xfId="0" applyFont="1" applyFill="1" applyAlignment="1">
      <alignment wrapText="1"/>
    </xf>
    <xf numFmtId="0" fontId="12" fillId="7" borderId="0" xfId="0" applyFont="1" applyFill="1"/>
    <xf numFmtId="0" fontId="4" fillId="19" borderId="0" xfId="0" applyFont="1" applyFill="1" applyAlignment="1">
      <alignment vertical="center"/>
    </xf>
    <xf numFmtId="0" fontId="16" fillId="2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Market expands despite equal secular growth and compression ($tn)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Market size ($tn)</c:v>
          </c:tx>
          <c:invertIfNegative val="1"/>
          <c:cat>
            <c:strRef>
              <c:f>'TAM Bridge'!$K$5:$K$9</c:f>
              <c:strCache>
                <c:ptCount val="5"/>
                <c:pt idx="0">
                  <c:v>2025 market</c:v>
                </c:pt>
                <c:pt idx="1">
                  <c:v>2030 with secular growth</c:v>
                </c:pt>
                <c:pt idx="2">
                  <c:v>After legacy compression</c:v>
                </c:pt>
                <c:pt idx="3">
                  <c:v>Plus new services</c:v>
                </c:pt>
                <c:pt idx="4">
                  <c:v>Plus adjacent TAM</c:v>
                </c:pt>
              </c:strCache>
            </c:strRef>
          </c:cat>
          <c:val>
            <c:numRef>
              <c:f>'TAM Bridge'!$L$5:$L$9</c:f>
              <c:numCache>
                <c:formatCode>\$0.000</c:formatCode>
                <c:ptCount val="5"/>
                <c:pt idx="0">
                  <c:v>1.1363099999999999</c:v>
                </c:pt>
                <c:pt idx="1">
                  <c:v>1.3699123593018216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A6-4578-8655-77A108204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Provider cohort share shifts toward mid-tiers by 2030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share</c:v>
          </c:tx>
          <c:invertIfNegative val="1"/>
          <c:cat>
            <c:strRef>
              <c:f>'Executive Implications'!$J$5:$J$8</c:f>
              <c:strCache>
                <c:ptCount val="4"/>
                <c:pt idx="0">
                  <c:v>Large providers</c:v>
                </c:pt>
                <c:pt idx="1">
                  <c:v>Mid-tier providers</c:v>
                </c:pt>
                <c:pt idx="2">
                  <c:v>Specialists / local</c:v>
                </c:pt>
                <c:pt idx="3">
                  <c:v>Platforms / hyperscalers</c:v>
                </c:pt>
              </c:strCache>
            </c:strRef>
          </c:cat>
          <c:val>
            <c:numRef>
              <c:f>'Executive Implications'!$K$5:$K$8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E-484C-9C04-EFD031FA749B}"/>
            </c:ext>
          </c:extLst>
        </c:ser>
        <c:ser>
          <c:idx val="1"/>
          <c:order val="1"/>
          <c:tx>
            <c:v>2030 share</c:v>
          </c:tx>
          <c:invertIfNegative val="1"/>
          <c:cat>
            <c:strRef>
              <c:f>'Executive Implications'!$J$5:$J$8</c:f>
              <c:strCache>
                <c:ptCount val="4"/>
                <c:pt idx="0">
                  <c:v>Large providers</c:v>
                </c:pt>
                <c:pt idx="1">
                  <c:v>Mid-tier providers</c:v>
                </c:pt>
                <c:pt idx="2">
                  <c:v>Specialists / local</c:v>
                </c:pt>
                <c:pt idx="3">
                  <c:v>Platforms / hyperscalers</c:v>
                </c:pt>
              </c:strCache>
            </c:strRef>
          </c:cat>
          <c:val>
            <c:numRef>
              <c:f>'Executive Implications'!$L$5:$L$8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E-484C-9C04-EFD031FA7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9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5</xdr:col>
      <xdr:colOff>152400</xdr:colOff>
      <xdr:row>40</xdr:row>
      <xdr:rowOff>83820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3CBD3E6C-9810-6BF1-2DB4-5A34BBC33FE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350520</xdr:colOff>
      <xdr:row>18</xdr:row>
      <xdr:rowOff>76200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A4260489-BB64-7F48-6DD6-4D5D8CFFCE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144780</xdr:colOff>
      <xdr:row>12</xdr:row>
      <xdr:rowOff>388620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99FB64BD-2377-37C1-BE59-79615271CF1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762000</xdr:colOff>
      <xdr:row>23</xdr:row>
      <xdr:rowOff>137160</xdr:rowOff>
    </xdr:to>
    <xdr:sp macro="" textlink="">
      <xdr:nvSpPr>
        <xdr:cNvPr id="5122" name="Text Box 2" hidden="1">
          <a:extLst>
            <a:ext uri="{FF2B5EF4-FFF2-40B4-BE49-F238E27FC236}">
              <a16:creationId xmlns:a16="http://schemas.microsoft.com/office/drawing/2014/main" id="{96E2C2DB-89FB-BD39-C74C-B68CC51C02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556260</xdr:colOff>
      <xdr:row>34</xdr:row>
      <xdr:rowOff>129540</xdr:rowOff>
    </xdr:to>
    <xdr:sp macro="" textlink="">
      <xdr:nvSpPr>
        <xdr:cNvPr id="6146" name="Text Box 2" hidden="1">
          <a:extLst>
            <a:ext uri="{FF2B5EF4-FFF2-40B4-BE49-F238E27FC236}">
              <a16:creationId xmlns:a16="http://schemas.microsoft.com/office/drawing/2014/main" id="{D75705FD-11B5-8B0A-6748-B815D2C7A6C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276E748B-378C-4B87-A9DB-722B4D6F6D7C}" userId="" providerId=""/>
  <person displayName="User" id="{93C697C8-F880-43BD-835C-E6F292CCDBB5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6-09-08T04:51:10.75" personId="{276E748B-378C-4B87-A9DB-722B4D6F6D7C}" id="{40883D65-B266-F100-91B1-DCF9892A37EC}">
    <text>Per user instruction, productivity-led compression is set exactly equal and opposite to secular growth.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3" dT="2026-09-08T04:51:10.77" personId="{276E748B-378C-4B87-A9DB-722B4D6F6D7C}" id="{2EF18335-EB1B-128B-679A-26A7A2B5ADED}">
    <text>External service conversion translates internal agentifiable business-function spend into annual third-party services TAM. It is the key calibration factor.</text>
  </threadedComment>
  <threadedComment ref="T3" dT="2026-09-08T04:51:10.77" personId="{276E748B-378C-4B87-A9DB-722B4D6F6D7C}" id="{B7E6DD9A-DBA5-19D8-C5E5-0F8228AB25EF}">
    <text>Thesis case assumes only 5% GCC cannibalization of the adjacent service revenue pool; this is deliberately below a conventional 15% sensitivity.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6-09-08T04:51:10.82" personId="{93C697C8-F880-43BD-835C-E6F292CCDBB5}" id="{9ECEFE5B-A3FF-92E0-671F-0BBADBEE2E07}">
    <text>Classification distinguishes external evidence, workbook-derived calculations, user/video thesis inputs and unsourced model judgments.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9" dT="2026-09-08T04:51:10.84" personId="{93C697C8-F880-43BD-835C-E6F292CCDBB5}" id="{6082BCD1-FED3-0A12-BDEE-9AEE0B996A31}">
    <text>Base thesis: product-engineering mid-tiers gain the most because agentic delivery reduces labor-scale advantage while domain/IP specialization remains valuable.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5" dT="2026-09-08T04:51:10.85" personId="{93C697C8-F880-43BD-835C-E6F292CCDBB5}" id="{37E1DB69-8889-0C92-A8B1-FEC9D8EF42D0}">
    <text>External service conversion is the most important adjacent-TAM calibration and should be updated as managed-agent and outcome-based contract data emerges.</text>
  </threadedComment>
</ThreadedComment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4"/>
  <sheetViews>
    <sheetView workbookViewId="0"/>
  </sheetViews>
  <sheetFormatPr defaultRowHeight="14.4" x14ac:dyDescent="0.3"/>
  <cols>
    <col min="3" max="3" width="19" customWidth="1"/>
    <col min="5" max="5" width="18.88671875" customWidth="1"/>
    <col min="7" max="7" width="23.21875" customWidth="1"/>
    <col min="8" max="8" width="14.44140625" customWidth="1"/>
    <col min="9" max="9" width="21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0.62</v>
      </c>
      <c r="K2" s="1">
        <v>0.62</v>
      </c>
      <c r="L2" s="1">
        <v>0.57999999999999996</v>
      </c>
      <c r="M2" s="1">
        <v>0.52</v>
      </c>
      <c r="N2" s="1">
        <v>0.45</v>
      </c>
    </row>
    <row r="3" spans="1:14" x14ac:dyDescent="0.3">
      <c r="A3" t="s">
        <v>14</v>
      </c>
      <c r="B3" t="s">
        <v>15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0.62</v>
      </c>
      <c r="K3" s="1">
        <v>0.62</v>
      </c>
      <c r="L3" s="1">
        <v>0.57999999999999996</v>
      </c>
      <c r="M3" s="1">
        <v>0.52</v>
      </c>
      <c r="N3" s="1">
        <v>0.45</v>
      </c>
    </row>
    <row r="4" spans="1:14" x14ac:dyDescent="0.3">
      <c r="A4" t="s">
        <v>14</v>
      </c>
      <c r="B4" t="s">
        <v>15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0.62</v>
      </c>
      <c r="K4" s="1">
        <v>0.62</v>
      </c>
      <c r="L4" s="1">
        <v>0.57999999999999996</v>
      </c>
      <c r="M4" s="1">
        <v>0.52</v>
      </c>
      <c r="N4" s="1">
        <v>0.45</v>
      </c>
    </row>
    <row r="5" spans="1:14" x14ac:dyDescent="0.3">
      <c r="A5" t="s">
        <v>14</v>
      </c>
      <c r="B5" t="s">
        <v>15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0.62</v>
      </c>
      <c r="K5" s="1">
        <v>0.62</v>
      </c>
      <c r="L5" s="1">
        <v>0.57999999999999996</v>
      </c>
      <c r="M5" s="1">
        <v>0.52</v>
      </c>
      <c r="N5" s="1">
        <v>0.45</v>
      </c>
    </row>
    <row r="6" spans="1:14" x14ac:dyDescent="0.3">
      <c r="A6" t="s">
        <v>14</v>
      </c>
      <c r="B6" t="s">
        <v>15</v>
      </c>
      <c r="C6" t="s">
        <v>25</v>
      </c>
      <c r="D6" s="1">
        <v>0.2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0.12400000000000003</v>
      </c>
      <c r="J6" s="1">
        <v>0.5</v>
      </c>
      <c r="K6" s="1">
        <v>0.5</v>
      </c>
      <c r="L6" s="1">
        <v>0.47</v>
      </c>
      <c r="M6" s="1">
        <v>0.42</v>
      </c>
      <c r="N6" s="1">
        <v>0.36</v>
      </c>
    </row>
    <row r="7" spans="1:14" x14ac:dyDescent="0.3">
      <c r="A7" t="s">
        <v>14</v>
      </c>
      <c r="B7" t="s">
        <v>15</v>
      </c>
      <c r="C7" t="s">
        <v>25</v>
      </c>
      <c r="D7" s="1">
        <v>0.2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0.5</v>
      </c>
      <c r="K7" s="1">
        <v>0.5</v>
      </c>
      <c r="L7" s="1">
        <v>0.47</v>
      </c>
      <c r="M7" s="1">
        <v>0.42</v>
      </c>
      <c r="N7" s="1">
        <v>0.36</v>
      </c>
    </row>
    <row r="8" spans="1:14" x14ac:dyDescent="0.3">
      <c r="A8" t="s">
        <v>14</v>
      </c>
      <c r="B8" t="s">
        <v>15</v>
      </c>
      <c r="C8" t="s">
        <v>25</v>
      </c>
      <c r="D8" s="1">
        <v>0.2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0.5</v>
      </c>
      <c r="K8" s="1">
        <v>0.5</v>
      </c>
      <c r="L8" s="1">
        <v>0.47</v>
      </c>
      <c r="M8" s="1">
        <v>0.42</v>
      </c>
      <c r="N8" s="1">
        <v>0.36</v>
      </c>
    </row>
    <row r="9" spans="1:14" x14ac:dyDescent="0.3">
      <c r="A9" t="s">
        <v>14</v>
      </c>
      <c r="B9" t="s">
        <v>15</v>
      </c>
      <c r="C9" t="s">
        <v>25</v>
      </c>
      <c r="D9" s="1">
        <v>0.2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0.5</v>
      </c>
      <c r="K9" s="1">
        <v>0.5</v>
      </c>
      <c r="L9" s="1">
        <v>0.47</v>
      </c>
      <c r="M9" s="1">
        <v>0.42</v>
      </c>
      <c r="N9" s="1">
        <v>0.36</v>
      </c>
    </row>
    <row r="10" spans="1:14" x14ac:dyDescent="0.3">
      <c r="A10" t="s">
        <v>14</v>
      </c>
      <c r="B10" t="s">
        <v>15</v>
      </c>
      <c r="C10" t="s">
        <v>32</v>
      </c>
      <c r="D10" s="1">
        <v>0.2</v>
      </c>
      <c r="E10" t="s">
        <v>33</v>
      </c>
      <c r="F10" s="1">
        <v>0.3</v>
      </c>
      <c r="G10" t="s">
        <v>18</v>
      </c>
      <c r="H10" s="1">
        <v>0.9</v>
      </c>
      <c r="I10" s="1">
        <f>SUMPRODUCT(H10:H13,F10:F13)*D10</f>
        <v>0.17000000000000004</v>
      </c>
      <c r="J10" s="1">
        <v>0.68</v>
      </c>
      <c r="K10" s="1">
        <v>0.68</v>
      </c>
      <c r="L10" s="1">
        <v>0.63</v>
      </c>
      <c r="M10" s="1">
        <v>0.56000000000000005</v>
      </c>
      <c r="N10" s="1">
        <v>0.48</v>
      </c>
    </row>
    <row r="11" spans="1:14" x14ac:dyDescent="0.3">
      <c r="A11" t="s">
        <v>14</v>
      </c>
      <c r="B11" t="s">
        <v>15</v>
      </c>
      <c r="C11" t="s">
        <v>32</v>
      </c>
      <c r="D11" s="1">
        <v>0.2</v>
      </c>
      <c r="E11" t="s">
        <v>34</v>
      </c>
      <c r="F11" s="1">
        <v>0.3</v>
      </c>
      <c r="G11" t="s">
        <v>18</v>
      </c>
      <c r="H11" s="1">
        <v>0.9</v>
      </c>
      <c r="I11" s="1"/>
      <c r="J11" s="1">
        <v>0.68</v>
      </c>
      <c r="K11" s="1">
        <v>0.68</v>
      </c>
      <c r="L11" s="1">
        <v>0.63</v>
      </c>
      <c r="M11" s="1">
        <v>0.56000000000000005</v>
      </c>
      <c r="N11" s="1">
        <v>0.48</v>
      </c>
    </row>
    <row r="12" spans="1:14" x14ac:dyDescent="0.3">
      <c r="A12" t="s">
        <v>14</v>
      </c>
      <c r="B12" t="s">
        <v>15</v>
      </c>
      <c r="C12" t="s">
        <v>32</v>
      </c>
      <c r="D12" s="1">
        <v>0.2</v>
      </c>
      <c r="E12" t="s">
        <v>35</v>
      </c>
      <c r="F12" s="1">
        <v>0.2</v>
      </c>
      <c r="G12" t="s">
        <v>20</v>
      </c>
      <c r="H12" s="1">
        <v>0.6</v>
      </c>
      <c r="I12" s="1"/>
      <c r="J12" s="1">
        <v>0.68</v>
      </c>
      <c r="K12" s="1">
        <v>0.68</v>
      </c>
      <c r="L12" s="1">
        <v>0.63</v>
      </c>
      <c r="M12" s="1">
        <v>0.56000000000000005</v>
      </c>
      <c r="N12" s="1">
        <v>0.48</v>
      </c>
    </row>
    <row r="13" spans="1:14" x14ac:dyDescent="0.3">
      <c r="A13" t="s">
        <v>14</v>
      </c>
      <c r="B13" t="s">
        <v>15</v>
      </c>
      <c r="C13" t="s">
        <v>32</v>
      </c>
      <c r="D13" s="1">
        <v>0.2</v>
      </c>
      <c r="E13" t="s">
        <v>36</v>
      </c>
      <c r="F13" s="1">
        <v>0.2</v>
      </c>
      <c r="G13" t="s">
        <v>24</v>
      </c>
      <c r="H13" s="1">
        <v>0.95</v>
      </c>
      <c r="I13" s="1"/>
      <c r="J13" s="1">
        <v>0.68</v>
      </c>
      <c r="K13" s="1">
        <v>0.68</v>
      </c>
      <c r="L13" s="1">
        <v>0.63</v>
      </c>
      <c r="M13" s="1">
        <v>0.56000000000000005</v>
      </c>
      <c r="N13" s="1">
        <v>0.48</v>
      </c>
    </row>
    <row r="14" spans="1:14" x14ac:dyDescent="0.3">
      <c r="A14" t="s">
        <v>14</v>
      </c>
      <c r="B14" t="s">
        <v>15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0.64</v>
      </c>
      <c r="K14" s="1">
        <v>0.64</v>
      </c>
      <c r="L14" s="1">
        <v>0.6</v>
      </c>
      <c r="M14" s="1">
        <v>0.54</v>
      </c>
      <c r="N14" s="1">
        <v>0.47</v>
      </c>
    </row>
    <row r="15" spans="1:14" x14ac:dyDescent="0.3">
      <c r="A15" t="s">
        <v>14</v>
      </c>
      <c r="B15" t="s">
        <v>15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0.64</v>
      </c>
      <c r="K15" s="1">
        <v>0.64</v>
      </c>
      <c r="L15" s="1">
        <v>0.6</v>
      </c>
      <c r="M15" s="1">
        <v>0.54</v>
      </c>
      <c r="N15" s="1">
        <v>0.47</v>
      </c>
    </row>
    <row r="16" spans="1:14" x14ac:dyDescent="0.3">
      <c r="A16" t="s">
        <v>14</v>
      </c>
      <c r="B16" t="s">
        <v>15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0.64</v>
      </c>
      <c r="K16" s="1">
        <v>0.64</v>
      </c>
      <c r="L16" s="1">
        <v>0.6</v>
      </c>
      <c r="M16" s="1">
        <v>0.54</v>
      </c>
      <c r="N16" s="1">
        <v>0.47</v>
      </c>
    </row>
    <row r="17" spans="1:14" x14ac:dyDescent="0.3">
      <c r="A17" t="s">
        <v>14</v>
      </c>
      <c r="B17" t="s">
        <v>15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0.64</v>
      </c>
      <c r="K17" s="1">
        <v>0.64</v>
      </c>
      <c r="L17" s="1">
        <v>0.6</v>
      </c>
      <c r="M17" s="1">
        <v>0.54</v>
      </c>
      <c r="N17" s="1">
        <v>0.47</v>
      </c>
    </row>
    <row r="18" spans="1:14" x14ac:dyDescent="0.3">
      <c r="A18" t="s">
        <v>14</v>
      </c>
      <c r="B18" t="s">
        <v>15</v>
      </c>
      <c r="C18" t="s">
        <v>43</v>
      </c>
      <c r="D18" s="1">
        <v>0.1</v>
      </c>
      <c r="E18" t="s">
        <v>44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0.45</v>
      </c>
      <c r="K18" s="1">
        <v>0.45</v>
      </c>
      <c r="L18" s="1">
        <v>0.42</v>
      </c>
      <c r="M18" s="1">
        <v>0.37</v>
      </c>
      <c r="N18" s="1">
        <v>0.32</v>
      </c>
    </row>
    <row r="19" spans="1:14" x14ac:dyDescent="0.3">
      <c r="A19" t="s">
        <v>14</v>
      </c>
      <c r="B19" t="s">
        <v>15</v>
      </c>
      <c r="C19" t="s">
        <v>43</v>
      </c>
      <c r="D19" s="1">
        <v>0.1</v>
      </c>
      <c r="E19" t="s">
        <v>45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0.42</v>
      </c>
      <c r="M19" s="1">
        <v>0.37</v>
      </c>
      <c r="N19" s="1">
        <v>0.32</v>
      </c>
    </row>
    <row r="20" spans="1:14" x14ac:dyDescent="0.3">
      <c r="A20" t="s">
        <v>14</v>
      </c>
      <c r="B20" t="s">
        <v>15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0.42</v>
      </c>
      <c r="M20" s="1">
        <v>0.37</v>
      </c>
      <c r="N20" s="1">
        <v>0.32</v>
      </c>
    </row>
    <row r="21" spans="1:14" x14ac:dyDescent="0.3">
      <c r="A21" t="s">
        <v>14</v>
      </c>
      <c r="B21" t="s">
        <v>15</v>
      </c>
      <c r="C21" t="s">
        <v>43</v>
      </c>
      <c r="D21" s="1">
        <v>0.1</v>
      </c>
      <c r="E21" t="s">
        <v>47</v>
      </c>
      <c r="F21" s="1">
        <v>0.2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0.42</v>
      </c>
      <c r="M21" s="1">
        <v>0.37</v>
      </c>
      <c r="N21" s="1">
        <v>0.32</v>
      </c>
    </row>
    <row r="22" spans="1:14" x14ac:dyDescent="0.3">
      <c r="A22" t="s">
        <v>14</v>
      </c>
      <c r="B22" t="s">
        <v>15</v>
      </c>
      <c r="C22" t="s">
        <v>48</v>
      </c>
      <c r="D22" s="1">
        <v>0.1</v>
      </c>
      <c r="E22" t="s">
        <v>49</v>
      </c>
      <c r="F22" s="1">
        <v>0.25</v>
      </c>
      <c r="G22" t="s">
        <v>40</v>
      </c>
      <c r="H22" s="1">
        <v>0.7</v>
      </c>
      <c r="I22" s="1">
        <f>SUMPRODUCT(H22:H25,F22:F25)*D22</f>
        <v>5.8749999999999997E-2</v>
      </c>
      <c r="J22" s="1">
        <v>0.45</v>
      </c>
      <c r="K22" s="1">
        <v>0.45</v>
      </c>
      <c r="L22" s="1">
        <v>0.42</v>
      </c>
      <c r="M22" s="1">
        <v>0.37</v>
      </c>
      <c r="N22" s="1">
        <v>0.32</v>
      </c>
    </row>
    <row r="23" spans="1:14" x14ac:dyDescent="0.3">
      <c r="A23" t="s">
        <v>14</v>
      </c>
      <c r="B23" t="s">
        <v>15</v>
      </c>
      <c r="C23" t="s">
        <v>48</v>
      </c>
      <c r="D23" s="1">
        <v>0.1</v>
      </c>
      <c r="E23" t="s">
        <v>50</v>
      </c>
      <c r="F23" s="1">
        <v>0.25</v>
      </c>
      <c r="G23" t="s">
        <v>20</v>
      </c>
      <c r="H23" s="1">
        <v>0.6</v>
      </c>
      <c r="I23" s="1"/>
      <c r="J23" s="1">
        <v>0.45</v>
      </c>
      <c r="K23" s="1">
        <v>0.45</v>
      </c>
      <c r="L23" s="1">
        <v>0.42</v>
      </c>
      <c r="M23" s="1">
        <v>0.37</v>
      </c>
      <c r="N23" s="1">
        <v>0.32</v>
      </c>
    </row>
    <row r="24" spans="1:14" x14ac:dyDescent="0.3">
      <c r="A24" t="s">
        <v>14</v>
      </c>
      <c r="B24" t="s">
        <v>15</v>
      </c>
      <c r="C24" t="s">
        <v>51</v>
      </c>
      <c r="D24" s="1">
        <v>0.1</v>
      </c>
      <c r="E24" t="s">
        <v>52</v>
      </c>
      <c r="F24" s="1">
        <v>0.25</v>
      </c>
      <c r="G24" t="s">
        <v>30</v>
      </c>
      <c r="H24" s="1">
        <v>0.1</v>
      </c>
      <c r="I24" s="1"/>
      <c r="J24" s="1">
        <v>0.45</v>
      </c>
      <c r="K24" s="1">
        <v>0.45</v>
      </c>
      <c r="L24" s="1">
        <v>0.42</v>
      </c>
      <c r="M24" s="1">
        <v>0.37</v>
      </c>
      <c r="N24" s="1">
        <v>0.32</v>
      </c>
    </row>
    <row r="25" spans="1:14" x14ac:dyDescent="0.3">
      <c r="A25" t="s">
        <v>14</v>
      </c>
      <c r="B25" t="s">
        <v>15</v>
      </c>
      <c r="C25" t="s">
        <v>48</v>
      </c>
      <c r="D25" s="1">
        <v>0.1</v>
      </c>
      <c r="E25" t="s">
        <v>53</v>
      </c>
      <c r="F25" s="1">
        <v>0.25</v>
      </c>
      <c r="G25" t="s">
        <v>24</v>
      </c>
      <c r="H25" s="1">
        <v>0.95</v>
      </c>
      <c r="I25" s="1"/>
      <c r="J25" s="1">
        <v>0.45</v>
      </c>
      <c r="K25" s="1">
        <v>0.45</v>
      </c>
      <c r="L25" s="1">
        <v>0.42</v>
      </c>
      <c r="M25" s="1">
        <v>0.37</v>
      </c>
      <c r="N25" s="1">
        <v>0.32</v>
      </c>
    </row>
    <row r="26" spans="1:14" x14ac:dyDescent="0.3">
      <c r="A26" t="s">
        <v>14</v>
      </c>
      <c r="B26" t="s">
        <v>15</v>
      </c>
      <c r="C26" t="s">
        <v>54</v>
      </c>
      <c r="D26" s="1">
        <v>0.05</v>
      </c>
      <c r="E26" t="s">
        <v>55</v>
      </c>
      <c r="F26" s="1">
        <v>0.3</v>
      </c>
      <c r="G26" t="s">
        <v>56</v>
      </c>
      <c r="H26" s="1">
        <v>0.3</v>
      </c>
      <c r="I26" s="1">
        <f>SUMPRODUCT(H26:H29,F26:F29)*D26</f>
        <v>2.2750000000000003E-2</v>
      </c>
      <c r="J26" s="1">
        <v>0.38</v>
      </c>
      <c r="K26" s="1">
        <v>0.38</v>
      </c>
      <c r="L26" s="1">
        <v>0.35</v>
      </c>
      <c r="M26" s="1">
        <v>0.31</v>
      </c>
      <c r="N26" s="1">
        <v>0.27</v>
      </c>
    </row>
    <row r="27" spans="1:14" x14ac:dyDescent="0.3">
      <c r="A27" t="s">
        <v>14</v>
      </c>
      <c r="B27" t="s">
        <v>15</v>
      </c>
      <c r="C27" t="s">
        <v>54</v>
      </c>
      <c r="D27" s="1">
        <v>0.05</v>
      </c>
      <c r="E27" t="s">
        <v>57</v>
      </c>
      <c r="F27" s="1">
        <v>0.25</v>
      </c>
      <c r="G27" t="s">
        <v>20</v>
      </c>
      <c r="H27" s="1">
        <v>0.6</v>
      </c>
      <c r="I27" s="1"/>
      <c r="J27" s="1">
        <v>0.38</v>
      </c>
      <c r="K27" s="1">
        <v>0.38</v>
      </c>
      <c r="L27" s="1">
        <v>0.35</v>
      </c>
      <c r="M27" s="1">
        <v>0.31</v>
      </c>
      <c r="N27" s="1">
        <v>0.27</v>
      </c>
    </row>
    <row r="28" spans="1:14" x14ac:dyDescent="0.3">
      <c r="A28" t="s">
        <v>14</v>
      </c>
      <c r="B28" t="s">
        <v>15</v>
      </c>
      <c r="C28" t="s">
        <v>54</v>
      </c>
      <c r="D28" s="1">
        <v>0.05</v>
      </c>
      <c r="E28" t="s">
        <v>58</v>
      </c>
      <c r="F28" s="1">
        <v>0.25</v>
      </c>
      <c r="G28" t="s">
        <v>30</v>
      </c>
      <c r="H28" s="1">
        <v>0.1</v>
      </c>
      <c r="I28" s="1"/>
      <c r="J28" s="1">
        <v>0.38</v>
      </c>
      <c r="K28" s="1">
        <v>0.38</v>
      </c>
      <c r="L28" s="1">
        <v>0.35</v>
      </c>
      <c r="M28" s="1">
        <v>0.31</v>
      </c>
      <c r="N28" s="1">
        <v>0.27</v>
      </c>
    </row>
    <row r="29" spans="1:14" x14ac:dyDescent="0.3">
      <c r="A29" t="s">
        <v>14</v>
      </c>
      <c r="B29" t="s">
        <v>15</v>
      </c>
      <c r="C29" t="s">
        <v>54</v>
      </c>
      <c r="D29" s="1">
        <v>0.05</v>
      </c>
      <c r="E29" t="s">
        <v>59</v>
      </c>
      <c r="F29" s="1">
        <v>0.2</v>
      </c>
      <c r="G29" t="s">
        <v>24</v>
      </c>
      <c r="H29" s="1">
        <v>0.95</v>
      </c>
      <c r="I29" s="1"/>
      <c r="J29" s="1">
        <v>0.38</v>
      </c>
      <c r="K29" s="1">
        <v>0.38</v>
      </c>
      <c r="L29" s="1">
        <v>0.35</v>
      </c>
      <c r="M29" s="1">
        <v>0.31</v>
      </c>
      <c r="N29" s="1">
        <v>0.27</v>
      </c>
    </row>
    <row r="30" spans="1:14" x14ac:dyDescent="0.3">
      <c r="D30" s="1"/>
      <c r="F30" s="1"/>
      <c r="H30" s="1"/>
      <c r="I30" s="2">
        <f>SUM(I2:I29)</f>
        <v>0.7220000000000002</v>
      </c>
      <c r="J30" s="2">
        <f>J2*$D2+J6*$D6+J10*$D10+J14*$D14+J18*$D18+J22*$D22+J26*$D26</f>
        <v>0.56500000000000006</v>
      </c>
      <c r="K30" s="2">
        <f t="shared" ref="K30:N30" si="0">K2*$D2+K6*$D6+K10*$D10+K14*$D14+K18*$D18+K22*$D22+K26*$D26</f>
        <v>0.56500000000000006</v>
      </c>
      <c r="L30" s="2">
        <f t="shared" si="0"/>
        <v>0.52749999999999986</v>
      </c>
      <c r="M30" s="2">
        <f t="shared" si="0"/>
        <v>0.47050000000000003</v>
      </c>
      <c r="N30" s="2">
        <f t="shared" si="0"/>
        <v>0.40600000000000008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14</v>
      </c>
      <c r="B32" t="s">
        <v>60</v>
      </c>
      <c r="C32" t="s">
        <v>61</v>
      </c>
      <c r="D32" s="1">
        <v>0.2</v>
      </c>
      <c r="E32" t="s">
        <v>62</v>
      </c>
      <c r="F32" s="1">
        <v>0.35</v>
      </c>
      <c r="G32" t="s">
        <v>18</v>
      </c>
      <c r="H32" s="1">
        <v>0.9</v>
      </c>
      <c r="I32" s="1">
        <f>SUMPRODUCT(H32:H35,F32:F35)*D32</f>
        <v>0.17000000000000004</v>
      </c>
      <c r="J32" s="1">
        <v>0.66</v>
      </c>
      <c r="K32" s="1">
        <v>0.66</v>
      </c>
      <c r="L32" s="1">
        <v>0.62</v>
      </c>
      <c r="M32" s="1">
        <v>0.56000000000000005</v>
      </c>
      <c r="N32" s="1">
        <v>0.48</v>
      </c>
    </row>
    <row r="33" spans="1:14" x14ac:dyDescent="0.3">
      <c r="A33" t="s">
        <v>14</v>
      </c>
      <c r="B33" t="s">
        <v>60</v>
      </c>
      <c r="C33" t="s">
        <v>61</v>
      </c>
      <c r="D33" s="1">
        <v>0.2</v>
      </c>
      <c r="E33" t="s">
        <v>63</v>
      </c>
      <c r="F33" s="1">
        <v>0.25</v>
      </c>
      <c r="G33" t="s">
        <v>18</v>
      </c>
      <c r="H33" s="1">
        <v>0.9</v>
      </c>
      <c r="I33" s="1"/>
      <c r="J33" s="1">
        <v>0.66</v>
      </c>
      <c r="K33" s="1">
        <v>0.66</v>
      </c>
      <c r="L33" s="1">
        <v>0.62</v>
      </c>
      <c r="M33" s="1">
        <v>0.56000000000000005</v>
      </c>
      <c r="N33" s="1">
        <v>0.48</v>
      </c>
    </row>
    <row r="34" spans="1:14" x14ac:dyDescent="0.3">
      <c r="A34" t="s">
        <v>14</v>
      </c>
      <c r="B34" t="s">
        <v>60</v>
      </c>
      <c r="C34" t="s">
        <v>61</v>
      </c>
      <c r="D34" s="1">
        <v>0.2</v>
      </c>
      <c r="E34" t="s">
        <v>64</v>
      </c>
      <c r="F34" s="1">
        <v>0.2</v>
      </c>
      <c r="G34" t="s">
        <v>20</v>
      </c>
      <c r="H34" s="1">
        <v>0.6</v>
      </c>
      <c r="I34" s="1"/>
      <c r="J34" s="1">
        <v>0.66</v>
      </c>
      <c r="K34" s="1">
        <v>0.66</v>
      </c>
      <c r="L34" s="1">
        <v>0.62</v>
      </c>
      <c r="M34" s="1">
        <v>0.56000000000000005</v>
      </c>
      <c r="N34" s="1">
        <v>0.48</v>
      </c>
    </row>
    <row r="35" spans="1:14" x14ac:dyDescent="0.3">
      <c r="A35" t="s">
        <v>14</v>
      </c>
      <c r="B35" t="s">
        <v>60</v>
      </c>
      <c r="C35" t="s">
        <v>61</v>
      </c>
      <c r="D35" s="1">
        <v>0.2</v>
      </c>
      <c r="E35" t="s">
        <v>65</v>
      </c>
      <c r="F35" s="1">
        <v>0.2</v>
      </c>
      <c r="G35" t="s">
        <v>24</v>
      </c>
      <c r="H35" s="1">
        <v>0.95</v>
      </c>
      <c r="I35" s="1"/>
      <c r="J35" s="1">
        <v>0.66</v>
      </c>
      <c r="K35" s="1">
        <v>0.66</v>
      </c>
      <c r="L35" s="1">
        <v>0.62</v>
      </c>
      <c r="M35" s="1">
        <v>0.56000000000000005</v>
      </c>
      <c r="N35" s="1">
        <v>0.48</v>
      </c>
    </row>
    <row r="36" spans="1:14" x14ac:dyDescent="0.3">
      <c r="A36" t="s">
        <v>14</v>
      </c>
      <c r="B36" t="s">
        <v>60</v>
      </c>
      <c r="C36" t="s">
        <v>66</v>
      </c>
      <c r="D36" s="1">
        <v>0.15</v>
      </c>
      <c r="E36" t="s">
        <v>67</v>
      </c>
      <c r="F36" s="1">
        <v>0.25</v>
      </c>
      <c r="G36" t="s">
        <v>28</v>
      </c>
      <c r="H36" s="1">
        <v>0.7</v>
      </c>
      <c r="I36" s="1">
        <f>SUMPRODUCT(H36:H39,F36:F39)*D36</f>
        <v>7.8E-2</v>
      </c>
      <c r="J36" s="1">
        <v>0.44</v>
      </c>
      <c r="K36" s="1">
        <v>0.44</v>
      </c>
      <c r="L36" s="1">
        <v>0.41</v>
      </c>
      <c r="M36" s="1">
        <v>0.36</v>
      </c>
      <c r="N36" s="1">
        <v>0.31</v>
      </c>
    </row>
    <row r="37" spans="1:14" x14ac:dyDescent="0.3">
      <c r="A37" t="s">
        <v>14</v>
      </c>
      <c r="B37" t="s">
        <v>60</v>
      </c>
      <c r="C37" t="s">
        <v>66</v>
      </c>
      <c r="D37" s="1">
        <v>0.15</v>
      </c>
      <c r="E37" t="s">
        <v>68</v>
      </c>
      <c r="F37" s="1">
        <v>0.35</v>
      </c>
      <c r="G37" t="s">
        <v>30</v>
      </c>
      <c r="H37" s="1">
        <v>0.1</v>
      </c>
      <c r="I37" s="1"/>
      <c r="J37" s="1">
        <v>0.44</v>
      </c>
      <c r="K37" s="1">
        <v>0.44</v>
      </c>
      <c r="L37" s="1">
        <v>0.41</v>
      </c>
      <c r="M37" s="1">
        <v>0.36</v>
      </c>
      <c r="N37" s="1">
        <v>0.31</v>
      </c>
    </row>
    <row r="38" spans="1:14" x14ac:dyDescent="0.3">
      <c r="A38" t="s">
        <v>14</v>
      </c>
      <c r="B38" t="s">
        <v>60</v>
      </c>
      <c r="C38" t="s">
        <v>66</v>
      </c>
      <c r="D38" s="1">
        <v>0.15</v>
      </c>
      <c r="E38" t="s">
        <v>69</v>
      </c>
      <c r="F38" s="1">
        <v>0.2</v>
      </c>
      <c r="G38" t="s">
        <v>24</v>
      </c>
      <c r="H38" s="1">
        <v>0.95</v>
      </c>
      <c r="I38" s="1"/>
      <c r="J38" s="1">
        <v>0.44</v>
      </c>
      <c r="K38" s="1">
        <v>0.44</v>
      </c>
      <c r="L38" s="1">
        <v>0.41</v>
      </c>
      <c r="M38" s="1">
        <v>0.36</v>
      </c>
      <c r="N38" s="1">
        <v>0.31</v>
      </c>
    </row>
    <row r="39" spans="1:14" x14ac:dyDescent="0.3">
      <c r="A39" t="s">
        <v>14</v>
      </c>
      <c r="B39" t="s">
        <v>60</v>
      </c>
      <c r="C39" t="s">
        <v>66</v>
      </c>
      <c r="D39" s="1">
        <v>0.15</v>
      </c>
      <c r="E39" t="s">
        <v>70</v>
      </c>
      <c r="F39" s="1">
        <v>0.2</v>
      </c>
      <c r="G39" t="s">
        <v>20</v>
      </c>
      <c r="H39" s="1">
        <v>0.6</v>
      </c>
      <c r="I39" s="1"/>
      <c r="J39" s="1">
        <v>0.44</v>
      </c>
      <c r="K39" s="1">
        <v>0.44</v>
      </c>
      <c r="L39" s="1">
        <v>0.41</v>
      </c>
      <c r="M39" s="1">
        <v>0.36</v>
      </c>
      <c r="N39" s="1">
        <v>0.31</v>
      </c>
    </row>
    <row r="40" spans="1:14" x14ac:dyDescent="0.3">
      <c r="A40" t="s">
        <v>14</v>
      </c>
      <c r="B40" t="s">
        <v>60</v>
      </c>
      <c r="C40" t="s">
        <v>16</v>
      </c>
      <c r="D40" s="1">
        <v>0.15</v>
      </c>
      <c r="E40" t="s">
        <v>17</v>
      </c>
      <c r="F40" s="1">
        <v>0.3</v>
      </c>
      <c r="G40" t="s">
        <v>18</v>
      </c>
      <c r="H40" s="1">
        <v>0.9</v>
      </c>
      <c r="I40" s="1">
        <f>SUMPRODUCT(H40:H43,F40:F43)*D40</f>
        <v>0.12412500000000001</v>
      </c>
      <c r="J40" s="1">
        <v>0.62</v>
      </c>
      <c r="K40" s="1">
        <v>0.62</v>
      </c>
      <c r="L40" s="1">
        <v>0.57999999999999996</v>
      </c>
      <c r="M40" s="1">
        <v>0.52</v>
      </c>
      <c r="N40" s="1">
        <v>0.45</v>
      </c>
    </row>
    <row r="41" spans="1:14" x14ac:dyDescent="0.3">
      <c r="A41" t="s">
        <v>14</v>
      </c>
      <c r="B41" t="s">
        <v>60</v>
      </c>
      <c r="C41" t="s">
        <v>16</v>
      </c>
      <c r="D41" s="1">
        <v>0.15</v>
      </c>
      <c r="E41" t="s">
        <v>19</v>
      </c>
      <c r="F41" s="1">
        <v>0.25</v>
      </c>
      <c r="G41" t="s">
        <v>20</v>
      </c>
      <c r="H41" s="1">
        <v>0.6</v>
      </c>
      <c r="I41" s="1"/>
      <c r="J41" s="1">
        <v>0.62</v>
      </c>
      <c r="K41" s="1">
        <v>0.62</v>
      </c>
      <c r="L41" s="1">
        <v>0.57999999999999996</v>
      </c>
      <c r="M41" s="1">
        <v>0.52</v>
      </c>
      <c r="N41" s="1">
        <v>0.45</v>
      </c>
    </row>
    <row r="42" spans="1:14" x14ac:dyDescent="0.3">
      <c r="A42" t="s">
        <v>14</v>
      </c>
      <c r="B42" t="s">
        <v>60</v>
      </c>
      <c r="C42" t="s">
        <v>16</v>
      </c>
      <c r="D42" s="1">
        <v>0.15</v>
      </c>
      <c r="E42" t="s">
        <v>21</v>
      </c>
      <c r="F42" s="1">
        <v>0.2</v>
      </c>
      <c r="G42" t="s">
        <v>22</v>
      </c>
      <c r="H42" s="1">
        <v>0.85</v>
      </c>
      <c r="I42" s="1"/>
      <c r="J42" s="1">
        <v>0.62</v>
      </c>
      <c r="K42" s="1">
        <v>0.62</v>
      </c>
      <c r="L42" s="1">
        <v>0.57999999999999996</v>
      </c>
      <c r="M42" s="1">
        <v>0.52</v>
      </c>
      <c r="N42" s="1">
        <v>0.45</v>
      </c>
    </row>
    <row r="43" spans="1:14" x14ac:dyDescent="0.3">
      <c r="A43" t="s">
        <v>14</v>
      </c>
      <c r="B43" t="s">
        <v>60</v>
      </c>
      <c r="C43" t="s">
        <v>16</v>
      </c>
      <c r="D43" s="1">
        <v>0.15</v>
      </c>
      <c r="E43" t="s">
        <v>23</v>
      </c>
      <c r="F43" s="1">
        <v>0.25</v>
      </c>
      <c r="G43" t="s">
        <v>24</v>
      </c>
      <c r="H43" s="1">
        <v>0.95</v>
      </c>
      <c r="I43" s="1"/>
      <c r="J43" s="1">
        <v>0.62</v>
      </c>
      <c r="K43" s="1">
        <v>0.62</v>
      </c>
      <c r="L43" s="1">
        <v>0.57999999999999996</v>
      </c>
      <c r="M43" s="1">
        <v>0.52</v>
      </c>
      <c r="N43" s="1">
        <v>0.45</v>
      </c>
    </row>
    <row r="44" spans="1:14" x14ac:dyDescent="0.3">
      <c r="A44" t="s">
        <v>14</v>
      </c>
      <c r="B44" t="s">
        <v>60</v>
      </c>
      <c r="C44" t="s">
        <v>25</v>
      </c>
      <c r="D44" s="1">
        <v>0.1</v>
      </c>
      <c r="E44" t="s">
        <v>26</v>
      </c>
      <c r="F44" s="1">
        <v>0.25</v>
      </c>
      <c r="G44" t="s">
        <v>18</v>
      </c>
      <c r="H44" s="1">
        <v>0.9</v>
      </c>
      <c r="I44" s="1">
        <f>SUMPRODUCT(H44:H47,F44:F47)*D44</f>
        <v>6.2000000000000013E-2</v>
      </c>
      <c r="J44" s="1">
        <v>0.5</v>
      </c>
      <c r="K44" s="1">
        <v>0.5</v>
      </c>
      <c r="L44" s="1">
        <v>0.47</v>
      </c>
      <c r="M44" s="1">
        <v>0.42</v>
      </c>
      <c r="N44" s="1">
        <v>0.36</v>
      </c>
    </row>
    <row r="45" spans="1:14" x14ac:dyDescent="0.3">
      <c r="A45" t="s">
        <v>14</v>
      </c>
      <c r="B45" t="s">
        <v>60</v>
      </c>
      <c r="C45" t="s">
        <v>25</v>
      </c>
      <c r="D45" s="1">
        <v>0.1</v>
      </c>
      <c r="E45" t="s">
        <v>27</v>
      </c>
      <c r="F45" s="1">
        <v>0.25</v>
      </c>
      <c r="G45" t="s">
        <v>28</v>
      </c>
      <c r="H45" s="1">
        <v>0.7</v>
      </c>
      <c r="I45" s="1"/>
      <c r="J45" s="1">
        <v>0.5</v>
      </c>
      <c r="K45" s="1">
        <v>0.5</v>
      </c>
      <c r="L45" s="1">
        <v>0.47</v>
      </c>
      <c r="M45" s="1">
        <v>0.42</v>
      </c>
      <c r="N45" s="1">
        <v>0.36</v>
      </c>
    </row>
    <row r="46" spans="1:14" x14ac:dyDescent="0.3">
      <c r="A46" t="s">
        <v>14</v>
      </c>
      <c r="B46" t="s">
        <v>60</v>
      </c>
      <c r="C46" t="s">
        <v>25</v>
      </c>
      <c r="D46" s="1">
        <v>0.1</v>
      </c>
      <c r="E46" t="s">
        <v>29</v>
      </c>
      <c r="F46" s="1">
        <v>0.3</v>
      </c>
      <c r="G46" t="s">
        <v>30</v>
      </c>
      <c r="H46" s="1">
        <v>0.1</v>
      </c>
      <c r="I46" s="1"/>
      <c r="J46" s="1">
        <v>0.5</v>
      </c>
      <c r="K46" s="1">
        <v>0.5</v>
      </c>
      <c r="L46" s="1">
        <v>0.47</v>
      </c>
      <c r="M46" s="1">
        <v>0.42</v>
      </c>
      <c r="N46" s="1">
        <v>0.36</v>
      </c>
    </row>
    <row r="47" spans="1:14" x14ac:dyDescent="0.3">
      <c r="A47" t="s">
        <v>14</v>
      </c>
      <c r="B47" t="s">
        <v>60</v>
      </c>
      <c r="C47" t="s">
        <v>25</v>
      </c>
      <c r="D47" s="1">
        <v>0.1</v>
      </c>
      <c r="E47" t="s">
        <v>31</v>
      </c>
      <c r="F47" s="1">
        <v>0.2</v>
      </c>
      <c r="G47" t="s">
        <v>24</v>
      </c>
      <c r="H47" s="1">
        <v>0.95</v>
      </c>
      <c r="I47" s="1"/>
      <c r="J47" s="1">
        <v>0.5</v>
      </c>
      <c r="K47" s="1">
        <v>0.5</v>
      </c>
      <c r="L47" s="1">
        <v>0.47</v>
      </c>
      <c r="M47" s="1">
        <v>0.42</v>
      </c>
      <c r="N47" s="1">
        <v>0.36</v>
      </c>
    </row>
    <row r="48" spans="1:14" x14ac:dyDescent="0.3">
      <c r="A48" t="s">
        <v>14</v>
      </c>
      <c r="B48" t="s">
        <v>60</v>
      </c>
      <c r="C48" t="s">
        <v>71</v>
      </c>
      <c r="D48" s="1">
        <v>0.1</v>
      </c>
      <c r="E48" t="s">
        <v>72</v>
      </c>
      <c r="F48" s="1">
        <v>0.3</v>
      </c>
      <c r="G48" t="s">
        <v>73</v>
      </c>
      <c r="H48" s="1">
        <v>0.7</v>
      </c>
      <c r="I48" s="1">
        <f>SUMPRODUCT(H48:H51,F48:F51)*D48</f>
        <v>5.2500000000000005E-2</v>
      </c>
      <c r="J48" s="1">
        <v>0.5</v>
      </c>
      <c r="K48" s="1">
        <v>0.5</v>
      </c>
      <c r="L48" s="1">
        <v>0.47</v>
      </c>
      <c r="M48" s="1">
        <v>0.42</v>
      </c>
      <c r="N48" s="1">
        <v>0.36</v>
      </c>
    </row>
    <row r="49" spans="1:14" x14ac:dyDescent="0.3">
      <c r="A49" t="s">
        <v>14</v>
      </c>
      <c r="B49" t="s">
        <v>60</v>
      </c>
      <c r="C49" t="s">
        <v>71</v>
      </c>
      <c r="D49" s="1">
        <v>0.1</v>
      </c>
      <c r="E49" t="s">
        <v>74</v>
      </c>
      <c r="F49" s="1">
        <v>0.25</v>
      </c>
      <c r="G49" t="s">
        <v>20</v>
      </c>
      <c r="H49" s="1">
        <v>0.6</v>
      </c>
      <c r="I49" s="1"/>
      <c r="J49" s="1">
        <v>0.5</v>
      </c>
      <c r="K49" s="1">
        <v>0.5</v>
      </c>
      <c r="L49" s="1">
        <v>0.47</v>
      </c>
      <c r="M49" s="1">
        <v>0.42</v>
      </c>
      <c r="N49" s="1">
        <v>0.36</v>
      </c>
    </row>
    <row r="50" spans="1:14" x14ac:dyDescent="0.3">
      <c r="A50" t="s">
        <v>14</v>
      </c>
      <c r="B50" t="s">
        <v>60</v>
      </c>
      <c r="C50" t="s">
        <v>71</v>
      </c>
      <c r="D50" s="1">
        <v>0.1</v>
      </c>
      <c r="E50" t="s">
        <v>75</v>
      </c>
      <c r="F50" s="1">
        <v>0.2</v>
      </c>
      <c r="G50" t="s">
        <v>28</v>
      </c>
      <c r="H50" s="1">
        <v>0.7</v>
      </c>
      <c r="I50" s="1"/>
      <c r="J50" s="1">
        <v>0.5</v>
      </c>
      <c r="K50" s="1">
        <v>0.5</v>
      </c>
      <c r="L50" s="1">
        <v>0.47</v>
      </c>
      <c r="M50" s="1">
        <v>0.42</v>
      </c>
      <c r="N50" s="1">
        <v>0.36</v>
      </c>
    </row>
    <row r="51" spans="1:14" x14ac:dyDescent="0.3">
      <c r="A51" t="s">
        <v>14</v>
      </c>
      <c r="B51" t="s">
        <v>60</v>
      </c>
      <c r="C51" t="s">
        <v>71</v>
      </c>
      <c r="D51" s="1">
        <v>0.1</v>
      </c>
      <c r="E51" t="s">
        <v>76</v>
      </c>
      <c r="F51" s="1">
        <v>0.25</v>
      </c>
      <c r="G51" t="s">
        <v>30</v>
      </c>
      <c r="H51" s="1">
        <v>0.1</v>
      </c>
      <c r="I51" s="1"/>
      <c r="J51" s="1">
        <v>0.5</v>
      </c>
      <c r="K51" s="1">
        <v>0.5</v>
      </c>
      <c r="L51" s="1">
        <v>0.47</v>
      </c>
      <c r="M51" s="1">
        <v>0.42</v>
      </c>
      <c r="N51" s="1">
        <v>0.36</v>
      </c>
    </row>
    <row r="52" spans="1:14" x14ac:dyDescent="0.3">
      <c r="A52" t="s">
        <v>14</v>
      </c>
      <c r="B52" t="s">
        <v>60</v>
      </c>
      <c r="C52" t="s">
        <v>37</v>
      </c>
      <c r="D52" s="1">
        <v>0.15</v>
      </c>
      <c r="E52" t="s">
        <v>38</v>
      </c>
      <c r="F52" s="1">
        <v>0.3</v>
      </c>
      <c r="G52" t="s">
        <v>18</v>
      </c>
      <c r="H52" s="1">
        <v>0.9</v>
      </c>
      <c r="I52" s="1">
        <f>SUMPRODUCT(H52:H55,F52:F55)*D52</f>
        <v>0.1215</v>
      </c>
      <c r="J52" s="1">
        <v>0.64</v>
      </c>
      <c r="K52" s="1">
        <v>0.64</v>
      </c>
      <c r="L52" s="1">
        <v>0.6</v>
      </c>
      <c r="M52" s="1">
        <v>0.54</v>
      </c>
      <c r="N52" s="1">
        <v>0.47</v>
      </c>
    </row>
    <row r="53" spans="1:14" x14ac:dyDescent="0.3">
      <c r="A53" t="s">
        <v>14</v>
      </c>
      <c r="B53" t="s">
        <v>60</v>
      </c>
      <c r="C53" t="s">
        <v>37</v>
      </c>
      <c r="D53" s="1">
        <v>0.15</v>
      </c>
      <c r="E53" t="s">
        <v>39</v>
      </c>
      <c r="F53" s="1">
        <v>0.25</v>
      </c>
      <c r="G53" t="s">
        <v>40</v>
      </c>
      <c r="H53" s="1">
        <v>0.7</v>
      </c>
      <c r="I53" s="1"/>
      <c r="J53" s="1">
        <v>0.64</v>
      </c>
      <c r="K53" s="1">
        <v>0.64</v>
      </c>
      <c r="L53" s="1">
        <v>0.6</v>
      </c>
      <c r="M53" s="1">
        <v>0.54</v>
      </c>
      <c r="N53" s="1">
        <v>0.47</v>
      </c>
    </row>
    <row r="54" spans="1:14" x14ac:dyDescent="0.3">
      <c r="A54" t="s">
        <v>14</v>
      </c>
      <c r="B54" t="s">
        <v>60</v>
      </c>
      <c r="C54" t="s">
        <v>37</v>
      </c>
      <c r="D54" s="1">
        <v>0.15</v>
      </c>
      <c r="E54" t="s">
        <v>41</v>
      </c>
      <c r="F54" s="1">
        <v>0.25</v>
      </c>
      <c r="G54" t="s">
        <v>28</v>
      </c>
      <c r="H54" s="1">
        <v>0.7</v>
      </c>
      <c r="I54" s="1"/>
      <c r="J54" s="1">
        <v>0.64</v>
      </c>
      <c r="K54" s="1">
        <v>0.64</v>
      </c>
      <c r="L54" s="1">
        <v>0.6</v>
      </c>
      <c r="M54" s="1">
        <v>0.54</v>
      </c>
      <c r="N54" s="1">
        <v>0.47</v>
      </c>
    </row>
    <row r="55" spans="1:14" x14ac:dyDescent="0.3">
      <c r="A55" t="s">
        <v>14</v>
      </c>
      <c r="B55" t="s">
        <v>60</v>
      </c>
      <c r="C55" t="s">
        <v>37</v>
      </c>
      <c r="D55" s="1">
        <v>0.15</v>
      </c>
      <c r="E55" t="s">
        <v>42</v>
      </c>
      <c r="F55" s="1">
        <v>0.2</v>
      </c>
      <c r="G55" t="s">
        <v>24</v>
      </c>
      <c r="H55" s="1">
        <v>0.95</v>
      </c>
      <c r="I55" s="1"/>
      <c r="J55" s="1">
        <v>0.64</v>
      </c>
      <c r="K55" s="1">
        <v>0.64</v>
      </c>
      <c r="L55" s="1">
        <v>0.6</v>
      </c>
      <c r="M55" s="1">
        <v>0.54</v>
      </c>
      <c r="N55" s="1">
        <v>0.47</v>
      </c>
    </row>
    <row r="56" spans="1:14" x14ac:dyDescent="0.3">
      <c r="A56" t="s">
        <v>14</v>
      </c>
      <c r="B56" t="s">
        <v>60</v>
      </c>
      <c r="C56" t="s">
        <v>48</v>
      </c>
      <c r="D56" s="1">
        <v>0.1</v>
      </c>
      <c r="E56" t="s">
        <v>49</v>
      </c>
      <c r="F56" s="1">
        <v>0.25</v>
      </c>
      <c r="G56" t="s">
        <v>40</v>
      </c>
      <c r="H56" s="1">
        <v>0.7</v>
      </c>
      <c r="I56" s="1">
        <f>SUMPRODUCT(H56:H59,F56:F59)*D56</f>
        <v>5.8749999999999997E-2</v>
      </c>
      <c r="J56" s="1">
        <v>0.45</v>
      </c>
      <c r="K56" s="1">
        <v>0.45</v>
      </c>
      <c r="L56" s="1">
        <v>0.42</v>
      </c>
      <c r="M56" s="1">
        <v>0.37</v>
      </c>
      <c r="N56" s="1">
        <v>0.32</v>
      </c>
    </row>
    <row r="57" spans="1:14" x14ac:dyDescent="0.3">
      <c r="A57" t="s">
        <v>14</v>
      </c>
      <c r="B57" t="s">
        <v>60</v>
      </c>
      <c r="C57" t="s">
        <v>48</v>
      </c>
      <c r="D57" s="1">
        <v>0.1</v>
      </c>
      <c r="E57" t="s">
        <v>50</v>
      </c>
      <c r="F57" s="1">
        <v>0.25</v>
      </c>
      <c r="G57" t="s">
        <v>20</v>
      </c>
      <c r="H57" s="1">
        <v>0.6</v>
      </c>
      <c r="I57" s="1"/>
      <c r="J57" s="1">
        <v>0.45</v>
      </c>
      <c r="K57" s="1">
        <v>0.45</v>
      </c>
      <c r="L57" s="1">
        <v>0.42</v>
      </c>
      <c r="M57" s="1">
        <v>0.37</v>
      </c>
      <c r="N57" s="1">
        <v>0.32</v>
      </c>
    </row>
    <row r="58" spans="1:14" x14ac:dyDescent="0.3">
      <c r="A58" t="s">
        <v>14</v>
      </c>
      <c r="B58" t="s">
        <v>60</v>
      </c>
      <c r="C58" t="s">
        <v>48</v>
      </c>
      <c r="D58" s="1">
        <v>0.1</v>
      </c>
      <c r="E58" t="s">
        <v>52</v>
      </c>
      <c r="F58" s="1">
        <v>0.25</v>
      </c>
      <c r="G58" t="s">
        <v>30</v>
      </c>
      <c r="H58" s="1">
        <v>0.1</v>
      </c>
      <c r="I58" s="1"/>
      <c r="J58" s="1">
        <v>0.45</v>
      </c>
      <c r="K58" s="1">
        <v>0.45</v>
      </c>
      <c r="L58" s="1">
        <v>0.42</v>
      </c>
      <c r="M58" s="1">
        <v>0.37</v>
      </c>
      <c r="N58" s="1">
        <v>0.32</v>
      </c>
    </row>
    <row r="59" spans="1:14" x14ac:dyDescent="0.3">
      <c r="A59" t="s">
        <v>14</v>
      </c>
      <c r="B59" t="s">
        <v>60</v>
      </c>
      <c r="C59" t="s">
        <v>48</v>
      </c>
      <c r="D59" s="1">
        <v>0.1</v>
      </c>
      <c r="E59" t="s">
        <v>53</v>
      </c>
      <c r="F59" s="1">
        <v>0.25</v>
      </c>
      <c r="G59" t="s">
        <v>24</v>
      </c>
      <c r="H59" s="1">
        <v>0.95</v>
      </c>
      <c r="I59" s="1"/>
      <c r="J59" s="1">
        <v>0.45</v>
      </c>
      <c r="K59" s="1">
        <v>0.45</v>
      </c>
      <c r="L59" s="1">
        <v>0.42</v>
      </c>
      <c r="M59" s="1">
        <v>0.37</v>
      </c>
      <c r="N59" s="1">
        <v>0.32</v>
      </c>
    </row>
    <row r="60" spans="1:14" x14ac:dyDescent="0.3">
      <c r="A60" t="s">
        <v>14</v>
      </c>
      <c r="B60" t="s">
        <v>60</v>
      </c>
      <c r="C60" t="s">
        <v>54</v>
      </c>
      <c r="D60" s="1">
        <v>0.05</v>
      </c>
      <c r="E60" t="s">
        <v>55</v>
      </c>
      <c r="F60" s="1">
        <v>0.3</v>
      </c>
      <c r="G60" t="s">
        <v>56</v>
      </c>
      <c r="H60" s="1">
        <v>0.3</v>
      </c>
      <c r="I60" s="1">
        <f>SUMPRODUCT(H60:H63,F60:F63)*D60</f>
        <v>2.2750000000000003E-2</v>
      </c>
      <c r="J60" s="1">
        <v>0.38</v>
      </c>
      <c r="K60" s="1">
        <v>0.38</v>
      </c>
      <c r="L60" s="1">
        <v>0.35</v>
      </c>
      <c r="M60" s="1">
        <v>0.31</v>
      </c>
      <c r="N60" s="1">
        <v>0.27</v>
      </c>
    </row>
    <row r="61" spans="1:14" x14ac:dyDescent="0.3">
      <c r="A61" t="s">
        <v>14</v>
      </c>
      <c r="B61" t="s">
        <v>60</v>
      </c>
      <c r="C61" t="s">
        <v>54</v>
      </c>
      <c r="D61" s="1">
        <v>0.05</v>
      </c>
      <c r="E61" t="s">
        <v>57</v>
      </c>
      <c r="F61" s="1">
        <v>0.25</v>
      </c>
      <c r="G61" t="s">
        <v>20</v>
      </c>
      <c r="H61" s="1">
        <v>0.6</v>
      </c>
      <c r="I61" s="1"/>
      <c r="J61" s="1">
        <v>0.38</v>
      </c>
      <c r="K61" s="1">
        <v>0.38</v>
      </c>
      <c r="L61" s="1">
        <v>0.35</v>
      </c>
      <c r="M61" s="1">
        <v>0.31</v>
      </c>
      <c r="N61" s="1">
        <v>0.27</v>
      </c>
    </row>
    <row r="62" spans="1:14" x14ac:dyDescent="0.3">
      <c r="A62" t="s">
        <v>14</v>
      </c>
      <c r="B62" t="s">
        <v>60</v>
      </c>
      <c r="C62" t="s">
        <v>54</v>
      </c>
      <c r="D62" s="1">
        <v>0.05</v>
      </c>
      <c r="E62" t="s">
        <v>58</v>
      </c>
      <c r="F62" s="1">
        <v>0.25</v>
      </c>
      <c r="G62" t="s">
        <v>30</v>
      </c>
      <c r="H62" s="1">
        <v>0.1</v>
      </c>
      <c r="I62" s="1"/>
      <c r="J62" s="1">
        <v>0.38</v>
      </c>
      <c r="K62" s="1">
        <v>0.38</v>
      </c>
      <c r="L62" s="1">
        <v>0.35</v>
      </c>
      <c r="M62" s="1">
        <v>0.31</v>
      </c>
      <c r="N62" s="1">
        <v>0.27</v>
      </c>
    </row>
    <row r="63" spans="1:14" x14ac:dyDescent="0.3">
      <c r="A63" t="s">
        <v>14</v>
      </c>
      <c r="B63" t="s">
        <v>60</v>
      </c>
      <c r="C63" t="s">
        <v>54</v>
      </c>
      <c r="D63" s="1">
        <v>0.05</v>
      </c>
      <c r="E63" t="s">
        <v>59</v>
      </c>
      <c r="F63" s="1">
        <v>0.2</v>
      </c>
      <c r="G63" t="s">
        <v>24</v>
      </c>
      <c r="H63" s="1">
        <v>0.95</v>
      </c>
      <c r="I63" s="1"/>
      <c r="J63" s="1">
        <v>0.38</v>
      </c>
      <c r="K63" s="1">
        <v>0.38</v>
      </c>
      <c r="L63" s="1">
        <v>0.35</v>
      </c>
      <c r="M63" s="1">
        <v>0.31</v>
      </c>
      <c r="N63" s="1">
        <v>0.27</v>
      </c>
    </row>
    <row r="64" spans="1:14" x14ac:dyDescent="0.3">
      <c r="D64" s="1"/>
      <c r="F64" s="1"/>
      <c r="H64" s="1"/>
      <c r="I64" s="2">
        <f>SUM(I36:I63)</f>
        <v>0.519625</v>
      </c>
      <c r="J64" s="2">
        <f>J36*$D36+J40*$D40+J44*$D44+J48*$D48+J52*$D52+J56*$D56+J60*$D60</f>
        <v>0.41899999999999998</v>
      </c>
      <c r="K64" s="2">
        <f t="shared" ref="K64:N64" si="1">K36*$D36+K40*$D40+K44*$D44+K48*$D48+K52*$D52+K56*$D56+K60*$D60</f>
        <v>0.41899999999999998</v>
      </c>
      <c r="L64" s="2">
        <f t="shared" si="1"/>
        <v>0.39200000000000002</v>
      </c>
      <c r="M64" s="2">
        <f t="shared" si="1"/>
        <v>0.34950000000000003</v>
      </c>
      <c r="N64" s="2">
        <f t="shared" si="1"/>
        <v>0.30199999999999999</v>
      </c>
    </row>
    <row r="65" spans="1:14" x14ac:dyDescent="0.3">
      <c r="D65" s="1"/>
      <c r="F65" s="1"/>
      <c r="H65" s="1"/>
      <c r="I65" s="1"/>
      <c r="J65" s="1"/>
      <c r="K65" s="1"/>
      <c r="L65" s="1"/>
      <c r="M65" s="1"/>
      <c r="N65" s="1"/>
    </row>
    <row r="66" spans="1:14" x14ac:dyDescent="0.3">
      <c r="A66" t="s">
        <v>14</v>
      </c>
      <c r="B66" t="s">
        <v>77</v>
      </c>
      <c r="C66" t="s">
        <v>78</v>
      </c>
      <c r="D66" s="1">
        <v>0.35</v>
      </c>
      <c r="E66" t="s">
        <v>67</v>
      </c>
      <c r="F66" s="1">
        <v>0.25</v>
      </c>
      <c r="G66" t="s">
        <v>28</v>
      </c>
      <c r="H66" s="1">
        <v>0.7</v>
      </c>
      <c r="I66" s="1">
        <f>SUMPRODUCT(H66:H69,F66:F69)*D66</f>
        <v>0.182</v>
      </c>
      <c r="J66" s="1">
        <v>0.45</v>
      </c>
      <c r="K66" s="1">
        <v>0.45</v>
      </c>
      <c r="L66" s="1">
        <v>0.42</v>
      </c>
      <c r="M66" s="1">
        <v>0.37</v>
      </c>
      <c r="N66" s="1">
        <v>0.32</v>
      </c>
    </row>
    <row r="67" spans="1:14" x14ac:dyDescent="0.3">
      <c r="A67" t="s">
        <v>14</v>
      </c>
      <c r="B67" t="s">
        <v>77</v>
      </c>
      <c r="C67" t="s">
        <v>78</v>
      </c>
      <c r="D67" s="1">
        <v>0.35</v>
      </c>
      <c r="E67" t="s">
        <v>79</v>
      </c>
      <c r="F67" s="1">
        <v>0.35</v>
      </c>
      <c r="G67" t="s">
        <v>30</v>
      </c>
      <c r="H67" s="1">
        <v>0.1</v>
      </c>
      <c r="I67" s="1"/>
      <c r="J67" s="1">
        <v>0.45</v>
      </c>
      <c r="K67" s="1">
        <v>0.45</v>
      </c>
      <c r="L67" s="1">
        <v>0.42</v>
      </c>
      <c r="M67" s="1">
        <v>0.37</v>
      </c>
      <c r="N67" s="1">
        <v>0.32</v>
      </c>
    </row>
    <row r="68" spans="1:14" x14ac:dyDescent="0.3">
      <c r="A68" t="s">
        <v>14</v>
      </c>
      <c r="B68" t="s">
        <v>77</v>
      </c>
      <c r="C68" t="s">
        <v>78</v>
      </c>
      <c r="D68" s="1">
        <v>0.35</v>
      </c>
      <c r="E68" t="s">
        <v>80</v>
      </c>
      <c r="F68" s="1">
        <v>0.2</v>
      </c>
      <c r="G68" t="s">
        <v>20</v>
      </c>
      <c r="H68" s="1">
        <v>0.6</v>
      </c>
      <c r="I68" s="1"/>
      <c r="J68" s="1">
        <v>0.45</v>
      </c>
      <c r="K68" s="1">
        <v>0.45</v>
      </c>
      <c r="L68" s="1">
        <v>0.42</v>
      </c>
      <c r="M68" s="1">
        <v>0.37</v>
      </c>
      <c r="N68" s="1">
        <v>0.32</v>
      </c>
    </row>
    <row r="69" spans="1:14" x14ac:dyDescent="0.3">
      <c r="A69" t="s">
        <v>14</v>
      </c>
      <c r="B69" t="s">
        <v>77</v>
      </c>
      <c r="C69" t="s">
        <v>78</v>
      </c>
      <c r="D69" s="1">
        <v>0.35</v>
      </c>
      <c r="E69" t="s">
        <v>81</v>
      </c>
      <c r="F69" s="1">
        <v>0.2</v>
      </c>
      <c r="G69" t="s">
        <v>24</v>
      </c>
      <c r="H69" s="1">
        <v>0.95</v>
      </c>
      <c r="I69" s="1"/>
      <c r="J69" s="1">
        <v>0.45</v>
      </c>
      <c r="K69" s="1">
        <v>0.45</v>
      </c>
      <c r="L69" s="1">
        <v>0.42</v>
      </c>
      <c r="M69" s="1">
        <v>0.37</v>
      </c>
      <c r="N69" s="1">
        <v>0.32</v>
      </c>
    </row>
    <row r="70" spans="1:14" x14ac:dyDescent="0.3">
      <c r="A70" t="s">
        <v>14</v>
      </c>
      <c r="B70" t="s">
        <v>77</v>
      </c>
      <c r="C70" t="s">
        <v>82</v>
      </c>
      <c r="D70" s="1">
        <v>0.2</v>
      </c>
      <c r="E70" t="s">
        <v>83</v>
      </c>
      <c r="F70" s="1">
        <v>0.3</v>
      </c>
      <c r="G70" t="s">
        <v>73</v>
      </c>
      <c r="H70" s="1">
        <v>0.7</v>
      </c>
      <c r="I70" s="1">
        <f>SUMPRODUCT(H70:H73,F70:F73)*D70</f>
        <v>9.1000000000000011E-2</v>
      </c>
      <c r="J70" s="1">
        <v>0.48</v>
      </c>
      <c r="K70" s="1">
        <v>0.48</v>
      </c>
      <c r="L70" s="1">
        <v>0.45</v>
      </c>
      <c r="M70" s="1">
        <v>0.4</v>
      </c>
      <c r="N70" s="1">
        <v>0.34</v>
      </c>
    </row>
    <row r="71" spans="1:14" x14ac:dyDescent="0.3">
      <c r="A71" t="s">
        <v>14</v>
      </c>
      <c r="B71" t="s">
        <v>77</v>
      </c>
      <c r="C71" t="s">
        <v>82</v>
      </c>
      <c r="D71" s="1">
        <v>0.2</v>
      </c>
      <c r="E71" t="s">
        <v>84</v>
      </c>
      <c r="F71" s="1">
        <v>0.25</v>
      </c>
      <c r="G71" t="s">
        <v>20</v>
      </c>
      <c r="H71" s="1">
        <v>0.6</v>
      </c>
      <c r="I71" s="1"/>
      <c r="J71" s="1">
        <v>0.48</v>
      </c>
      <c r="K71" s="1">
        <v>0.48</v>
      </c>
      <c r="L71" s="1">
        <v>0.45</v>
      </c>
      <c r="M71" s="1">
        <v>0.4</v>
      </c>
      <c r="N71" s="1">
        <v>0.34</v>
      </c>
    </row>
    <row r="72" spans="1:14" x14ac:dyDescent="0.3">
      <c r="A72" t="s">
        <v>14</v>
      </c>
      <c r="B72" t="s">
        <v>77</v>
      </c>
      <c r="C72" t="s">
        <v>82</v>
      </c>
      <c r="D72" s="1">
        <v>0.2</v>
      </c>
      <c r="E72" t="s">
        <v>85</v>
      </c>
      <c r="F72" s="1">
        <v>0.25</v>
      </c>
      <c r="G72" t="s">
        <v>56</v>
      </c>
      <c r="H72" s="1">
        <v>0.3</v>
      </c>
      <c r="I72" s="1"/>
      <c r="J72" s="1">
        <v>0.48</v>
      </c>
      <c r="K72" s="1">
        <v>0.48</v>
      </c>
      <c r="L72" s="1">
        <v>0.45</v>
      </c>
      <c r="M72" s="1">
        <v>0.4</v>
      </c>
      <c r="N72" s="1">
        <v>0.34</v>
      </c>
    </row>
    <row r="73" spans="1:14" x14ac:dyDescent="0.3">
      <c r="A73" t="s">
        <v>14</v>
      </c>
      <c r="B73" t="s">
        <v>77</v>
      </c>
      <c r="C73" t="s">
        <v>82</v>
      </c>
      <c r="D73" s="1">
        <v>0.2</v>
      </c>
      <c r="E73" t="s">
        <v>86</v>
      </c>
      <c r="F73" s="1">
        <v>0.2</v>
      </c>
      <c r="G73" t="s">
        <v>30</v>
      </c>
      <c r="H73" s="1">
        <v>0.1</v>
      </c>
      <c r="I73" s="1"/>
      <c r="J73" s="1">
        <v>0.48</v>
      </c>
      <c r="K73" s="1">
        <v>0.48</v>
      </c>
      <c r="L73" s="1">
        <v>0.45</v>
      </c>
      <c r="M73" s="1">
        <v>0.4</v>
      </c>
      <c r="N73" s="1">
        <v>0.34</v>
      </c>
    </row>
    <row r="74" spans="1:14" x14ac:dyDescent="0.3">
      <c r="A74" t="s">
        <v>14</v>
      </c>
      <c r="B74" t="s">
        <v>77</v>
      </c>
      <c r="C74" t="s">
        <v>16</v>
      </c>
      <c r="D74" s="1">
        <v>0.1</v>
      </c>
      <c r="E74" t="s">
        <v>17</v>
      </c>
      <c r="F74" s="1">
        <v>0.3</v>
      </c>
      <c r="G74" t="s">
        <v>18</v>
      </c>
      <c r="H74" s="1">
        <v>0.9</v>
      </c>
      <c r="I74" s="1">
        <f>SUMPRODUCT(H74:H77,F74:F77)*D74</f>
        <v>8.2750000000000018E-2</v>
      </c>
      <c r="J74" s="1">
        <v>0.62</v>
      </c>
      <c r="K74" s="1">
        <v>0.62</v>
      </c>
      <c r="L74" s="1">
        <v>0.57999999999999996</v>
      </c>
      <c r="M74" s="1">
        <v>0.52</v>
      </c>
      <c r="N74" s="1">
        <v>0.45</v>
      </c>
    </row>
    <row r="75" spans="1:14" x14ac:dyDescent="0.3">
      <c r="A75" t="s">
        <v>14</v>
      </c>
      <c r="B75" t="s">
        <v>77</v>
      </c>
      <c r="C75" t="s">
        <v>16</v>
      </c>
      <c r="D75" s="1">
        <v>0.1</v>
      </c>
      <c r="E75" t="s">
        <v>19</v>
      </c>
      <c r="F75" s="1">
        <v>0.25</v>
      </c>
      <c r="G75" t="s">
        <v>20</v>
      </c>
      <c r="H75" s="1">
        <v>0.6</v>
      </c>
      <c r="I75" s="1"/>
      <c r="J75" s="1">
        <v>0.62</v>
      </c>
      <c r="K75" s="1">
        <v>0.62</v>
      </c>
      <c r="L75" s="1">
        <v>0.57999999999999996</v>
      </c>
      <c r="M75" s="1">
        <v>0.52</v>
      </c>
      <c r="N75" s="1">
        <v>0.45</v>
      </c>
    </row>
    <row r="76" spans="1:14" x14ac:dyDescent="0.3">
      <c r="A76" t="s">
        <v>14</v>
      </c>
      <c r="B76" t="s">
        <v>77</v>
      </c>
      <c r="C76" t="s">
        <v>16</v>
      </c>
      <c r="D76" s="1">
        <v>0.1</v>
      </c>
      <c r="E76" t="s">
        <v>21</v>
      </c>
      <c r="F76" s="1">
        <v>0.2</v>
      </c>
      <c r="G76" t="s">
        <v>22</v>
      </c>
      <c r="H76" s="1">
        <v>0.85</v>
      </c>
      <c r="I76" s="1"/>
      <c r="J76" s="1">
        <v>0.62</v>
      </c>
      <c r="K76" s="1">
        <v>0.62</v>
      </c>
      <c r="L76" s="1">
        <v>0.57999999999999996</v>
      </c>
      <c r="M76" s="1">
        <v>0.52</v>
      </c>
      <c r="N76" s="1">
        <v>0.45</v>
      </c>
    </row>
    <row r="77" spans="1:14" x14ac:dyDescent="0.3">
      <c r="A77" t="s">
        <v>14</v>
      </c>
      <c r="B77" t="s">
        <v>77</v>
      </c>
      <c r="C77" t="s">
        <v>16</v>
      </c>
      <c r="D77" s="1">
        <v>0.1</v>
      </c>
      <c r="E77" t="s">
        <v>23</v>
      </c>
      <c r="F77" s="1">
        <v>0.25</v>
      </c>
      <c r="G77" t="s">
        <v>24</v>
      </c>
      <c r="H77" s="1">
        <v>0.95</v>
      </c>
      <c r="I77" s="1"/>
      <c r="J77" s="1">
        <v>0.62</v>
      </c>
      <c r="K77" s="1">
        <v>0.62</v>
      </c>
      <c r="L77" s="1">
        <v>0.57999999999999996</v>
      </c>
      <c r="M77" s="1">
        <v>0.52</v>
      </c>
      <c r="N77" s="1">
        <v>0.45</v>
      </c>
    </row>
    <row r="78" spans="1:14" x14ac:dyDescent="0.3">
      <c r="A78" t="s">
        <v>14</v>
      </c>
      <c r="B78" t="s">
        <v>77</v>
      </c>
      <c r="C78" t="s">
        <v>25</v>
      </c>
      <c r="D78" s="1">
        <v>0.08</v>
      </c>
      <c r="E78" t="s">
        <v>26</v>
      </c>
      <c r="F78" s="1">
        <v>0.25</v>
      </c>
      <c r="G78" t="s">
        <v>18</v>
      </c>
      <c r="H78" s="1">
        <v>0.9</v>
      </c>
      <c r="I78" s="1">
        <f>SUMPRODUCT(H78:H81,F78:F81)*D78</f>
        <v>4.9600000000000012E-2</v>
      </c>
      <c r="J78" s="1">
        <v>0.5</v>
      </c>
      <c r="K78" s="1">
        <v>0.5</v>
      </c>
      <c r="L78" s="1">
        <v>0.47</v>
      </c>
      <c r="M78" s="1">
        <v>0.42</v>
      </c>
      <c r="N78" s="1">
        <v>0.36</v>
      </c>
    </row>
    <row r="79" spans="1:14" x14ac:dyDescent="0.3">
      <c r="A79" t="s">
        <v>14</v>
      </c>
      <c r="B79" t="s">
        <v>77</v>
      </c>
      <c r="C79" t="s">
        <v>25</v>
      </c>
      <c r="D79" s="1">
        <v>0.08</v>
      </c>
      <c r="E79" t="s">
        <v>27</v>
      </c>
      <c r="F79" s="1">
        <v>0.25</v>
      </c>
      <c r="G79" t="s">
        <v>28</v>
      </c>
      <c r="H79" s="1">
        <v>0.7</v>
      </c>
      <c r="I79" s="1"/>
      <c r="J79" s="1">
        <v>0.5</v>
      </c>
      <c r="K79" s="1">
        <v>0.5</v>
      </c>
      <c r="L79" s="1">
        <v>0.47</v>
      </c>
      <c r="M79" s="1">
        <v>0.42</v>
      </c>
      <c r="N79" s="1">
        <v>0.36</v>
      </c>
    </row>
    <row r="80" spans="1:14" x14ac:dyDescent="0.3">
      <c r="A80" t="s">
        <v>14</v>
      </c>
      <c r="B80" t="s">
        <v>77</v>
      </c>
      <c r="C80" t="s">
        <v>25</v>
      </c>
      <c r="D80" s="1">
        <v>0.08</v>
      </c>
      <c r="E80" t="s">
        <v>29</v>
      </c>
      <c r="F80" s="1">
        <v>0.3</v>
      </c>
      <c r="G80" t="s">
        <v>30</v>
      </c>
      <c r="H80" s="1">
        <v>0.1</v>
      </c>
      <c r="I80" s="1"/>
      <c r="J80" s="1">
        <v>0.5</v>
      </c>
      <c r="K80" s="1">
        <v>0.5</v>
      </c>
      <c r="L80" s="1">
        <v>0.47</v>
      </c>
      <c r="M80" s="1">
        <v>0.42</v>
      </c>
      <c r="N80" s="1">
        <v>0.36</v>
      </c>
    </row>
    <row r="81" spans="1:14" x14ac:dyDescent="0.3">
      <c r="A81" t="s">
        <v>14</v>
      </c>
      <c r="B81" t="s">
        <v>77</v>
      </c>
      <c r="C81" t="s">
        <v>25</v>
      </c>
      <c r="D81" s="1">
        <v>0.08</v>
      </c>
      <c r="E81" t="s">
        <v>31</v>
      </c>
      <c r="F81" s="1">
        <v>0.2</v>
      </c>
      <c r="G81" t="s">
        <v>24</v>
      </c>
      <c r="H81" s="1">
        <v>0.95</v>
      </c>
      <c r="I81" s="1"/>
      <c r="J81" s="1">
        <v>0.5</v>
      </c>
      <c r="K81" s="1">
        <v>0.5</v>
      </c>
      <c r="L81" s="1">
        <v>0.47</v>
      </c>
      <c r="M81" s="1">
        <v>0.42</v>
      </c>
      <c r="N81" s="1">
        <v>0.36</v>
      </c>
    </row>
    <row r="82" spans="1:14" x14ac:dyDescent="0.3">
      <c r="A82" t="s">
        <v>14</v>
      </c>
      <c r="B82" t="s">
        <v>77</v>
      </c>
      <c r="C82" t="s">
        <v>37</v>
      </c>
      <c r="D82" s="1">
        <v>0.1</v>
      </c>
      <c r="E82" t="s">
        <v>38</v>
      </c>
      <c r="F82" s="1">
        <v>0.3</v>
      </c>
      <c r="G82" t="s">
        <v>18</v>
      </c>
      <c r="H82" s="1">
        <v>0.9</v>
      </c>
      <c r="I82" s="1">
        <f>SUMPRODUCT(H82:H85,F82:F85)*D82</f>
        <v>8.1000000000000016E-2</v>
      </c>
      <c r="J82" s="1">
        <v>0.64</v>
      </c>
      <c r="K82" s="1">
        <v>0.64</v>
      </c>
      <c r="L82" s="1">
        <v>0.6</v>
      </c>
      <c r="M82" s="1">
        <v>0.54</v>
      </c>
      <c r="N82" s="1">
        <v>0.47</v>
      </c>
    </row>
    <row r="83" spans="1:14" x14ac:dyDescent="0.3">
      <c r="A83" t="s">
        <v>14</v>
      </c>
      <c r="B83" t="s">
        <v>77</v>
      </c>
      <c r="C83" t="s">
        <v>37</v>
      </c>
      <c r="D83" s="1">
        <v>0.1</v>
      </c>
      <c r="E83" t="s">
        <v>39</v>
      </c>
      <c r="F83" s="1">
        <v>0.25</v>
      </c>
      <c r="G83" t="s">
        <v>40</v>
      </c>
      <c r="H83" s="1">
        <v>0.7</v>
      </c>
      <c r="I83" s="1"/>
      <c r="J83" s="1">
        <v>0.64</v>
      </c>
      <c r="K83" s="1">
        <v>0.64</v>
      </c>
      <c r="L83" s="1">
        <v>0.6</v>
      </c>
      <c r="M83" s="1">
        <v>0.54</v>
      </c>
      <c r="N83" s="1">
        <v>0.47</v>
      </c>
    </row>
    <row r="84" spans="1:14" x14ac:dyDescent="0.3">
      <c r="A84" t="s">
        <v>14</v>
      </c>
      <c r="B84" t="s">
        <v>77</v>
      </c>
      <c r="C84" t="s">
        <v>37</v>
      </c>
      <c r="D84" s="1">
        <v>0.1</v>
      </c>
      <c r="E84" t="s">
        <v>41</v>
      </c>
      <c r="F84" s="1">
        <v>0.25</v>
      </c>
      <c r="G84" t="s">
        <v>28</v>
      </c>
      <c r="H84" s="1">
        <v>0.7</v>
      </c>
      <c r="I84" s="1"/>
      <c r="J84" s="1">
        <v>0.64</v>
      </c>
      <c r="K84" s="1">
        <v>0.64</v>
      </c>
      <c r="L84" s="1">
        <v>0.6</v>
      </c>
      <c r="M84" s="1">
        <v>0.54</v>
      </c>
      <c r="N84" s="1">
        <v>0.47</v>
      </c>
    </row>
    <row r="85" spans="1:14" x14ac:dyDescent="0.3">
      <c r="A85" t="s">
        <v>14</v>
      </c>
      <c r="B85" t="s">
        <v>77</v>
      </c>
      <c r="C85" t="s">
        <v>37</v>
      </c>
      <c r="D85" s="1">
        <v>0.1</v>
      </c>
      <c r="E85" t="s">
        <v>42</v>
      </c>
      <c r="F85" s="1">
        <v>0.2</v>
      </c>
      <c r="G85" t="s">
        <v>24</v>
      </c>
      <c r="H85" s="1">
        <v>0.95</v>
      </c>
      <c r="I85" s="1"/>
      <c r="J85" s="1">
        <v>0.64</v>
      </c>
      <c r="K85" s="1">
        <v>0.64</v>
      </c>
      <c r="L85" s="1">
        <v>0.6</v>
      </c>
      <c r="M85" s="1">
        <v>0.54</v>
      </c>
      <c r="N85" s="1">
        <v>0.47</v>
      </c>
    </row>
    <row r="86" spans="1:14" x14ac:dyDescent="0.3">
      <c r="A86" t="s">
        <v>14</v>
      </c>
      <c r="B86" t="s">
        <v>77</v>
      </c>
      <c r="C86" t="s">
        <v>48</v>
      </c>
      <c r="D86" s="1">
        <v>0.1</v>
      </c>
      <c r="E86" t="s">
        <v>49</v>
      </c>
      <c r="F86" s="1">
        <v>0.25</v>
      </c>
      <c r="G86" t="s">
        <v>40</v>
      </c>
      <c r="H86" s="1">
        <v>0.7</v>
      </c>
      <c r="I86" s="1">
        <f>SUMPRODUCT(H86:H89,F86:F89)*D86</f>
        <v>5.8749999999999997E-2</v>
      </c>
      <c r="J86" s="1">
        <v>0.45</v>
      </c>
      <c r="K86" s="1">
        <v>0.45</v>
      </c>
      <c r="L86" s="1">
        <v>0.42</v>
      </c>
      <c r="M86" s="1">
        <v>0.37</v>
      </c>
      <c r="N86" s="1">
        <v>0.32</v>
      </c>
    </row>
    <row r="87" spans="1:14" x14ac:dyDescent="0.3">
      <c r="A87" t="s">
        <v>14</v>
      </c>
      <c r="B87" t="s">
        <v>77</v>
      </c>
      <c r="C87" t="s">
        <v>48</v>
      </c>
      <c r="D87" s="1">
        <v>0.1</v>
      </c>
      <c r="E87" t="s">
        <v>50</v>
      </c>
      <c r="F87" s="1">
        <v>0.25</v>
      </c>
      <c r="G87" t="s">
        <v>20</v>
      </c>
      <c r="H87" s="1">
        <v>0.6</v>
      </c>
      <c r="I87" s="1"/>
      <c r="J87" s="1">
        <v>0.45</v>
      </c>
      <c r="K87" s="1">
        <v>0.45</v>
      </c>
      <c r="L87" s="1">
        <v>0.42</v>
      </c>
      <c r="M87" s="1">
        <v>0.37</v>
      </c>
      <c r="N87" s="1">
        <v>0.32</v>
      </c>
    </row>
    <row r="88" spans="1:14" x14ac:dyDescent="0.3">
      <c r="A88" t="s">
        <v>14</v>
      </c>
      <c r="B88" t="s">
        <v>77</v>
      </c>
      <c r="C88" t="s">
        <v>48</v>
      </c>
      <c r="D88" s="1">
        <v>0.1</v>
      </c>
      <c r="E88" t="s">
        <v>52</v>
      </c>
      <c r="F88" s="1">
        <v>0.25</v>
      </c>
      <c r="G88" t="s">
        <v>30</v>
      </c>
      <c r="H88" s="1">
        <v>0.1</v>
      </c>
      <c r="I88" s="1"/>
      <c r="J88" s="1">
        <v>0.45</v>
      </c>
      <c r="K88" s="1">
        <v>0.45</v>
      </c>
      <c r="L88" s="1">
        <v>0.42</v>
      </c>
      <c r="M88" s="1">
        <v>0.37</v>
      </c>
      <c r="N88" s="1">
        <v>0.32</v>
      </c>
    </row>
    <row r="89" spans="1:14" x14ac:dyDescent="0.3">
      <c r="A89" t="s">
        <v>14</v>
      </c>
      <c r="B89" t="s">
        <v>77</v>
      </c>
      <c r="C89" t="s">
        <v>48</v>
      </c>
      <c r="D89" s="1">
        <v>0.1</v>
      </c>
      <c r="E89" t="s">
        <v>53</v>
      </c>
      <c r="F89" s="1">
        <v>0.25</v>
      </c>
      <c r="G89" t="s">
        <v>24</v>
      </c>
      <c r="H89" s="1">
        <v>0.95</v>
      </c>
      <c r="I89" s="1"/>
      <c r="J89" s="1">
        <v>0.45</v>
      </c>
      <c r="K89" s="1">
        <v>0.45</v>
      </c>
      <c r="L89" s="1">
        <v>0.42</v>
      </c>
      <c r="M89" s="1">
        <v>0.37</v>
      </c>
      <c r="N89" s="1">
        <v>0.32</v>
      </c>
    </row>
    <row r="90" spans="1:14" x14ac:dyDescent="0.3">
      <c r="A90" t="s">
        <v>14</v>
      </c>
      <c r="B90" t="s">
        <v>77</v>
      </c>
      <c r="C90" t="s">
        <v>54</v>
      </c>
      <c r="D90" s="1">
        <v>7.0000000000000007E-2</v>
      </c>
      <c r="E90" t="s">
        <v>55</v>
      </c>
      <c r="F90" s="1">
        <v>0.3</v>
      </c>
      <c r="G90" t="s">
        <v>56</v>
      </c>
      <c r="H90" s="1">
        <v>0.3</v>
      </c>
      <c r="I90" s="1">
        <f>SUMPRODUCT(H90:H93,F90:F93)*D90</f>
        <v>3.1850000000000003E-2</v>
      </c>
      <c r="J90" s="1">
        <v>0.38</v>
      </c>
      <c r="K90" s="1">
        <v>0.38</v>
      </c>
      <c r="L90" s="1">
        <v>0.35</v>
      </c>
      <c r="M90" s="1">
        <v>0.31</v>
      </c>
      <c r="N90" s="1">
        <v>0.27</v>
      </c>
    </row>
    <row r="91" spans="1:14" x14ac:dyDescent="0.3">
      <c r="A91" t="s">
        <v>14</v>
      </c>
      <c r="B91" t="s">
        <v>77</v>
      </c>
      <c r="C91" t="s">
        <v>54</v>
      </c>
      <c r="D91" s="1">
        <v>7.0000000000000007E-2</v>
      </c>
      <c r="E91" t="s">
        <v>57</v>
      </c>
      <c r="F91" s="1">
        <v>0.25</v>
      </c>
      <c r="G91" t="s">
        <v>20</v>
      </c>
      <c r="H91" s="1">
        <v>0.6</v>
      </c>
      <c r="I91" s="1"/>
      <c r="J91" s="1">
        <v>0.38</v>
      </c>
      <c r="K91" s="1">
        <v>0.38</v>
      </c>
      <c r="L91" s="1">
        <v>0.35</v>
      </c>
      <c r="M91" s="1">
        <v>0.31</v>
      </c>
      <c r="N91" s="1">
        <v>0.27</v>
      </c>
    </row>
    <row r="92" spans="1:14" x14ac:dyDescent="0.3">
      <c r="A92" t="s">
        <v>14</v>
      </c>
      <c r="B92" t="s">
        <v>77</v>
      </c>
      <c r="C92" t="s">
        <v>54</v>
      </c>
      <c r="D92" s="1">
        <v>7.0000000000000007E-2</v>
      </c>
      <c r="E92" t="s">
        <v>58</v>
      </c>
      <c r="F92" s="1">
        <v>0.25</v>
      </c>
      <c r="G92" t="s">
        <v>30</v>
      </c>
      <c r="H92" s="1">
        <v>0.1</v>
      </c>
      <c r="I92" s="1"/>
      <c r="J92" s="1">
        <v>0.38</v>
      </c>
      <c r="K92" s="1">
        <v>0.38</v>
      </c>
      <c r="L92" s="1">
        <v>0.35</v>
      </c>
      <c r="M92" s="1">
        <v>0.31</v>
      </c>
      <c r="N92" s="1">
        <v>0.27</v>
      </c>
    </row>
    <row r="93" spans="1:14" x14ac:dyDescent="0.3">
      <c r="A93" t="s">
        <v>14</v>
      </c>
      <c r="B93" t="s">
        <v>77</v>
      </c>
      <c r="C93" t="s">
        <v>54</v>
      </c>
      <c r="D93" s="1">
        <v>7.0000000000000007E-2</v>
      </c>
      <c r="E93" t="s">
        <v>59</v>
      </c>
      <c r="F93" s="1">
        <v>0.2</v>
      </c>
      <c r="G93" t="s">
        <v>24</v>
      </c>
      <c r="H93" s="1">
        <v>0.95</v>
      </c>
      <c r="I93" s="1"/>
      <c r="J93" s="1">
        <v>0.38</v>
      </c>
      <c r="K93" s="1">
        <v>0.38</v>
      </c>
      <c r="L93" s="1">
        <v>0.35</v>
      </c>
      <c r="M93" s="1">
        <v>0.31</v>
      </c>
      <c r="N93" s="1">
        <v>0.27</v>
      </c>
    </row>
    <row r="94" spans="1:14" x14ac:dyDescent="0.3">
      <c r="D94" s="1"/>
      <c r="F94" s="1"/>
      <c r="H94" s="1"/>
      <c r="I94" s="2">
        <f>SUM(I66:I93)</f>
        <v>0.57695000000000007</v>
      </c>
      <c r="J94" s="2">
        <f>J66*$D66+J70*$D70+J74*$D74+J78*$D78+J82*$D82+J86*$D86+J90*$D90</f>
        <v>0.49109999999999998</v>
      </c>
      <c r="K94" s="2">
        <f t="shared" ref="K94:N94" si="2">K66*$D66+K70*$D70+K74*$D74+K78*$D78+K82*$D82+K86*$D86+K90*$D90</f>
        <v>0.49109999999999998</v>
      </c>
      <c r="L94" s="2">
        <f t="shared" si="2"/>
        <v>0.45910000000000001</v>
      </c>
      <c r="M94" s="2">
        <f t="shared" si="2"/>
        <v>0.4078</v>
      </c>
      <c r="N94" s="2">
        <f t="shared" si="2"/>
        <v>0.35170000000000001</v>
      </c>
    </row>
    <row r="95" spans="1:14" x14ac:dyDescent="0.3">
      <c r="D95" s="1"/>
      <c r="F95" s="1"/>
      <c r="H95" s="1"/>
      <c r="I95" s="1"/>
      <c r="J95" s="1"/>
      <c r="K95" s="1"/>
      <c r="L95" s="1"/>
      <c r="M95" s="1"/>
      <c r="N95" s="1"/>
    </row>
    <row r="96" spans="1:14" x14ac:dyDescent="0.3">
      <c r="A96" t="s">
        <v>14</v>
      </c>
      <c r="B96" t="s">
        <v>87</v>
      </c>
      <c r="C96" t="s">
        <v>78</v>
      </c>
      <c r="D96" s="1">
        <v>0.3</v>
      </c>
      <c r="E96" t="s">
        <v>67</v>
      </c>
      <c r="F96" s="1">
        <v>0.25</v>
      </c>
      <c r="G96" t="s">
        <v>28</v>
      </c>
      <c r="H96" s="1">
        <v>0.7</v>
      </c>
      <c r="I96" s="1">
        <f>SUMPRODUCT(H96:H99,F96:F99)*D96</f>
        <v>0.156</v>
      </c>
      <c r="J96" s="1">
        <v>0.45</v>
      </c>
      <c r="K96" s="1">
        <v>0.45</v>
      </c>
      <c r="L96" s="1">
        <v>0.42</v>
      </c>
      <c r="M96" s="1">
        <v>0.37</v>
      </c>
      <c r="N96" s="1">
        <v>0.32</v>
      </c>
    </row>
    <row r="97" spans="1:14" x14ac:dyDescent="0.3">
      <c r="A97" t="s">
        <v>14</v>
      </c>
      <c r="B97" t="s">
        <v>87</v>
      </c>
      <c r="C97" t="s">
        <v>78</v>
      </c>
      <c r="D97" s="1">
        <v>0.3</v>
      </c>
      <c r="E97" t="s">
        <v>88</v>
      </c>
      <c r="F97" s="1">
        <v>0.35</v>
      </c>
      <c r="G97" t="s">
        <v>30</v>
      </c>
      <c r="H97" s="1">
        <v>0.1</v>
      </c>
      <c r="I97" s="1"/>
      <c r="J97" s="1">
        <v>0.45</v>
      </c>
      <c r="K97" s="1">
        <v>0.45</v>
      </c>
      <c r="L97" s="1">
        <v>0.42</v>
      </c>
      <c r="M97" s="1">
        <v>0.37</v>
      </c>
      <c r="N97" s="1">
        <v>0.32</v>
      </c>
    </row>
    <row r="98" spans="1:14" x14ac:dyDescent="0.3">
      <c r="A98" t="s">
        <v>14</v>
      </c>
      <c r="B98" t="s">
        <v>87</v>
      </c>
      <c r="C98" t="s">
        <v>78</v>
      </c>
      <c r="D98" s="1">
        <v>0.3</v>
      </c>
      <c r="E98" t="s">
        <v>89</v>
      </c>
      <c r="F98" s="1">
        <v>0.2</v>
      </c>
      <c r="G98" t="s">
        <v>20</v>
      </c>
      <c r="H98" s="1">
        <v>0.6</v>
      </c>
      <c r="I98" s="1"/>
      <c r="J98" s="1">
        <v>0.45</v>
      </c>
      <c r="K98" s="1">
        <v>0.45</v>
      </c>
      <c r="L98" s="1">
        <v>0.42</v>
      </c>
      <c r="M98" s="1">
        <v>0.37</v>
      </c>
      <c r="N98" s="1">
        <v>0.32</v>
      </c>
    </row>
    <row r="99" spans="1:14" x14ac:dyDescent="0.3">
      <c r="A99" t="s">
        <v>14</v>
      </c>
      <c r="B99" t="s">
        <v>87</v>
      </c>
      <c r="C99" t="s">
        <v>78</v>
      </c>
      <c r="D99" s="1">
        <v>0.3</v>
      </c>
      <c r="E99" t="s">
        <v>81</v>
      </c>
      <c r="F99" s="1">
        <v>0.2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0.37</v>
      </c>
      <c r="N99" s="1">
        <v>0.32</v>
      </c>
    </row>
    <row r="100" spans="1:14" x14ac:dyDescent="0.3">
      <c r="A100" t="s">
        <v>14</v>
      </c>
      <c r="B100" t="s">
        <v>87</v>
      </c>
      <c r="C100" t="s">
        <v>90</v>
      </c>
      <c r="D100" s="1">
        <v>0.15</v>
      </c>
      <c r="E100" t="s">
        <v>91</v>
      </c>
      <c r="F100" s="1">
        <v>0.25</v>
      </c>
      <c r="G100" t="s">
        <v>56</v>
      </c>
      <c r="H100" s="1">
        <v>0.3</v>
      </c>
      <c r="I100" s="1">
        <f>SUMPRODUCT(H100:H103,F100:F103)*D100</f>
        <v>6.8249999999999991E-2</v>
      </c>
      <c r="J100" s="1">
        <v>0.48</v>
      </c>
      <c r="K100" s="1">
        <v>0.48</v>
      </c>
      <c r="L100" s="1">
        <v>0.45</v>
      </c>
      <c r="M100" s="1">
        <v>0.4</v>
      </c>
      <c r="N100" s="1">
        <v>0.34</v>
      </c>
    </row>
    <row r="101" spans="1:14" x14ac:dyDescent="0.3">
      <c r="A101" t="s">
        <v>14</v>
      </c>
      <c r="B101" t="s">
        <v>87</v>
      </c>
      <c r="C101" t="s">
        <v>90</v>
      </c>
      <c r="D101" s="1">
        <v>0.15</v>
      </c>
      <c r="E101" t="s">
        <v>84</v>
      </c>
      <c r="F101" s="1">
        <v>0.25</v>
      </c>
      <c r="G101" t="s">
        <v>20</v>
      </c>
      <c r="H101" s="1">
        <v>0.6</v>
      </c>
      <c r="I101" s="1"/>
      <c r="J101" s="1">
        <v>0.48</v>
      </c>
      <c r="K101" s="1">
        <v>0.48</v>
      </c>
      <c r="L101" s="1">
        <v>0.45</v>
      </c>
      <c r="M101" s="1">
        <v>0.4</v>
      </c>
      <c r="N101" s="1">
        <v>0.34</v>
      </c>
    </row>
    <row r="102" spans="1:14" x14ac:dyDescent="0.3">
      <c r="A102" t="s">
        <v>14</v>
      </c>
      <c r="B102" t="s">
        <v>87</v>
      </c>
      <c r="C102" t="s">
        <v>90</v>
      </c>
      <c r="D102" s="1">
        <v>0.15</v>
      </c>
      <c r="E102" t="s">
        <v>83</v>
      </c>
      <c r="F102" s="1">
        <v>0.3</v>
      </c>
      <c r="G102" t="s">
        <v>73</v>
      </c>
      <c r="H102" s="1">
        <v>0.7</v>
      </c>
      <c r="I102" s="1"/>
      <c r="J102" s="1">
        <v>0.48</v>
      </c>
      <c r="K102" s="1">
        <v>0.48</v>
      </c>
      <c r="L102" s="1">
        <v>0.45</v>
      </c>
      <c r="M102" s="1">
        <v>0.4</v>
      </c>
      <c r="N102" s="1">
        <v>0.34</v>
      </c>
    </row>
    <row r="103" spans="1:14" x14ac:dyDescent="0.3">
      <c r="A103" t="s">
        <v>14</v>
      </c>
      <c r="B103" t="s">
        <v>87</v>
      </c>
      <c r="C103" t="s">
        <v>90</v>
      </c>
      <c r="D103" s="1">
        <v>0.15</v>
      </c>
      <c r="E103" t="s">
        <v>92</v>
      </c>
      <c r="F103" s="1">
        <v>0.2</v>
      </c>
      <c r="G103" t="s">
        <v>30</v>
      </c>
      <c r="H103" s="1">
        <v>0.1</v>
      </c>
      <c r="I103" s="1"/>
      <c r="J103" s="1">
        <v>0.48</v>
      </c>
      <c r="K103" s="1">
        <v>0.48</v>
      </c>
      <c r="L103" s="1">
        <v>0.45</v>
      </c>
      <c r="M103" s="1">
        <v>0.4</v>
      </c>
      <c r="N103" s="1">
        <v>0.34</v>
      </c>
    </row>
    <row r="104" spans="1:14" x14ac:dyDescent="0.3">
      <c r="A104" t="s">
        <v>14</v>
      </c>
      <c r="B104" t="s">
        <v>87</v>
      </c>
      <c r="C104" t="s">
        <v>16</v>
      </c>
      <c r="D104" s="1">
        <v>0.12</v>
      </c>
      <c r="E104" t="s">
        <v>17</v>
      </c>
      <c r="F104" s="1">
        <v>0.3</v>
      </c>
      <c r="G104" t="s">
        <v>18</v>
      </c>
      <c r="H104" s="1">
        <v>0.9</v>
      </c>
      <c r="I104" s="1">
        <f>SUMPRODUCT(H104:H107,F104:F107)*D104</f>
        <v>9.9300000000000013E-2</v>
      </c>
      <c r="J104" s="1">
        <v>0.62</v>
      </c>
      <c r="K104" s="1">
        <v>0.62</v>
      </c>
      <c r="L104" s="1">
        <v>0.57999999999999996</v>
      </c>
      <c r="M104" s="1">
        <v>0.52</v>
      </c>
      <c r="N104" s="1">
        <v>0.45</v>
      </c>
    </row>
    <row r="105" spans="1:14" x14ac:dyDescent="0.3">
      <c r="A105" t="s">
        <v>14</v>
      </c>
      <c r="B105" t="s">
        <v>87</v>
      </c>
      <c r="C105" t="s">
        <v>16</v>
      </c>
      <c r="D105" s="1">
        <v>0.12</v>
      </c>
      <c r="E105" t="s">
        <v>19</v>
      </c>
      <c r="F105" s="1">
        <v>0.25</v>
      </c>
      <c r="G105" t="s">
        <v>20</v>
      </c>
      <c r="H105" s="1">
        <v>0.6</v>
      </c>
      <c r="I105" s="1"/>
      <c r="J105" s="1">
        <v>0.62</v>
      </c>
      <c r="K105" s="1">
        <v>0.62</v>
      </c>
      <c r="L105" s="1">
        <v>0.57999999999999996</v>
      </c>
      <c r="M105" s="1">
        <v>0.52</v>
      </c>
      <c r="N105" s="1">
        <v>0.45</v>
      </c>
    </row>
    <row r="106" spans="1:14" x14ac:dyDescent="0.3">
      <c r="A106" t="s">
        <v>14</v>
      </c>
      <c r="B106" t="s">
        <v>87</v>
      </c>
      <c r="C106" t="s">
        <v>16</v>
      </c>
      <c r="D106" s="1">
        <v>0.12</v>
      </c>
      <c r="E106" t="s">
        <v>21</v>
      </c>
      <c r="F106" s="1">
        <v>0.2</v>
      </c>
      <c r="G106" t="s">
        <v>22</v>
      </c>
      <c r="H106" s="1">
        <v>0.85</v>
      </c>
      <c r="I106" s="1"/>
      <c r="J106" s="1">
        <v>0.62</v>
      </c>
      <c r="K106" s="1">
        <v>0.62</v>
      </c>
      <c r="L106" s="1">
        <v>0.57999999999999996</v>
      </c>
      <c r="M106" s="1">
        <v>0.52</v>
      </c>
      <c r="N106" s="1">
        <v>0.45</v>
      </c>
    </row>
    <row r="107" spans="1:14" x14ac:dyDescent="0.3">
      <c r="A107" t="s">
        <v>14</v>
      </c>
      <c r="B107" t="s">
        <v>87</v>
      </c>
      <c r="C107" t="s">
        <v>16</v>
      </c>
      <c r="D107" s="1">
        <v>0.12</v>
      </c>
      <c r="E107" t="s">
        <v>23</v>
      </c>
      <c r="F107" s="1">
        <v>0.25</v>
      </c>
      <c r="G107" t="s">
        <v>24</v>
      </c>
      <c r="H107" s="1">
        <v>0.95</v>
      </c>
      <c r="I107" s="1"/>
      <c r="J107" s="1">
        <v>0.62</v>
      </c>
      <c r="K107" s="1">
        <v>0.62</v>
      </c>
      <c r="L107" s="1">
        <v>0.57999999999999996</v>
      </c>
      <c r="M107" s="1">
        <v>0.52</v>
      </c>
      <c r="N107" s="1">
        <v>0.45</v>
      </c>
    </row>
    <row r="108" spans="1:14" x14ac:dyDescent="0.3">
      <c r="A108" t="s">
        <v>14</v>
      </c>
      <c r="B108" t="s">
        <v>87</v>
      </c>
      <c r="C108" t="s">
        <v>25</v>
      </c>
      <c r="D108" s="1">
        <v>0.08</v>
      </c>
      <c r="E108" t="s">
        <v>26</v>
      </c>
      <c r="F108" s="1">
        <v>0.25</v>
      </c>
      <c r="G108" t="s">
        <v>18</v>
      </c>
      <c r="H108" s="1">
        <v>0.9</v>
      </c>
      <c r="I108" s="1">
        <f>SUMPRODUCT(H108:H111,F108:F111)*D108</f>
        <v>4.9600000000000012E-2</v>
      </c>
      <c r="J108" s="1">
        <v>0.5</v>
      </c>
      <c r="K108" s="1">
        <v>0.5</v>
      </c>
      <c r="L108" s="1">
        <v>0.47</v>
      </c>
      <c r="M108" s="1">
        <v>0.42</v>
      </c>
      <c r="N108" s="1">
        <v>0.36</v>
      </c>
    </row>
    <row r="109" spans="1:14" x14ac:dyDescent="0.3">
      <c r="A109" t="s">
        <v>14</v>
      </c>
      <c r="B109" t="s">
        <v>87</v>
      </c>
      <c r="C109" t="s">
        <v>25</v>
      </c>
      <c r="D109" s="1">
        <v>0.08</v>
      </c>
      <c r="E109" t="s">
        <v>27</v>
      </c>
      <c r="F109" s="1">
        <v>0.25</v>
      </c>
      <c r="G109" t="s">
        <v>28</v>
      </c>
      <c r="H109" s="1">
        <v>0.7</v>
      </c>
      <c r="I109" s="1"/>
      <c r="J109" s="1">
        <v>0.5</v>
      </c>
      <c r="K109" s="1">
        <v>0.5</v>
      </c>
      <c r="L109" s="1">
        <v>0.47</v>
      </c>
      <c r="M109" s="1">
        <v>0.42</v>
      </c>
      <c r="N109" s="1">
        <v>0.36</v>
      </c>
    </row>
    <row r="110" spans="1:14" x14ac:dyDescent="0.3">
      <c r="A110" t="s">
        <v>14</v>
      </c>
      <c r="B110" t="s">
        <v>87</v>
      </c>
      <c r="C110" t="s">
        <v>25</v>
      </c>
      <c r="D110" s="1">
        <v>0.08</v>
      </c>
      <c r="E110" t="s">
        <v>29</v>
      </c>
      <c r="F110" s="1">
        <v>0.3</v>
      </c>
      <c r="G110" t="s">
        <v>30</v>
      </c>
      <c r="H110" s="1">
        <v>0.1</v>
      </c>
      <c r="I110" s="1"/>
      <c r="J110" s="1">
        <v>0.5</v>
      </c>
      <c r="K110" s="1">
        <v>0.5</v>
      </c>
      <c r="L110" s="1">
        <v>0.47</v>
      </c>
      <c r="M110" s="1">
        <v>0.42</v>
      </c>
      <c r="N110" s="1">
        <v>0.36</v>
      </c>
    </row>
    <row r="111" spans="1:14" x14ac:dyDescent="0.3">
      <c r="A111" t="s">
        <v>14</v>
      </c>
      <c r="B111" t="s">
        <v>87</v>
      </c>
      <c r="C111" t="s">
        <v>25</v>
      </c>
      <c r="D111" s="1">
        <v>0.08</v>
      </c>
      <c r="E111" t="s">
        <v>31</v>
      </c>
      <c r="F111" s="1">
        <v>0.2</v>
      </c>
      <c r="G111" t="s">
        <v>24</v>
      </c>
      <c r="H111" s="1">
        <v>0.95</v>
      </c>
      <c r="I111" s="1"/>
      <c r="J111" s="1">
        <v>0.5</v>
      </c>
      <c r="K111" s="1">
        <v>0.5</v>
      </c>
      <c r="L111" s="1">
        <v>0.47</v>
      </c>
      <c r="M111" s="1">
        <v>0.42</v>
      </c>
      <c r="N111" s="1">
        <v>0.36</v>
      </c>
    </row>
    <row r="112" spans="1:14" x14ac:dyDescent="0.3">
      <c r="A112" t="s">
        <v>14</v>
      </c>
      <c r="B112" t="s">
        <v>87</v>
      </c>
      <c r="C112" t="s">
        <v>37</v>
      </c>
      <c r="D112" s="1">
        <v>0.1</v>
      </c>
      <c r="E112" t="s">
        <v>38</v>
      </c>
      <c r="F112" s="1">
        <v>0.3</v>
      </c>
      <c r="G112" t="s">
        <v>18</v>
      </c>
      <c r="H112" s="1">
        <v>0.9</v>
      </c>
      <c r="I112" s="1">
        <f>SUMPRODUCT(H112:H115,F112:F115)*D112</f>
        <v>8.1000000000000016E-2</v>
      </c>
      <c r="J112" s="1">
        <v>0.64</v>
      </c>
      <c r="K112" s="1">
        <v>0.64</v>
      </c>
      <c r="L112" s="1">
        <v>0.6</v>
      </c>
      <c r="M112" s="1">
        <v>0.54</v>
      </c>
      <c r="N112" s="1">
        <v>0.47</v>
      </c>
    </row>
    <row r="113" spans="1:14" x14ac:dyDescent="0.3">
      <c r="A113" t="s">
        <v>14</v>
      </c>
      <c r="B113" t="s">
        <v>87</v>
      </c>
      <c r="C113" t="s">
        <v>37</v>
      </c>
      <c r="D113" s="1">
        <v>0.1</v>
      </c>
      <c r="E113" t="s">
        <v>39</v>
      </c>
      <c r="F113" s="1">
        <v>0.25</v>
      </c>
      <c r="G113" t="s">
        <v>40</v>
      </c>
      <c r="H113" s="1">
        <v>0.7</v>
      </c>
      <c r="I113" s="1"/>
      <c r="J113" s="1">
        <v>0.64</v>
      </c>
      <c r="K113" s="1">
        <v>0.64</v>
      </c>
      <c r="L113" s="1">
        <v>0.6</v>
      </c>
      <c r="M113" s="1">
        <v>0.54</v>
      </c>
      <c r="N113" s="1">
        <v>0.47</v>
      </c>
    </row>
    <row r="114" spans="1:14" x14ac:dyDescent="0.3">
      <c r="A114" t="s">
        <v>14</v>
      </c>
      <c r="B114" t="s">
        <v>87</v>
      </c>
      <c r="C114" t="s">
        <v>37</v>
      </c>
      <c r="D114" s="1">
        <v>0.1</v>
      </c>
      <c r="E114" t="s">
        <v>41</v>
      </c>
      <c r="F114" s="1">
        <v>0.25</v>
      </c>
      <c r="G114" t="s">
        <v>28</v>
      </c>
      <c r="H114" s="1">
        <v>0.7</v>
      </c>
      <c r="I114" s="1"/>
      <c r="J114" s="1">
        <v>0.64</v>
      </c>
      <c r="K114" s="1">
        <v>0.64</v>
      </c>
      <c r="L114" s="1">
        <v>0.6</v>
      </c>
      <c r="M114" s="1">
        <v>0.54</v>
      </c>
      <c r="N114" s="1">
        <v>0.47</v>
      </c>
    </row>
    <row r="115" spans="1:14" x14ac:dyDescent="0.3">
      <c r="A115" t="s">
        <v>14</v>
      </c>
      <c r="B115" t="s">
        <v>87</v>
      </c>
      <c r="C115" t="s">
        <v>37</v>
      </c>
      <c r="D115" s="1">
        <v>0.1</v>
      </c>
      <c r="E115" t="s">
        <v>42</v>
      </c>
      <c r="F115" s="1">
        <v>0.2</v>
      </c>
      <c r="G115" t="s">
        <v>24</v>
      </c>
      <c r="H115" s="1">
        <v>0.95</v>
      </c>
      <c r="I115" s="1"/>
      <c r="J115" s="1">
        <v>0.64</v>
      </c>
      <c r="K115" s="1">
        <v>0.64</v>
      </c>
      <c r="L115" s="1">
        <v>0.6</v>
      </c>
      <c r="M115" s="1">
        <v>0.54</v>
      </c>
      <c r="N115" s="1">
        <v>0.47</v>
      </c>
    </row>
    <row r="116" spans="1:14" x14ac:dyDescent="0.3">
      <c r="A116" t="s">
        <v>14</v>
      </c>
      <c r="B116" t="s">
        <v>87</v>
      </c>
      <c r="C116" t="s">
        <v>93</v>
      </c>
      <c r="D116" s="1">
        <v>0.15</v>
      </c>
      <c r="E116" t="s">
        <v>94</v>
      </c>
      <c r="F116" s="1">
        <v>0.25</v>
      </c>
      <c r="G116" t="s">
        <v>40</v>
      </c>
      <c r="H116" s="1">
        <v>0.7</v>
      </c>
      <c r="I116" s="1">
        <f>SUMPRODUCT(H116:H119,F116:F119)*D116</f>
        <v>0.10125000000000001</v>
      </c>
      <c r="J116" s="1">
        <v>0.45</v>
      </c>
      <c r="K116" s="1">
        <v>0.45</v>
      </c>
      <c r="L116" s="1">
        <v>0.42</v>
      </c>
      <c r="M116" s="1">
        <v>0.37</v>
      </c>
      <c r="N116" s="1">
        <v>0.32</v>
      </c>
    </row>
    <row r="117" spans="1:14" x14ac:dyDescent="0.3">
      <c r="A117" t="s">
        <v>14</v>
      </c>
      <c r="B117" t="s">
        <v>87</v>
      </c>
      <c r="C117" t="s">
        <v>93</v>
      </c>
      <c r="D117" s="1">
        <v>0.15</v>
      </c>
      <c r="E117" t="s">
        <v>95</v>
      </c>
      <c r="F117" s="1">
        <v>0.25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0.42</v>
      </c>
      <c r="M117" s="1">
        <v>0.37</v>
      </c>
      <c r="N117" s="1">
        <v>0.32</v>
      </c>
    </row>
    <row r="118" spans="1:14" x14ac:dyDescent="0.3">
      <c r="A118" t="s">
        <v>14</v>
      </c>
      <c r="B118" t="s">
        <v>87</v>
      </c>
      <c r="C118" t="s">
        <v>93</v>
      </c>
      <c r="D118" s="1">
        <v>0.15</v>
      </c>
      <c r="E118" t="s">
        <v>96</v>
      </c>
      <c r="F118" s="1">
        <v>0.25</v>
      </c>
      <c r="G118" t="s">
        <v>30</v>
      </c>
      <c r="H118" s="1">
        <v>0.1</v>
      </c>
      <c r="I118" s="1"/>
      <c r="J118" s="1">
        <v>0.45</v>
      </c>
      <c r="K118" s="1">
        <v>0.45</v>
      </c>
      <c r="L118" s="1">
        <v>0.42</v>
      </c>
      <c r="M118" s="1">
        <v>0.37</v>
      </c>
      <c r="N118" s="1">
        <v>0.32</v>
      </c>
    </row>
    <row r="119" spans="1:14" x14ac:dyDescent="0.3">
      <c r="A119" t="s">
        <v>14</v>
      </c>
      <c r="B119" t="s">
        <v>87</v>
      </c>
      <c r="C119" t="s">
        <v>93</v>
      </c>
      <c r="D119" s="1">
        <v>0.15</v>
      </c>
      <c r="E119" t="s">
        <v>53</v>
      </c>
      <c r="F119" s="1">
        <v>0.25</v>
      </c>
      <c r="G119" t="s">
        <v>24</v>
      </c>
      <c r="H119" s="1">
        <v>0.95</v>
      </c>
      <c r="I119" s="1"/>
      <c r="J119" s="1">
        <v>0.45</v>
      </c>
      <c r="K119" s="1">
        <v>0.45</v>
      </c>
      <c r="L119" s="1">
        <v>0.42</v>
      </c>
      <c r="M119" s="1">
        <v>0.37</v>
      </c>
      <c r="N119" s="1">
        <v>0.32</v>
      </c>
    </row>
    <row r="120" spans="1:14" x14ac:dyDescent="0.3">
      <c r="A120" t="s">
        <v>14</v>
      </c>
      <c r="B120" t="s">
        <v>87</v>
      </c>
      <c r="C120" t="s">
        <v>54</v>
      </c>
      <c r="D120" s="1">
        <v>0.1</v>
      </c>
      <c r="E120" t="s">
        <v>55</v>
      </c>
      <c r="F120" s="1">
        <v>0.3</v>
      </c>
      <c r="G120" t="s">
        <v>56</v>
      </c>
      <c r="H120" s="1">
        <v>0.3</v>
      </c>
      <c r="I120" s="1">
        <f>SUMPRODUCT(H120:H123,F120:F123)*D120</f>
        <v>4.5500000000000006E-2</v>
      </c>
      <c r="J120" s="1">
        <v>0.38</v>
      </c>
      <c r="K120" s="1">
        <v>0.38</v>
      </c>
      <c r="L120" s="1">
        <v>0.35</v>
      </c>
      <c r="M120" s="1">
        <v>0.31</v>
      </c>
      <c r="N120" s="1">
        <v>0.27</v>
      </c>
    </row>
    <row r="121" spans="1:14" x14ac:dyDescent="0.3">
      <c r="A121" t="s">
        <v>14</v>
      </c>
      <c r="B121" t="s">
        <v>87</v>
      </c>
      <c r="C121" t="s">
        <v>54</v>
      </c>
      <c r="D121" s="1">
        <v>0.1</v>
      </c>
      <c r="E121" t="s">
        <v>57</v>
      </c>
      <c r="F121" s="1">
        <v>0.25</v>
      </c>
      <c r="G121" t="s">
        <v>20</v>
      </c>
      <c r="H121" s="1">
        <v>0.6</v>
      </c>
      <c r="I121" s="1"/>
      <c r="J121" s="1">
        <v>0.38</v>
      </c>
      <c r="K121" s="1">
        <v>0.38</v>
      </c>
      <c r="L121" s="1">
        <v>0.35</v>
      </c>
      <c r="M121" s="1">
        <v>0.31</v>
      </c>
      <c r="N121" s="1">
        <v>0.27</v>
      </c>
    </row>
    <row r="122" spans="1:14" x14ac:dyDescent="0.3">
      <c r="A122" t="s">
        <v>14</v>
      </c>
      <c r="B122" t="s">
        <v>87</v>
      </c>
      <c r="C122" t="s">
        <v>54</v>
      </c>
      <c r="D122" s="1">
        <v>0.1</v>
      </c>
      <c r="E122" t="s">
        <v>58</v>
      </c>
      <c r="F122" s="1">
        <v>0.25</v>
      </c>
      <c r="G122" t="s">
        <v>30</v>
      </c>
      <c r="H122" s="1">
        <v>0.1</v>
      </c>
      <c r="I122" s="1"/>
      <c r="J122" s="1">
        <v>0.38</v>
      </c>
      <c r="K122" s="1">
        <v>0.38</v>
      </c>
      <c r="L122" s="1">
        <v>0.35</v>
      </c>
      <c r="M122" s="1">
        <v>0.31</v>
      </c>
      <c r="N122" s="1">
        <v>0.27</v>
      </c>
    </row>
    <row r="123" spans="1:14" x14ac:dyDescent="0.3">
      <c r="A123" t="s">
        <v>14</v>
      </c>
      <c r="B123" t="s">
        <v>87</v>
      </c>
      <c r="C123" t="s">
        <v>54</v>
      </c>
      <c r="D123" s="1">
        <v>0.1</v>
      </c>
      <c r="E123" t="s">
        <v>59</v>
      </c>
      <c r="F123" s="1">
        <v>0.2</v>
      </c>
      <c r="G123" t="s">
        <v>24</v>
      </c>
      <c r="H123" s="1">
        <v>0.95</v>
      </c>
      <c r="I123" s="1"/>
      <c r="J123" s="1">
        <v>0.38</v>
      </c>
      <c r="K123" s="1">
        <v>0.38</v>
      </c>
      <c r="L123" s="1">
        <v>0.35</v>
      </c>
      <c r="M123" s="1">
        <v>0.31</v>
      </c>
      <c r="N123" s="1">
        <v>0.27</v>
      </c>
    </row>
    <row r="124" spans="1:14" x14ac:dyDescent="0.3">
      <c r="D124" s="1"/>
      <c r="F124" s="1"/>
      <c r="H124" s="1"/>
      <c r="I124" s="2">
        <f>SUM(I96:I123)</f>
        <v>0.6009000000000001</v>
      </c>
      <c r="J124" s="2">
        <f>J96*$D96+J100*$D100+J104*$D104+J108*$D108+J112*$D112+J116*$D116+J120*$D120</f>
        <v>0.4909</v>
      </c>
      <c r="K124" s="2">
        <f t="shared" ref="K124:N124" si="3">K96*$D96+K100*$D100+K104*$D104+K108*$D108+K112*$D112+K116*$D116+K120*$D120</f>
        <v>0.4909</v>
      </c>
      <c r="L124" s="2">
        <f t="shared" si="3"/>
        <v>0.4587</v>
      </c>
      <c r="M124" s="2">
        <f t="shared" si="3"/>
        <v>0.40749999999999997</v>
      </c>
      <c r="N124" s="2">
        <f t="shared" si="3"/>
        <v>0.3518</v>
      </c>
    </row>
    <row r="125" spans="1:14" x14ac:dyDescent="0.3">
      <c r="D125" s="1"/>
      <c r="F125" s="1"/>
      <c r="H125" s="1"/>
      <c r="I125" s="1"/>
      <c r="J125" s="1"/>
      <c r="K125" s="1"/>
      <c r="L125" s="1"/>
      <c r="M125" s="1"/>
      <c r="N125" s="1"/>
    </row>
    <row r="126" spans="1:14" x14ac:dyDescent="0.3">
      <c r="A126" t="s">
        <v>14</v>
      </c>
      <c r="B126" t="s">
        <v>97</v>
      </c>
      <c r="C126" t="s">
        <v>98</v>
      </c>
      <c r="D126" s="1">
        <v>0.25</v>
      </c>
      <c r="E126" t="s">
        <v>99</v>
      </c>
      <c r="F126" s="1">
        <v>0.25</v>
      </c>
      <c r="G126" t="s">
        <v>20</v>
      </c>
      <c r="H126" s="1">
        <v>0.6</v>
      </c>
      <c r="I126" s="1">
        <f>SUMPRODUCT(H126:H129,F126:F129)*D126</f>
        <v>0.12812499999999999</v>
      </c>
      <c r="J126" s="1">
        <v>0.44</v>
      </c>
      <c r="K126" s="1">
        <v>0.44</v>
      </c>
      <c r="L126" s="1">
        <v>0.41</v>
      </c>
      <c r="M126" s="1">
        <v>0.36</v>
      </c>
      <c r="N126" s="1">
        <v>0.31</v>
      </c>
    </row>
    <row r="127" spans="1:14" x14ac:dyDescent="0.3">
      <c r="A127" t="s">
        <v>14</v>
      </c>
      <c r="B127" t="s">
        <v>97</v>
      </c>
      <c r="C127" t="s">
        <v>98</v>
      </c>
      <c r="D127" s="1">
        <v>0.25</v>
      </c>
      <c r="E127" t="s">
        <v>100</v>
      </c>
      <c r="F127" s="1">
        <v>0.35</v>
      </c>
      <c r="G127" t="s">
        <v>30</v>
      </c>
      <c r="H127" s="1">
        <v>0.1</v>
      </c>
      <c r="I127" s="1"/>
      <c r="J127" s="1">
        <v>0.44</v>
      </c>
      <c r="K127" s="1">
        <v>0.44</v>
      </c>
      <c r="L127" s="1">
        <v>0.41</v>
      </c>
      <c r="M127" s="1">
        <v>0.36</v>
      </c>
      <c r="N127" s="1">
        <v>0.31</v>
      </c>
    </row>
    <row r="128" spans="1:14" x14ac:dyDescent="0.3">
      <c r="A128" t="s">
        <v>14</v>
      </c>
      <c r="B128" t="s">
        <v>97</v>
      </c>
      <c r="C128" t="s">
        <v>98</v>
      </c>
      <c r="D128" s="1">
        <v>0.25</v>
      </c>
      <c r="E128" t="s">
        <v>101</v>
      </c>
      <c r="F128" s="1">
        <v>0.25</v>
      </c>
      <c r="G128" t="s">
        <v>24</v>
      </c>
      <c r="H128" s="1">
        <v>0.95</v>
      </c>
      <c r="I128" s="1"/>
      <c r="J128" s="1">
        <v>0.44</v>
      </c>
      <c r="K128" s="1">
        <v>0.44</v>
      </c>
      <c r="L128" s="1">
        <v>0.41</v>
      </c>
      <c r="M128" s="1">
        <v>0.36</v>
      </c>
      <c r="N128" s="1">
        <v>0.31</v>
      </c>
    </row>
    <row r="129" spans="1:14" x14ac:dyDescent="0.3">
      <c r="A129" t="s">
        <v>14</v>
      </c>
      <c r="B129" t="s">
        <v>97</v>
      </c>
      <c r="C129" t="s">
        <v>98</v>
      </c>
      <c r="D129" s="1">
        <v>0.25</v>
      </c>
      <c r="E129" t="s">
        <v>102</v>
      </c>
      <c r="F129" s="1">
        <v>0.15</v>
      </c>
      <c r="G129" t="s">
        <v>20</v>
      </c>
      <c r="H129" s="1">
        <v>0.6</v>
      </c>
      <c r="I129" s="1"/>
      <c r="J129" s="1">
        <v>0.44</v>
      </c>
      <c r="K129" s="1">
        <v>0.44</v>
      </c>
      <c r="L129" s="1">
        <v>0.41</v>
      </c>
      <c r="M129" s="1">
        <v>0.36</v>
      </c>
      <c r="N129" s="1">
        <v>0.31</v>
      </c>
    </row>
    <row r="130" spans="1:14" x14ac:dyDescent="0.3">
      <c r="A130" t="s">
        <v>14</v>
      </c>
      <c r="B130" t="s">
        <v>97</v>
      </c>
      <c r="C130" t="s">
        <v>16</v>
      </c>
      <c r="D130" s="1">
        <v>0.15</v>
      </c>
      <c r="E130" t="s">
        <v>17</v>
      </c>
      <c r="F130" s="1">
        <v>0.3</v>
      </c>
      <c r="G130" t="s">
        <v>18</v>
      </c>
      <c r="H130" s="1">
        <v>0.9</v>
      </c>
      <c r="I130" s="1">
        <f>SUMPRODUCT(H130:H133,F130:F133)*D130</f>
        <v>0.12412500000000001</v>
      </c>
      <c r="J130" s="1">
        <v>0.62</v>
      </c>
      <c r="K130" s="1">
        <v>0.62</v>
      </c>
      <c r="L130" s="1">
        <v>0.57999999999999996</v>
      </c>
      <c r="M130" s="1">
        <v>0.52</v>
      </c>
      <c r="N130" s="1">
        <v>0.45</v>
      </c>
    </row>
    <row r="131" spans="1:14" x14ac:dyDescent="0.3">
      <c r="A131" t="s">
        <v>14</v>
      </c>
      <c r="B131" t="s">
        <v>97</v>
      </c>
      <c r="C131" t="s">
        <v>16</v>
      </c>
      <c r="D131" s="1">
        <v>0.15</v>
      </c>
      <c r="E131" t="s">
        <v>19</v>
      </c>
      <c r="F131" s="1">
        <v>0.25</v>
      </c>
      <c r="G131" t="s">
        <v>20</v>
      </c>
      <c r="H131" s="1">
        <v>0.6</v>
      </c>
      <c r="I131" s="1"/>
      <c r="J131" s="1">
        <v>0.62</v>
      </c>
      <c r="K131" s="1">
        <v>0.62</v>
      </c>
      <c r="L131" s="1">
        <v>0.57999999999999996</v>
      </c>
      <c r="M131" s="1">
        <v>0.52</v>
      </c>
      <c r="N131" s="1">
        <v>0.45</v>
      </c>
    </row>
    <row r="132" spans="1:14" x14ac:dyDescent="0.3">
      <c r="A132" t="s">
        <v>14</v>
      </c>
      <c r="B132" t="s">
        <v>97</v>
      </c>
      <c r="C132" t="s">
        <v>16</v>
      </c>
      <c r="D132" s="1">
        <v>0.15</v>
      </c>
      <c r="E132" t="s">
        <v>21</v>
      </c>
      <c r="F132" s="1">
        <v>0.2</v>
      </c>
      <c r="G132" t="s">
        <v>22</v>
      </c>
      <c r="H132" s="1">
        <v>0.85</v>
      </c>
      <c r="I132" s="1"/>
      <c r="J132" s="1">
        <v>0.62</v>
      </c>
      <c r="K132" s="1">
        <v>0.62</v>
      </c>
      <c r="L132" s="1">
        <v>0.57999999999999996</v>
      </c>
      <c r="M132" s="1">
        <v>0.52</v>
      </c>
      <c r="N132" s="1">
        <v>0.45</v>
      </c>
    </row>
    <row r="133" spans="1:14" x14ac:dyDescent="0.3">
      <c r="A133" t="s">
        <v>14</v>
      </c>
      <c r="B133" t="s">
        <v>97</v>
      </c>
      <c r="C133" t="s">
        <v>16</v>
      </c>
      <c r="D133" s="1">
        <v>0.15</v>
      </c>
      <c r="E133" t="s">
        <v>23</v>
      </c>
      <c r="F133" s="1">
        <v>0.25</v>
      </c>
      <c r="G133" t="s">
        <v>24</v>
      </c>
      <c r="H133" s="1">
        <v>0.95</v>
      </c>
      <c r="I133" s="1"/>
      <c r="J133" s="1">
        <v>0.62</v>
      </c>
      <c r="K133" s="1">
        <v>0.62</v>
      </c>
      <c r="L133" s="1">
        <v>0.57999999999999996</v>
      </c>
      <c r="M133" s="1">
        <v>0.52</v>
      </c>
      <c r="N133" s="1">
        <v>0.45</v>
      </c>
    </row>
    <row r="134" spans="1:14" x14ac:dyDescent="0.3">
      <c r="A134" t="s">
        <v>14</v>
      </c>
      <c r="B134" t="s">
        <v>97</v>
      </c>
      <c r="C134" t="s">
        <v>25</v>
      </c>
      <c r="D134" s="1">
        <v>0.15</v>
      </c>
      <c r="E134" t="s">
        <v>26</v>
      </c>
      <c r="F134" s="1">
        <v>0.25</v>
      </c>
      <c r="G134" t="s">
        <v>18</v>
      </c>
      <c r="H134" s="1">
        <v>0.9</v>
      </c>
      <c r="I134" s="1">
        <f>SUMPRODUCT(H134:H137,F134:F137)*D134</f>
        <v>9.3000000000000013E-2</v>
      </c>
      <c r="J134" s="1">
        <v>0.5</v>
      </c>
      <c r="K134" s="1">
        <v>0.5</v>
      </c>
      <c r="L134" s="1">
        <v>0.47</v>
      </c>
      <c r="M134" s="1">
        <v>0.42</v>
      </c>
      <c r="N134" s="1">
        <v>0.36</v>
      </c>
    </row>
    <row r="135" spans="1:14" x14ac:dyDescent="0.3">
      <c r="A135" t="s">
        <v>14</v>
      </c>
      <c r="B135" t="s">
        <v>97</v>
      </c>
      <c r="C135" t="s">
        <v>25</v>
      </c>
      <c r="D135" s="1">
        <v>0.15</v>
      </c>
      <c r="E135" t="s">
        <v>27</v>
      </c>
      <c r="F135" s="1">
        <v>0.25</v>
      </c>
      <c r="G135" t="s">
        <v>28</v>
      </c>
      <c r="H135" s="1">
        <v>0.7</v>
      </c>
      <c r="I135" s="1"/>
      <c r="J135" s="1">
        <v>0.5</v>
      </c>
      <c r="K135" s="1">
        <v>0.5</v>
      </c>
      <c r="L135" s="1">
        <v>0.47</v>
      </c>
      <c r="M135" s="1">
        <v>0.42</v>
      </c>
      <c r="N135" s="1">
        <v>0.36</v>
      </c>
    </row>
    <row r="136" spans="1:14" x14ac:dyDescent="0.3">
      <c r="A136" t="s">
        <v>14</v>
      </c>
      <c r="B136" t="s">
        <v>97</v>
      </c>
      <c r="C136" t="s">
        <v>25</v>
      </c>
      <c r="D136" s="1">
        <v>0.15</v>
      </c>
      <c r="E136" t="s">
        <v>29</v>
      </c>
      <c r="F136" s="1">
        <v>0.3</v>
      </c>
      <c r="G136" t="s">
        <v>30</v>
      </c>
      <c r="H136" s="1">
        <v>0.1</v>
      </c>
      <c r="I136" s="1"/>
      <c r="J136" s="1">
        <v>0.5</v>
      </c>
      <c r="K136" s="1">
        <v>0.5</v>
      </c>
      <c r="L136" s="1">
        <v>0.47</v>
      </c>
      <c r="M136" s="1">
        <v>0.42</v>
      </c>
      <c r="N136" s="1">
        <v>0.36</v>
      </c>
    </row>
    <row r="137" spans="1:14" x14ac:dyDescent="0.3">
      <c r="A137" t="s">
        <v>14</v>
      </c>
      <c r="B137" t="s">
        <v>97</v>
      </c>
      <c r="C137" t="s">
        <v>25</v>
      </c>
      <c r="D137" s="1">
        <v>0.15</v>
      </c>
      <c r="E137" t="s">
        <v>31</v>
      </c>
      <c r="F137" s="1">
        <v>0.2</v>
      </c>
      <c r="G137" t="s">
        <v>24</v>
      </c>
      <c r="H137" s="1">
        <v>0.95</v>
      </c>
      <c r="I137" s="1"/>
      <c r="J137" s="1">
        <v>0.5</v>
      </c>
      <c r="K137" s="1">
        <v>0.5</v>
      </c>
      <c r="L137" s="1">
        <v>0.47</v>
      </c>
      <c r="M137" s="1">
        <v>0.42</v>
      </c>
      <c r="N137" s="1">
        <v>0.36</v>
      </c>
    </row>
    <row r="138" spans="1:14" x14ac:dyDescent="0.3">
      <c r="A138" t="s">
        <v>14</v>
      </c>
      <c r="B138" t="s">
        <v>97</v>
      </c>
      <c r="C138" t="s">
        <v>37</v>
      </c>
      <c r="D138" s="1">
        <v>0.15</v>
      </c>
      <c r="E138" t="s">
        <v>38</v>
      </c>
      <c r="F138" s="1">
        <v>0.3</v>
      </c>
      <c r="G138" t="s">
        <v>18</v>
      </c>
      <c r="H138" s="1">
        <v>0.9</v>
      </c>
      <c r="I138" s="1">
        <f>SUMPRODUCT(H138:H141,F138:F141)*D138</f>
        <v>0.1215</v>
      </c>
      <c r="J138" s="1">
        <v>0.64</v>
      </c>
      <c r="K138" s="1">
        <v>0.64</v>
      </c>
      <c r="L138" s="1">
        <v>0.6</v>
      </c>
      <c r="M138" s="1">
        <v>0.54</v>
      </c>
      <c r="N138" s="1">
        <v>0.47</v>
      </c>
    </row>
    <row r="139" spans="1:14" x14ac:dyDescent="0.3">
      <c r="A139" t="s">
        <v>14</v>
      </c>
      <c r="B139" t="s">
        <v>97</v>
      </c>
      <c r="C139" t="s">
        <v>37</v>
      </c>
      <c r="D139" s="1">
        <v>0.15</v>
      </c>
      <c r="E139" t="s">
        <v>39</v>
      </c>
      <c r="F139" s="1">
        <v>0.25</v>
      </c>
      <c r="G139" t="s">
        <v>40</v>
      </c>
      <c r="H139" s="1">
        <v>0.7</v>
      </c>
      <c r="I139" s="1"/>
      <c r="J139" s="1">
        <v>0.64</v>
      </c>
      <c r="K139" s="1">
        <v>0.64</v>
      </c>
      <c r="L139" s="1">
        <v>0.6</v>
      </c>
      <c r="M139" s="1">
        <v>0.54</v>
      </c>
      <c r="N139" s="1">
        <v>0.47</v>
      </c>
    </row>
    <row r="140" spans="1:14" x14ac:dyDescent="0.3">
      <c r="A140" t="s">
        <v>14</v>
      </c>
      <c r="B140" t="s">
        <v>97</v>
      </c>
      <c r="C140" t="s">
        <v>37</v>
      </c>
      <c r="D140" s="1">
        <v>0.15</v>
      </c>
      <c r="E140" t="s">
        <v>41</v>
      </c>
      <c r="F140" s="1">
        <v>0.25</v>
      </c>
      <c r="G140" t="s">
        <v>28</v>
      </c>
      <c r="H140" s="1">
        <v>0.7</v>
      </c>
      <c r="I140" s="1"/>
      <c r="J140" s="1">
        <v>0.64</v>
      </c>
      <c r="K140" s="1">
        <v>0.64</v>
      </c>
      <c r="L140" s="1">
        <v>0.6</v>
      </c>
      <c r="M140" s="1">
        <v>0.54</v>
      </c>
      <c r="N140" s="1">
        <v>0.47</v>
      </c>
    </row>
    <row r="141" spans="1:14" x14ac:dyDescent="0.3">
      <c r="A141" t="s">
        <v>14</v>
      </c>
      <c r="B141" t="s">
        <v>97</v>
      </c>
      <c r="C141" t="s">
        <v>37</v>
      </c>
      <c r="D141" s="1">
        <v>0.15</v>
      </c>
      <c r="E141" t="s">
        <v>42</v>
      </c>
      <c r="F141" s="1">
        <v>0.2</v>
      </c>
      <c r="G141" t="s">
        <v>24</v>
      </c>
      <c r="H141" s="1">
        <v>0.95</v>
      </c>
      <c r="I141" s="1"/>
      <c r="J141" s="1">
        <v>0.64</v>
      </c>
      <c r="K141" s="1">
        <v>0.64</v>
      </c>
      <c r="L141" s="1">
        <v>0.6</v>
      </c>
      <c r="M141" s="1">
        <v>0.54</v>
      </c>
      <c r="N141" s="1">
        <v>0.47</v>
      </c>
    </row>
    <row r="142" spans="1:14" x14ac:dyDescent="0.3">
      <c r="A142" t="s">
        <v>14</v>
      </c>
      <c r="B142" t="s">
        <v>97</v>
      </c>
      <c r="C142" t="s">
        <v>48</v>
      </c>
      <c r="D142" s="1">
        <v>0.15</v>
      </c>
      <c r="E142" t="s">
        <v>49</v>
      </c>
      <c r="F142" s="1">
        <v>0.25</v>
      </c>
      <c r="G142" t="s">
        <v>40</v>
      </c>
      <c r="H142" s="1">
        <v>0.7</v>
      </c>
      <c r="I142" s="1">
        <f>SUMPRODUCT(H142:H145,F142:F145)*D142</f>
        <v>8.8124999999999981E-2</v>
      </c>
      <c r="J142" s="1">
        <v>0.45</v>
      </c>
      <c r="K142" s="1">
        <v>0.45</v>
      </c>
      <c r="L142" s="1">
        <v>0.42</v>
      </c>
      <c r="M142" s="1">
        <v>0.37</v>
      </c>
      <c r="N142" s="1">
        <v>0.32</v>
      </c>
    </row>
    <row r="143" spans="1:14" x14ac:dyDescent="0.3">
      <c r="A143" t="s">
        <v>14</v>
      </c>
      <c r="B143" t="s">
        <v>97</v>
      </c>
      <c r="C143" t="s">
        <v>48</v>
      </c>
      <c r="D143" s="1">
        <v>0.15</v>
      </c>
      <c r="E143" t="s">
        <v>50</v>
      </c>
      <c r="F143" s="1">
        <v>0.25</v>
      </c>
      <c r="G143" t="s">
        <v>20</v>
      </c>
      <c r="H143" s="1">
        <v>0.6</v>
      </c>
      <c r="I143" s="1"/>
      <c r="J143" s="1">
        <v>0.45</v>
      </c>
      <c r="K143" s="1">
        <v>0.45</v>
      </c>
      <c r="L143" s="1">
        <v>0.42</v>
      </c>
      <c r="M143" s="1">
        <v>0.37</v>
      </c>
      <c r="N143" s="1">
        <v>0.32</v>
      </c>
    </row>
    <row r="144" spans="1:14" x14ac:dyDescent="0.3">
      <c r="A144" t="s">
        <v>14</v>
      </c>
      <c r="B144" t="s">
        <v>97</v>
      </c>
      <c r="C144" t="s">
        <v>48</v>
      </c>
      <c r="D144" s="1">
        <v>0.15</v>
      </c>
      <c r="E144" t="s">
        <v>103</v>
      </c>
      <c r="F144" s="1">
        <v>0.25</v>
      </c>
      <c r="G144" t="s">
        <v>30</v>
      </c>
      <c r="H144" s="1">
        <v>0.1</v>
      </c>
      <c r="I144" s="1"/>
      <c r="J144" s="1">
        <v>0.45</v>
      </c>
      <c r="K144" s="1">
        <v>0.45</v>
      </c>
      <c r="L144" s="1">
        <v>0.42</v>
      </c>
      <c r="M144" s="1">
        <v>0.37</v>
      </c>
      <c r="N144" s="1">
        <v>0.32</v>
      </c>
    </row>
    <row r="145" spans="1:14" x14ac:dyDescent="0.3">
      <c r="A145" t="s">
        <v>14</v>
      </c>
      <c r="B145" t="s">
        <v>97</v>
      </c>
      <c r="C145" t="s">
        <v>48</v>
      </c>
      <c r="D145" s="1">
        <v>0.15</v>
      </c>
      <c r="E145" t="s">
        <v>53</v>
      </c>
      <c r="F145" s="1">
        <v>0.25</v>
      </c>
      <c r="G145" t="s">
        <v>24</v>
      </c>
      <c r="H145" s="1">
        <v>0.95</v>
      </c>
      <c r="I145" s="1"/>
      <c r="J145" s="1">
        <v>0.45</v>
      </c>
      <c r="K145" s="1">
        <v>0.45</v>
      </c>
      <c r="L145" s="1">
        <v>0.42</v>
      </c>
      <c r="M145" s="1">
        <v>0.37</v>
      </c>
      <c r="N145" s="1">
        <v>0.32</v>
      </c>
    </row>
    <row r="146" spans="1:14" x14ac:dyDescent="0.3">
      <c r="A146" t="s">
        <v>14</v>
      </c>
      <c r="B146" t="s">
        <v>97</v>
      </c>
      <c r="C146" t="s">
        <v>54</v>
      </c>
      <c r="D146" s="1">
        <v>0.15</v>
      </c>
      <c r="E146" t="s">
        <v>55</v>
      </c>
      <c r="F146" s="1">
        <v>0.3</v>
      </c>
      <c r="G146" t="s">
        <v>56</v>
      </c>
      <c r="H146" s="1">
        <v>0.3</v>
      </c>
      <c r="I146" s="1">
        <f>SUMPRODUCT(H146:H149,F146:F149)*D146</f>
        <v>6.8250000000000005E-2</v>
      </c>
      <c r="J146" s="1">
        <v>0.38</v>
      </c>
      <c r="K146" s="1">
        <v>0.38</v>
      </c>
      <c r="L146" s="1">
        <v>0.35</v>
      </c>
      <c r="M146" s="1">
        <v>0.31</v>
      </c>
      <c r="N146" s="1">
        <v>0.27</v>
      </c>
    </row>
    <row r="147" spans="1:14" x14ac:dyDescent="0.3">
      <c r="A147" t="s">
        <v>14</v>
      </c>
      <c r="B147" t="s">
        <v>97</v>
      </c>
      <c r="C147" t="s">
        <v>54</v>
      </c>
      <c r="D147" s="1">
        <v>0.15</v>
      </c>
      <c r="E147" t="s">
        <v>57</v>
      </c>
      <c r="F147" s="1">
        <v>0.25</v>
      </c>
      <c r="G147" t="s">
        <v>20</v>
      </c>
      <c r="H147" s="1">
        <v>0.6</v>
      </c>
      <c r="I147" s="1"/>
      <c r="J147" s="1">
        <v>0.38</v>
      </c>
      <c r="K147" s="1">
        <v>0.38</v>
      </c>
      <c r="L147" s="1">
        <v>0.35</v>
      </c>
      <c r="M147" s="1">
        <v>0.31</v>
      </c>
      <c r="N147" s="1">
        <v>0.27</v>
      </c>
    </row>
    <row r="148" spans="1:14" x14ac:dyDescent="0.3">
      <c r="A148" t="s">
        <v>14</v>
      </c>
      <c r="B148" t="s">
        <v>97</v>
      </c>
      <c r="C148" t="s">
        <v>54</v>
      </c>
      <c r="D148" s="1">
        <v>0.15</v>
      </c>
      <c r="E148" t="s">
        <v>58</v>
      </c>
      <c r="F148" s="1">
        <v>0.25</v>
      </c>
      <c r="G148" t="s">
        <v>30</v>
      </c>
      <c r="H148" s="1">
        <v>0.1</v>
      </c>
      <c r="I148" s="1"/>
      <c r="J148" s="1">
        <v>0.38</v>
      </c>
      <c r="K148" s="1">
        <v>0.38</v>
      </c>
      <c r="L148" s="1">
        <v>0.35</v>
      </c>
      <c r="M148" s="1">
        <v>0.31</v>
      </c>
      <c r="N148" s="1">
        <v>0.27</v>
      </c>
    </row>
    <row r="149" spans="1:14" x14ac:dyDescent="0.3">
      <c r="A149" t="s">
        <v>14</v>
      </c>
      <c r="B149" t="s">
        <v>97</v>
      </c>
      <c r="C149" t="s">
        <v>54</v>
      </c>
      <c r="D149" s="1">
        <v>0.15</v>
      </c>
      <c r="E149" t="s">
        <v>59</v>
      </c>
      <c r="F149" s="1">
        <v>0.2</v>
      </c>
      <c r="G149" t="s">
        <v>24</v>
      </c>
      <c r="H149" s="1">
        <v>0.95</v>
      </c>
      <c r="I149" s="1"/>
      <c r="J149" s="1">
        <v>0.38</v>
      </c>
      <c r="K149" s="1">
        <v>0.38</v>
      </c>
      <c r="L149" s="1">
        <v>0.35</v>
      </c>
      <c r="M149" s="1">
        <v>0.31</v>
      </c>
      <c r="N149" s="1">
        <v>0.27</v>
      </c>
    </row>
    <row r="150" spans="1:14" x14ac:dyDescent="0.3">
      <c r="D150" s="1"/>
      <c r="F150" s="1"/>
      <c r="H150" s="1"/>
      <c r="I150" s="2">
        <f>SUM(I126:I149)</f>
        <v>0.62312500000000004</v>
      </c>
      <c r="J150" s="2">
        <f>J122*$D122+J126*$D126+J130*$D130+J134*$D134+J138*$D138+J142*$D142+J146*$D146</f>
        <v>0.53649999999999998</v>
      </c>
      <c r="K150" s="2">
        <f t="shared" ref="K150:N150" si="4">K122*$D122+K126*$D126+K130*$D130+K134*$D134+K138*$D138+K142*$D142+K146*$D146</f>
        <v>0.53649999999999998</v>
      </c>
      <c r="L150" s="2">
        <f t="shared" si="4"/>
        <v>0.50050000000000006</v>
      </c>
      <c r="M150" s="2">
        <f t="shared" si="4"/>
        <v>0.44500000000000001</v>
      </c>
      <c r="N150" s="2">
        <f t="shared" si="4"/>
        <v>0.38499999999999995</v>
      </c>
    </row>
    <row r="151" spans="1:14" x14ac:dyDescent="0.3">
      <c r="D151" s="1"/>
      <c r="F151" s="1"/>
      <c r="H151" s="1"/>
      <c r="I151" s="1"/>
      <c r="J151" s="1"/>
      <c r="K151" s="1"/>
      <c r="L151" s="1"/>
      <c r="M151" s="1"/>
      <c r="N151" s="1"/>
    </row>
    <row r="152" spans="1:14" x14ac:dyDescent="0.3">
      <c r="A152" t="s">
        <v>14</v>
      </c>
      <c r="B152" t="s">
        <v>104</v>
      </c>
      <c r="C152" t="s">
        <v>105</v>
      </c>
      <c r="D152" s="1">
        <v>0.25</v>
      </c>
      <c r="E152" t="s">
        <v>67</v>
      </c>
      <c r="F152" s="1">
        <v>0.25</v>
      </c>
      <c r="G152" t="s">
        <v>28</v>
      </c>
      <c r="H152" s="1">
        <v>0.7</v>
      </c>
      <c r="I152" s="1">
        <f>SUMPRODUCT(H152:H155,F152:F155)*D152</f>
        <v>0.13</v>
      </c>
      <c r="J152" s="1">
        <v>0.45</v>
      </c>
      <c r="K152" s="1">
        <v>0.45</v>
      </c>
      <c r="L152" s="1">
        <v>0.42</v>
      </c>
      <c r="M152" s="1">
        <v>0.37</v>
      </c>
      <c r="N152" s="1">
        <v>0.32</v>
      </c>
    </row>
    <row r="153" spans="1:14" x14ac:dyDescent="0.3">
      <c r="A153" t="s">
        <v>14</v>
      </c>
      <c r="B153" t="s">
        <v>104</v>
      </c>
      <c r="C153" t="s">
        <v>105</v>
      </c>
      <c r="D153" s="1">
        <v>0.25</v>
      </c>
      <c r="E153" t="s">
        <v>106</v>
      </c>
      <c r="F153" s="1">
        <v>0.35</v>
      </c>
      <c r="G153" t="s">
        <v>30</v>
      </c>
      <c r="H153" s="1">
        <v>0.1</v>
      </c>
      <c r="I153" s="1"/>
      <c r="J153" s="1">
        <v>0.45</v>
      </c>
      <c r="K153" s="1">
        <v>0.45</v>
      </c>
      <c r="L153" s="1">
        <v>0.42</v>
      </c>
      <c r="M153" s="1">
        <v>0.37</v>
      </c>
      <c r="N153" s="1">
        <v>0.32</v>
      </c>
    </row>
    <row r="154" spans="1:14" x14ac:dyDescent="0.3">
      <c r="A154" t="s">
        <v>14</v>
      </c>
      <c r="B154" t="s">
        <v>104</v>
      </c>
      <c r="C154" t="s">
        <v>105</v>
      </c>
      <c r="D154" s="1">
        <v>0.25</v>
      </c>
      <c r="E154" t="s">
        <v>107</v>
      </c>
      <c r="F154" s="1">
        <v>0.2</v>
      </c>
      <c r="G154" t="s">
        <v>20</v>
      </c>
      <c r="H154" s="1">
        <v>0.6</v>
      </c>
      <c r="I154" s="1"/>
      <c r="J154" s="1">
        <v>0.45</v>
      </c>
      <c r="K154" s="1">
        <v>0.45</v>
      </c>
      <c r="L154" s="1">
        <v>0.42</v>
      </c>
      <c r="M154" s="1">
        <v>0.37</v>
      </c>
      <c r="N154" s="1">
        <v>0.32</v>
      </c>
    </row>
    <row r="155" spans="1:14" x14ac:dyDescent="0.3">
      <c r="A155" t="s">
        <v>14</v>
      </c>
      <c r="B155" t="s">
        <v>104</v>
      </c>
      <c r="C155" t="s">
        <v>105</v>
      </c>
      <c r="D155" s="1">
        <v>0.25</v>
      </c>
      <c r="E155" t="s">
        <v>108</v>
      </c>
      <c r="F155" s="1">
        <v>0.2</v>
      </c>
      <c r="G155" t="s">
        <v>24</v>
      </c>
      <c r="H155" s="1">
        <v>0.95</v>
      </c>
      <c r="I155" s="1"/>
      <c r="J155" s="1">
        <v>0.45</v>
      </c>
      <c r="K155" s="1">
        <v>0.45</v>
      </c>
      <c r="L155" s="1">
        <v>0.42</v>
      </c>
      <c r="M155" s="1">
        <v>0.37</v>
      </c>
      <c r="N155" s="1">
        <v>0.32</v>
      </c>
    </row>
    <row r="156" spans="1:14" x14ac:dyDescent="0.3">
      <c r="A156" t="s">
        <v>14</v>
      </c>
      <c r="B156" t="s">
        <v>104</v>
      </c>
      <c r="C156" t="s">
        <v>109</v>
      </c>
      <c r="D156" s="1">
        <v>0.15</v>
      </c>
      <c r="E156" t="s">
        <v>110</v>
      </c>
      <c r="F156" s="1">
        <v>0.35</v>
      </c>
      <c r="G156" t="s">
        <v>18</v>
      </c>
      <c r="H156" s="1">
        <v>0.9</v>
      </c>
      <c r="I156" s="1">
        <f>SUMPRODUCT(H156:H159,F156:F159)*D156</f>
        <v>0.1275</v>
      </c>
      <c r="J156" s="1">
        <v>0.66</v>
      </c>
      <c r="K156" s="1">
        <v>0.66</v>
      </c>
      <c r="L156" s="1">
        <v>0.62</v>
      </c>
      <c r="M156" s="1">
        <v>0.56000000000000005</v>
      </c>
      <c r="N156" s="1">
        <v>0.48</v>
      </c>
    </row>
    <row r="157" spans="1:14" x14ac:dyDescent="0.3">
      <c r="A157" t="s">
        <v>14</v>
      </c>
      <c r="B157" t="s">
        <v>104</v>
      </c>
      <c r="C157" t="s">
        <v>109</v>
      </c>
      <c r="D157" s="1">
        <v>0.15</v>
      </c>
      <c r="E157" t="s">
        <v>111</v>
      </c>
      <c r="F157" s="1">
        <v>0.25</v>
      </c>
      <c r="G157" t="s">
        <v>18</v>
      </c>
      <c r="H157" s="1">
        <v>0.9</v>
      </c>
      <c r="I157" s="1"/>
      <c r="J157" s="1">
        <v>0.66</v>
      </c>
      <c r="K157" s="1">
        <v>0.66</v>
      </c>
      <c r="L157" s="1">
        <v>0.62</v>
      </c>
      <c r="M157" s="1">
        <v>0.56000000000000005</v>
      </c>
      <c r="N157" s="1">
        <v>0.48</v>
      </c>
    </row>
    <row r="158" spans="1:14" x14ac:dyDescent="0.3">
      <c r="A158" t="s">
        <v>14</v>
      </c>
      <c r="B158" t="s">
        <v>104</v>
      </c>
      <c r="C158" s="1" t="s">
        <v>109</v>
      </c>
      <c r="D158" s="1">
        <v>0.15</v>
      </c>
      <c r="E158" s="1" t="s">
        <v>112</v>
      </c>
      <c r="F158" s="1">
        <v>0.2</v>
      </c>
      <c r="G158" s="1" t="s">
        <v>20</v>
      </c>
      <c r="H158" s="1">
        <v>0.6</v>
      </c>
      <c r="I158" s="1"/>
      <c r="J158" s="1">
        <v>0.66</v>
      </c>
      <c r="K158" s="1">
        <v>0.66</v>
      </c>
      <c r="L158" s="1">
        <v>0.62</v>
      </c>
      <c r="M158" s="1">
        <v>0.56000000000000005</v>
      </c>
      <c r="N158" s="1">
        <v>0.48</v>
      </c>
    </row>
    <row r="159" spans="1:14" x14ac:dyDescent="0.3">
      <c r="A159" t="s">
        <v>14</v>
      </c>
      <c r="B159" t="s">
        <v>104</v>
      </c>
      <c r="C159" t="s">
        <v>109</v>
      </c>
      <c r="D159" s="1">
        <v>0.15</v>
      </c>
      <c r="E159" t="s">
        <v>113</v>
      </c>
      <c r="F159" s="1">
        <v>0.2</v>
      </c>
      <c r="G159" t="s">
        <v>24</v>
      </c>
      <c r="H159" s="1">
        <v>0.95</v>
      </c>
      <c r="I159" s="1"/>
      <c r="J159" s="1">
        <v>0.66</v>
      </c>
      <c r="K159" s="1">
        <v>0.66</v>
      </c>
      <c r="L159" s="1">
        <v>0.62</v>
      </c>
      <c r="M159" s="1">
        <v>0.56000000000000005</v>
      </c>
      <c r="N159" s="1">
        <v>0.48</v>
      </c>
    </row>
    <row r="160" spans="1:14" x14ac:dyDescent="0.3">
      <c r="A160" t="s">
        <v>14</v>
      </c>
      <c r="B160" t="s">
        <v>104</v>
      </c>
      <c r="C160" t="s">
        <v>16</v>
      </c>
      <c r="D160" s="1">
        <v>0.15</v>
      </c>
      <c r="E160" t="s">
        <v>17</v>
      </c>
      <c r="F160" s="1">
        <v>0.3</v>
      </c>
      <c r="G160" t="s">
        <v>18</v>
      </c>
      <c r="H160" s="1">
        <v>0.9</v>
      </c>
      <c r="I160" s="1">
        <f>SUMPRODUCT(H160:H163,F160:F163)*D160</f>
        <v>0.12412500000000001</v>
      </c>
      <c r="J160" s="1">
        <v>0.62</v>
      </c>
      <c r="K160" s="1">
        <v>0.62</v>
      </c>
      <c r="L160" s="1">
        <v>0.57999999999999996</v>
      </c>
      <c r="M160" s="1">
        <v>0.52</v>
      </c>
      <c r="N160" s="1">
        <v>0.45</v>
      </c>
    </row>
    <row r="161" spans="1:14" x14ac:dyDescent="0.3">
      <c r="A161" t="s">
        <v>14</v>
      </c>
      <c r="B161" t="s">
        <v>104</v>
      </c>
      <c r="C161" t="s">
        <v>16</v>
      </c>
      <c r="D161" s="1">
        <v>0.15</v>
      </c>
      <c r="E161" t="s">
        <v>19</v>
      </c>
      <c r="F161" s="1">
        <v>0.25</v>
      </c>
      <c r="G161" t="s">
        <v>20</v>
      </c>
      <c r="H161" s="1">
        <v>0.6</v>
      </c>
      <c r="I161" s="1"/>
      <c r="J161" s="1">
        <v>0.62</v>
      </c>
      <c r="K161" s="1">
        <v>0.62</v>
      </c>
      <c r="L161" s="1">
        <v>0.57999999999999996</v>
      </c>
      <c r="M161" s="1">
        <v>0.52</v>
      </c>
      <c r="N161" s="1">
        <v>0.45</v>
      </c>
    </row>
    <row r="162" spans="1:14" x14ac:dyDescent="0.3">
      <c r="A162" t="s">
        <v>14</v>
      </c>
      <c r="B162" t="s">
        <v>104</v>
      </c>
      <c r="C162" t="s">
        <v>16</v>
      </c>
      <c r="D162" s="1">
        <v>0.15</v>
      </c>
      <c r="E162" t="s">
        <v>21</v>
      </c>
      <c r="F162" s="1">
        <v>0.2</v>
      </c>
      <c r="G162" t="s">
        <v>22</v>
      </c>
      <c r="H162" s="1">
        <v>0.85</v>
      </c>
      <c r="I162" s="1"/>
      <c r="J162" s="1">
        <v>0.62</v>
      </c>
      <c r="K162" s="1">
        <v>0.62</v>
      </c>
      <c r="L162" s="1">
        <v>0.57999999999999996</v>
      </c>
      <c r="M162" s="1">
        <v>0.52</v>
      </c>
      <c r="N162" s="1">
        <v>0.45</v>
      </c>
    </row>
    <row r="163" spans="1:14" x14ac:dyDescent="0.3">
      <c r="A163" t="s">
        <v>14</v>
      </c>
      <c r="B163" t="s">
        <v>104</v>
      </c>
      <c r="C163" t="s">
        <v>16</v>
      </c>
      <c r="D163" s="1">
        <v>0.15</v>
      </c>
      <c r="E163" t="s">
        <v>23</v>
      </c>
      <c r="F163" s="1">
        <v>0.25</v>
      </c>
      <c r="G163" t="s">
        <v>24</v>
      </c>
      <c r="H163" s="1">
        <v>0.95</v>
      </c>
      <c r="I163" s="1"/>
      <c r="J163" s="1">
        <v>0.62</v>
      </c>
      <c r="K163" s="1">
        <v>0.62</v>
      </c>
      <c r="L163" s="1">
        <v>0.57999999999999996</v>
      </c>
      <c r="M163" s="1">
        <v>0.52</v>
      </c>
      <c r="N163" s="1">
        <v>0.45</v>
      </c>
    </row>
    <row r="164" spans="1:14" x14ac:dyDescent="0.3">
      <c r="A164" t="s">
        <v>14</v>
      </c>
      <c r="B164" t="s">
        <v>104</v>
      </c>
      <c r="C164" t="s">
        <v>25</v>
      </c>
      <c r="D164" s="1">
        <v>0.1</v>
      </c>
      <c r="E164" t="s">
        <v>26</v>
      </c>
      <c r="F164" s="1">
        <v>0.25</v>
      </c>
      <c r="G164" t="s">
        <v>18</v>
      </c>
      <c r="H164" s="1">
        <v>0.9</v>
      </c>
      <c r="I164" s="1">
        <f>SUMPRODUCT(H164:H167,F164:F167)*D164</f>
        <v>6.2000000000000013E-2</v>
      </c>
      <c r="J164" s="1">
        <v>0.5</v>
      </c>
      <c r="K164" s="1">
        <v>0.5</v>
      </c>
      <c r="L164" s="1">
        <v>0.47</v>
      </c>
      <c r="M164" s="1">
        <v>0.42</v>
      </c>
      <c r="N164" s="1">
        <v>0.36</v>
      </c>
    </row>
    <row r="165" spans="1:14" x14ac:dyDescent="0.3">
      <c r="A165" t="s">
        <v>14</v>
      </c>
      <c r="B165" t="s">
        <v>104</v>
      </c>
      <c r="C165" t="s">
        <v>25</v>
      </c>
      <c r="D165" s="1">
        <v>0.1</v>
      </c>
      <c r="E165" t="s">
        <v>27</v>
      </c>
      <c r="F165" s="1">
        <v>0.25</v>
      </c>
      <c r="G165" t="s">
        <v>28</v>
      </c>
      <c r="H165" s="1">
        <v>0.7</v>
      </c>
      <c r="I165" s="1"/>
      <c r="J165" s="1">
        <v>0.5</v>
      </c>
      <c r="K165" s="1">
        <v>0.5</v>
      </c>
      <c r="L165" s="1">
        <v>0.47</v>
      </c>
      <c r="M165" s="1">
        <v>0.42</v>
      </c>
      <c r="N165" s="1">
        <v>0.36</v>
      </c>
    </row>
    <row r="166" spans="1:14" x14ac:dyDescent="0.3">
      <c r="A166" t="s">
        <v>14</v>
      </c>
      <c r="B166" t="s">
        <v>104</v>
      </c>
      <c r="C166" t="s">
        <v>25</v>
      </c>
      <c r="D166" s="1">
        <v>0.1</v>
      </c>
      <c r="E166" t="s">
        <v>29</v>
      </c>
      <c r="F166" s="1">
        <v>0.3</v>
      </c>
      <c r="G166" t="s">
        <v>30</v>
      </c>
      <c r="H166" s="1">
        <v>0.1</v>
      </c>
      <c r="I166" s="1"/>
      <c r="J166" s="1">
        <v>0.5</v>
      </c>
      <c r="K166" s="1">
        <v>0.5</v>
      </c>
      <c r="L166" s="1">
        <v>0.47</v>
      </c>
      <c r="M166" s="1">
        <v>0.42</v>
      </c>
      <c r="N166" s="1">
        <v>0.36</v>
      </c>
    </row>
    <row r="167" spans="1:14" x14ac:dyDescent="0.3">
      <c r="A167" t="s">
        <v>14</v>
      </c>
      <c r="B167" t="s">
        <v>104</v>
      </c>
      <c r="C167" t="s">
        <v>25</v>
      </c>
      <c r="D167" s="1">
        <v>0.1</v>
      </c>
      <c r="E167" t="s">
        <v>31</v>
      </c>
      <c r="F167" s="1">
        <v>0.2</v>
      </c>
      <c r="G167" t="s">
        <v>24</v>
      </c>
      <c r="H167" s="1">
        <v>0.95</v>
      </c>
      <c r="I167" s="1"/>
      <c r="J167" s="1">
        <v>0.5</v>
      </c>
      <c r="K167" s="1">
        <v>0.5</v>
      </c>
      <c r="L167" s="1">
        <v>0.47</v>
      </c>
      <c r="M167" s="1">
        <v>0.42</v>
      </c>
      <c r="N167" s="1">
        <v>0.36</v>
      </c>
    </row>
    <row r="168" spans="1:14" x14ac:dyDescent="0.3">
      <c r="A168" t="s">
        <v>14</v>
      </c>
      <c r="B168" t="s">
        <v>104</v>
      </c>
      <c r="C168" t="s">
        <v>37</v>
      </c>
      <c r="D168" s="1">
        <v>0.1</v>
      </c>
      <c r="E168" t="s">
        <v>38</v>
      </c>
      <c r="F168" s="1">
        <v>0.3</v>
      </c>
      <c r="G168" t="s">
        <v>18</v>
      </c>
      <c r="H168" s="1">
        <v>0.9</v>
      </c>
      <c r="I168" s="1">
        <f>SUMPRODUCT(H168:H171,F168:F171)*D168</f>
        <v>8.1000000000000016E-2</v>
      </c>
      <c r="J168" s="1">
        <v>0.64</v>
      </c>
      <c r="K168" s="1">
        <v>0.64</v>
      </c>
      <c r="L168" s="1">
        <v>0.6</v>
      </c>
      <c r="M168" s="1">
        <v>0.54</v>
      </c>
      <c r="N168" s="1">
        <v>0.47</v>
      </c>
    </row>
    <row r="169" spans="1:14" x14ac:dyDescent="0.3">
      <c r="A169" t="s">
        <v>14</v>
      </c>
      <c r="B169" t="s">
        <v>104</v>
      </c>
      <c r="C169" t="s">
        <v>37</v>
      </c>
      <c r="D169" s="1">
        <v>0.1</v>
      </c>
      <c r="E169" t="s">
        <v>39</v>
      </c>
      <c r="F169" s="1">
        <v>0.25</v>
      </c>
      <c r="G169" t="s">
        <v>40</v>
      </c>
      <c r="H169" s="1">
        <v>0.7</v>
      </c>
      <c r="I169" s="1"/>
      <c r="J169" s="1">
        <v>0.64</v>
      </c>
      <c r="K169" s="1">
        <v>0.64</v>
      </c>
      <c r="L169" s="1">
        <v>0.6</v>
      </c>
      <c r="M169" s="1">
        <v>0.54</v>
      </c>
      <c r="N169" s="1">
        <v>0.47</v>
      </c>
    </row>
    <row r="170" spans="1:14" x14ac:dyDescent="0.3">
      <c r="A170" t="s">
        <v>14</v>
      </c>
      <c r="B170" t="s">
        <v>104</v>
      </c>
      <c r="C170" t="s">
        <v>37</v>
      </c>
      <c r="D170" s="1">
        <v>0.1</v>
      </c>
      <c r="E170" t="s">
        <v>41</v>
      </c>
      <c r="F170" s="1">
        <v>0.25</v>
      </c>
      <c r="G170" t="s">
        <v>28</v>
      </c>
      <c r="H170" s="1">
        <v>0.7</v>
      </c>
      <c r="I170" s="1"/>
      <c r="J170" s="1">
        <v>0.64</v>
      </c>
      <c r="K170" s="1">
        <v>0.64</v>
      </c>
      <c r="L170" s="1">
        <v>0.6</v>
      </c>
      <c r="M170" s="1">
        <v>0.54</v>
      </c>
      <c r="N170" s="1">
        <v>0.47</v>
      </c>
    </row>
    <row r="171" spans="1:14" x14ac:dyDescent="0.3">
      <c r="A171" t="s">
        <v>14</v>
      </c>
      <c r="B171" t="s">
        <v>104</v>
      </c>
      <c r="C171" t="s">
        <v>37</v>
      </c>
      <c r="D171" s="1">
        <v>0.1</v>
      </c>
      <c r="E171" t="s">
        <v>42</v>
      </c>
      <c r="F171" s="1">
        <v>0.2</v>
      </c>
      <c r="G171" t="s">
        <v>24</v>
      </c>
      <c r="H171" s="1">
        <v>0.95</v>
      </c>
      <c r="I171" s="1"/>
      <c r="J171" s="1">
        <v>0.64</v>
      </c>
      <c r="K171" s="1">
        <v>0.64</v>
      </c>
      <c r="L171" s="1">
        <v>0.6</v>
      </c>
      <c r="M171" s="1">
        <v>0.54</v>
      </c>
      <c r="N171" s="1">
        <v>0.47</v>
      </c>
    </row>
    <row r="172" spans="1:14" x14ac:dyDescent="0.3">
      <c r="A172" t="s">
        <v>14</v>
      </c>
      <c r="B172" t="s">
        <v>104</v>
      </c>
      <c r="C172" t="s">
        <v>43</v>
      </c>
      <c r="D172" s="1">
        <v>0.1</v>
      </c>
      <c r="E172" t="s">
        <v>44</v>
      </c>
      <c r="F172" s="1">
        <v>0.25</v>
      </c>
      <c r="G172" t="s">
        <v>18</v>
      </c>
      <c r="H172" s="1">
        <v>0.9</v>
      </c>
      <c r="I172" s="1">
        <f>SUMPRODUCT(H172:H175,F172:F175)*D172</f>
        <v>5.9499999999999997E-2</v>
      </c>
      <c r="J172" s="1">
        <v>0.45</v>
      </c>
      <c r="K172" s="1">
        <v>0.45</v>
      </c>
      <c r="L172" s="1">
        <v>0.42</v>
      </c>
      <c r="M172" s="1">
        <v>0.37</v>
      </c>
      <c r="N172" s="1">
        <v>0.32</v>
      </c>
    </row>
    <row r="173" spans="1:14" x14ac:dyDescent="0.3">
      <c r="A173" t="s">
        <v>14</v>
      </c>
      <c r="B173" t="s">
        <v>104</v>
      </c>
      <c r="C173" t="s">
        <v>43</v>
      </c>
      <c r="D173" s="1">
        <v>0.1</v>
      </c>
      <c r="E173" t="s">
        <v>114</v>
      </c>
      <c r="F173" s="1">
        <v>0.25</v>
      </c>
      <c r="G173" t="s">
        <v>20</v>
      </c>
      <c r="H173" s="1">
        <v>0.6</v>
      </c>
      <c r="I173" s="1"/>
      <c r="J173" s="1">
        <v>0.45</v>
      </c>
      <c r="K173" s="1">
        <v>0.45</v>
      </c>
      <c r="L173" s="1">
        <v>0.42</v>
      </c>
      <c r="M173" s="1">
        <v>0.37</v>
      </c>
      <c r="N173" s="1">
        <v>0.32</v>
      </c>
    </row>
    <row r="174" spans="1:14" x14ac:dyDescent="0.3">
      <c r="A174" t="s">
        <v>14</v>
      </c>
      <c r="B174" t="s">
        <v>104</v>
      </c>
      <c r="C174" t="s">
        <v>43</v>
      </c>
      <c r="D174" s="1">
        <v>0.1</v>
      </c>
      <c r="E174" t="s">
        <v>115</v>
      </c>
      <c r="F174" s="1">
        <v>0.3</v>
      </c>
      <c r="G174" t="s">
        <v>30</v>
      </c>
      <c r="H174" s="1">
        <v>0.1</v>
      </c>
      <c r="I174" s="1"/>
      <c r="J174" s="1">
        <v>0.45</v>
      </c>
      <c r="K174" s="1">
        <v>0.45</v>
      </c>
      <c r="L174" s="1">
        <v>0.42</v>
      </c>
      <c r="M174" s="1">
        <v>0.37</v>
      </c>
      <c r="N174" s="1">
        <v>0.32</v>
      </c>
    </row>
    <row r="175" spans="1:14" x14ac:dyDescent="0.3">
      <c r="A175" t="s">
        <v>14</v>
      </c>
      <c r="B175" t="s">
        <v>104</v>
      </c>
      <c r="C175" t="s">
        <v>43</v>
      </c>
      <c r="D175" s="1">
        <v>0.1</v>
      </c>
      <c r="E175" t="s">
        <v>116</v>
      </c>
      <c r="F175" s="1">
        <v>0.2</v>
      </c>
      <c r="G175" t="s">
        <v>24</v>
      </c>
      <c r="H175" s="1">
        <v>0.95</v>
      </c>
      <c r="I175" s="1"/>
      <c r="J175" s="1">
        <v>0.45</v>
      </c>
      <c r="K175" s="1">
        <v>0.45</v>
      </c>
      <c r="L175" s="1">
        <v>0.42</v>
      </c>
      <c r="M175" s="1">
        <v>0.37</v>
      </c>
      <c r="N175" s="1">
        <v>0.32</v>
      </c>
    </row>
    <row r="176" spans="1:14" x14ac:dyDescent="0.3">
      <c r="A176" t="s">
        <v>14</v>
      </c>
      <c r="B176" t="s">
        <v>104</v>
      </c>
      <c r="C176" t="s">
        <v>48</v>
      </c>
      <c r="D176" s="1">
        <v>0.05</v>
      </c>
      <c r="E176" t="s">
        <v>49</v>
      </c>
      <c r="F176" s="1">
        <v>0.25</v>
      </c>
      <c r="G176" t="s">
        <v>40</v>
      </c>
      <c r="H176" s="1">
        <v>0.7</v>
      </c>
      <c r="I176" s="1">
        <f>SUMPRODUCT(H176:H179,F176:F179)*D176</f>
        <v>2.9374999999999998E-2</v>
      </c>
      <c r="J176" s="1">
        <v>0.45</v>
      </c>
      <c r="K176" s="1">
        <v>0.45</v>
      </c>
      <c r="L176" s="1">
        <v>0.42</v>
      </c>
      <c r="M176" s="1">
        <v>0.37</v>
      </c>
      <c r="N176" s="1">
        <v>0.32</v>
      </c>
    </row>
    <row r="177" spans="1:14" x14ac:dyDescent="0.3">
      <c r="A177" t="s">
        <v>14</v>
      </c>
      <c r="B177" t="s">
        <v>104</v>
      </c>
      <c r="C177" t="s">
        <v>48</v>
      </c>
      <c r="D177" s="1">
        <v>0.05</v>
      </c>
      <c r="E177" t="s">
        <v>50</v>
      </c>
      <c r="F177" s="1">
        <v>0.25</v>
      </c>
      <c r="G177" t="s">
        <v>20</v>
      </c>
      <c r="H177" s="1">
        <v>0.6</v>
      </c>
      <c r="I177" s="1"/>
      <c r="J177" s="1">
        <v>0.45</v>
      </c>
      <c r="K177" s="1">
        <v>0.45</v>
      </c>
      <c r="L177" s="1">
        <v>0.42</v>
      </c>
      <c r="M177" s="1">
        <v>0.37</v>
      </c>
      <c r="N177" s="1">
        <v>0.32</v>
      </c>
    </row>
    <row r="178" spans="1:14" x14ac:dyDescent="0.3">
      <c r="A178" t="s">
        <v>14</v>
      </c>
      <c r="B178" t="s">
        <v>104</v>
      </c>
      <c r="C178" t="s">
        <v>48</v>
      </c>
      <c r="D178" s="1">
        <v>0.05</v>
      </c>
      <c r="E178" t="s">
        <v>52</v>
      </c>
      <c r="F178" s="1">
        <v>0.25</v>
      </c>
      <c r="G178" t="s">
        <v>30</v>
      </c>
      <c r="H178" s="1">
        <v>0.1</v>
      </c>
      <c r="I178" s="1"/>
      <c r="J178" s="1">
        <v>0.45</v>
      </c>
      <c r="K178" s="1">
        <v>0.45</v>
      </c>
      <c r="L178" s="1">
        <v>0.42</v>
      </c>
      <c r="M178" s="1">
        <v>0.37</v>
      </c>
      <c r="N178" s="1">
        <v>0.32</v>
      </c>
    </row>
    <row r="179" spans="1:14" x14ac:dyDescent="0.3">
      <c r="A179" t="s">
        <v>14</v>
      </c>
      <c r="B179" t="s">
        <v>104</v>
      </c>
      <c r="C179" t="s">
        <v>48</v>
      </c>
      <c r="D179" s="1">
        <v>0.05</v>
      </c>
      <c r="E179" t="s">
        <v>53</v>
      </c>
      <c r="F179" s="1">
        <v>0.25</v>
      </c>
      <c r="G179" t="s">
        <v>24</v>
      </c>
      <c r="H179" s="1">
        <v>0.95</v>
      </c>
      <c r="I179" s="1"/>
      <c r="J179" s="1">
        <v>0.45</v>
      </c>
      <c r="K179" s="1">
        <v>0.45</v>
      </c>
      <c r="L179" s="1">
        <v>0.42</v>
      </c>
      <c r="M179" s="1">
        <v>0.37</v>
      </c>
      <c r="N179" s="1">
        <v>0.32</v>
      </c>
    </row>
    <row r="180" spans="1:14" x14ac:dyDescent="0.3">
      <c r="A180" t="s">
        <v>14</v>
      </c>
      <c r="B180" t="s">
        <v>104</v>
      </c>
      <c r="C180" t="s">
        <v>54</v>
      </c>
      <c r="D180" s="1">
        <v>0.1</v>
      </c>
      <c r="E180" t="s">
        <v>55</v>
      </c>
      <c r="F180" s="1">
        <v>0.3</v>
      </c>
      <c r="G180" t="s">
        <v>56</v>
      </c>
      <c r="H180" s="1">
        <v>0.3</v>
      </c>
      <c r="I180" s="1">
        <f>SUMPRODUCT(H180:H183,F180:F183)*D180</f>
        <v>4.5500000000000006E-2</v>
      </c>
      <c r="J180" s="1">
        <v>0.38</v>
      </c>
      <c r="K180" s="1">
        <v>0.38</v>
      </c>
      <c r="L180" s="1">
        <v>0.35</v>
      </c>
      <c r="M180" s="1">
        <v>0.31</v>
      </c>
      <c r="N180" s="1">
        <v>0.27</v>
      </c>
    </row>
    <row r="181" spans="1:14" x14ac:dyDescent="0.3">
      <c r="A181" t="s">
        <v>14</v>
      </c>
      <c r="B181" t="s">
        <v>104</v>
      </c>
      <c r="C181" t="s">
        <v>54</v>
      </c>
      <c r="D181" s="1">
        <v>0.1</v>
      </c>
      <c r="E181" t="s">
        <v>57</v>
      </c>
      <c r="F181" s="1">
        <v>0.25</v>
      </c>
      <c r="G181" t="s">
        <v>20</v>
      </c>
      <c r="H181" s="1">
        <v>0.6</v>
      </c>
      <c r="I181" s="1"/>
      <c r="J181" s="1">
        <v>0.38</v>
      </c>
      <c r="K181" s="1">
        <v>0.38</v>
      </c>
      <c r="L181" s="1">
        <v>0.35</v>
      </c>
      <c r="M181" s="1">
        <v>0.31</v>
      </c>
      <c r="N181" s="1">
        <v>0.27</v>
      </c>
    </row>
    <row r="182" spans="1:14" x14ac:dyDescent="0.3">
      <c r="A182" t="s">
        <v>14</v>
      </c>
      <c r="B182" t="s">
        <v>104</v>
      </c>
      <c r="C182" t="s">
        <v>54</v>
      </c>
      <c r="D182" s="1">
        <v>0.1</v>
      </c>
      <c r="E182" t="s">
        <v>58</v>
      </c>
      <c r="F182" s="1">
        <v>0.25</v>
      </c>
      <c r="G182" t="s">
        <v>30</v>
      </c>
      <c r="H182" s="1">
        <v>0.1</v>
      </c>
      <c r="I182" s="1"/>
      <c r="J182" s="1">
        <v>0.38</v>
      </c>
      <c r="K182" s="1">
        <v>0.38</v>
      </c>
      <c r="L182" s="1">
        <v>0.35</v>
      </c>
      <c r="M182" s="1">
        <v>0.31</v>
      </c>
      <c r="N182" s="1">
        <v>0.27</v>
      </c>
    </row>
    <row r="183" spans="1:14" x14ac:dyDescent="0.3">
      <c r="A183" t="s">
        <v>14</v>
      </c>
      <c r="B183" t="s">
        <v>104</v>
      </c>
      <c r="C183" t="s">
        <v>54</v>
      </c>
      <c r="D183" s="1">
        <v>0.1</v>
      </c>
      <c r="E183" t="s">
        <v>59</v>
      </c>
      <c r="F183" s="1">
        <v>0.2</v>
      </c>
      <c r="G183" t="s">
        <v>24</v>
      </c>
      <c r="H183" s="1">
        <v>0.95</v>
      </c>
      <c r="I183" s="1"/>
      <c r="J183" s="1">
        <v>0.38</v>
      </c>
      <c r="K183" s="1">
        <v>0.38</v>
      </c>
      <c r="L183" s="1">
        <v>0.35</v>
      </c>
      <c r="M183" s="1">
        <v>0.31</v>
      </c>
      <c r="N183" s="1">
        <v>0.27</v>
      </c>
    </row>
    <row r="184" spans="1:14" x14ac:dyDescent="0.3">
      <c r="D184" s="1"/>
      <c r="F184" s="1"/>
      <c r="H184" s="1"/>
      <c r="I184" s="2">
        <f>SUM(I152:I183)</f>
        <v>0.65900000000000003</v>
      </c>
      <c r="J184" s="2">
        <f>J156*$D156+J160*$D160+J164*$D164+J168*$D168+J172*$D172+J176*$D176+J180*$D180</f>
        <v>0.41149999999999998</v>
      </c>
      <c r="K184" s="2">
        <f t="shared" ref="K184:N184" si="5">K156*$D156+K160*$D160+K164*$D164+K168*$D168+K172*$D172+K176*$D176+K180*$D180</f>
        <v>0.41149999999999998</v>
      </c>
      <c r="L184" s="2">
        <f t="shared" si="5"/>
        <v>0.38499999999999995</v>
      </c>
      <c r="M184" s="2">
        <f t="shared" si="5"/>
        <v>0.34450000000000003</v>
      </c>
      <c r="N184" s="2">
        <f t="shared" si="5"/>
        <v>0.2975000000000001</v>
      </c>
    </row>
    <row r="185" spans="1:14" x14ac:dyDescent="0.3">
      <c r="D185" s="1"/>
      <c r="F185" s="1"/>
      <c r="H185" s="1"/>
      <c r="I185" s="1"/>
      <c r="J185" s="1"/>
      <c r="K185" s="1"/>
      <c r="L185" s="1"/>
      <c r="M185" s="1"/>
      <c r="N185" s="1"/>
    </row>
    <row r="186" spans="1:14" x14ac:dyDescent="0.3">
      <c r="A186" t="s">
        <v>14</v>
      </c>
      <c r="B186" t="s">
        <v>117</v>
      </c>
      <c r="C186" t="s">
        <v>78</v>
      </c>
      <c r="D186" s="1">
        <v>0.25</v>
      </c>
      <c r="E186" t="s">
        <v>67</v>
      </c>
      <c r="F186" s="1">
        <v>0.25</v>
      </c>
      <c r="G186" t="s">
        <v>28</v>
      </c>
      <c r="H186" s="1">
        <v>0.7</v>
      </c>
      <c r="I186" s="1">
        <f>SUMPRODUCT(H186:H189,F186:F189)*D186</f>
        <v>0.13</v>
      </c>
      <c r="J186" s="1">
        <v>0.45</v>
      </c>
      <c r="K186" s="1">
        <v>0.45</v>
      </c>
      <c r="L186" s="1">
        <v>0.42</v>
      </c>
      <c r="M186" s="1">
        <v>0.37</v>
      </c>
      <c r="N186" s="1">
        <v>0.32</v>
      </c>
    </row>
    <row r="187" spans="1:14" x14ac:dyDescent="0.3">
      <c r="A187" t="s">
        <v>14</v>
      </c>
      <c r="B187" t="s">
        <v>117</v>
      </c>
      <c r="C187" t="s">
        <v>78</v>
      </c>
      <c r="D187" s="1">
        <v>0.25</v>
      </c>
      <c r="E187" t="s">
        <v>79</v>
      </c>
      <c r="F187" s="1">
        <v>0.35</v>
      </c>
      <c r="G187" t="s">
        <v>30</v>
      </c>
      <c r="H187" s="1">
        <v>0.1</v>
      </c>
      <c r="I187" s="1"/>
      <c r="J187" s="1">
        <v>0.45</v>
      </c>
      <c r="K187" s="1">
        <v>0.45</v>
      </c>
      <c r="L187" s="1">
        <v>0.42</v>
      </c>
      <c r="M187" s="1">
        <v>0.37</v>
      </c>
      <c r="N187" s="1">
        <v>0.32</v>
      </c>
    </row>
    <row r="188" spans="1:14" x14ac:dyDescent="0.3">
      <c r="A188" t="s">
        <v>14</v>
      </c>
      <c r="B188" t="s">
        <v>117</v>
      </c>
      <c r="C188" t="s">
        <v>78</v>
      </c>
      <c r="D188" s="1">
        <v>0.25</v>
      </c>
      <c r="E188" t="s">
        <v>118</v>
      </c>
      <c r="F188" s="1">
        <v>0.2</v>
      </c>
      <c r="G188" t="s">
        <v>20</v>
      </c>
      <c r="H188" s="1">
        <v>0.6</v>
      </c>
      <c r="I188" s="1"/>
      <c r="J188" s="1">
        <v>0.45</v>
      </c>
      <c r="K188" s="1">
        <v>0.45</v>
      </c>
      <c r="L188" s="1">
        <v>0.42</v>
      </c>
      <c r="M188" s="1">
        <v>0.37</v>
      </c>
      <c r="N188" s="1">
        <v>0.32</v>
      </c>
    </row>
    <row r="189" spans="1:14" x14ac:dyDescent="0.3">
      <c r="A189" t="s">
        <v>14</v>
      </c>
      <c r="B189" t="s">
        <v>117</v>
      </c>
      <c r="C189" t="s">
        <v>78</v>
      </c>
      <c r="D189" s="1">
        <v>0.25</v>
      </c>
      <c r="E189" t="s">
        <v>81</v>
      </c>
      <c r="F189" s="1">
        <v>0.2</v>
      </c>
      <c r="G189" t="s">
        <v>24</v>
      </c>
      <c r="H189" s="1">
        <v>0.95</v>
      </c>
      <c r="I189" s="1"/>
      <c r="J189" s="1">
        <v>0.45</v>
      </c>
      <c r="K189" s="1">
        <v>0.45</v>
      </c>
      <c r="L189" s="1">
        <v>0.42</v>
      </c>
      <c r="M189" s="1">
        <v>0.37</v>
      </c>
      <c r="N189" s="1">
        <v>0.32</v>
      </c>
    </row>
    <row r="190" spans="1:14" x14ac:dyDescent="0.3">
      <c r="A190" t="s">
        <v>14</v>
      </c>
      <c r="B190" t="s">
        <v>117</v>
      </c>
      <c r="C190" t="s">
        <v>119</v>
      </c>
      <c r="D190" s="1">
        <v>0.15</v>
      </c>
      <c r="E190" t="s">
        <v>83</v>
      </c>
      <c r="F190" s="1">
        <v>0.3</v>
      </c>
      <c r="G190" t="s">
        <v>73</v>
      </c>
      <c r="H190" s="1">
        <v>0.7</v>
      </c>
      <c r="I190" s="1">
        <f>SUMPRODUCT(H190:H193,F190:F193)*D190</f>
        <v>6.8250000000000005E-2</v>
      </c>
      <c r="J190" s="1">
        <v>0.48</v>
      </c>
      <c r="K190" s="1">
        <v>0.48</v>
      </c>
      <c r="L190" s="1">
        <v>0.45</v>
      </c>
      <c r="M190" s="1">
        <v>0.4</v>
      </c>
      <c r="N190" s="1">
        <v>0.34</v>
      </c>
    </row>
    <row r="191" spans="1:14" x14ac:dyDescent="0.3">
      <c r="A191" t="s">
        <v>14</v>
      </c>
      <c r="B191" t="s">
        <v>117</v>
      </c>
      <c r="C191" t="s">
        <v>119</v>
      </c>
      <c r="D191" s="1">
        <v>0.15</v>
      </c>
      <c r="E191" t="s">
        <v>120</v>
      </c>
      <c r="F191" s="1">
        <v>0.25</v>
      </c>
      <c r="G191" t="s">
        <v>20</v>
      </c>
      <c r="H191" s="1">
        <v>0.6</v>
      </c>
      <c r="I191" s="1"/>
      <c r="J191" s="1">
        <v>0.48</v>
      </c>
      <c r="K191" s="1">
        <v>0.48</v>
      </c>
      <c r="L191" s="1">
        <v>0.45</v>
      </c>
      <c r="M191" s="1">
        <v>0.4</v>
      </c>
      <c r="N191" s="1">
        <v>0.34</v>
      </c>
    </row>
    <row r="192" spans="1:14" x14ac:dyDescent="0.3">
      <c r="A192" t="s">
        <v>14</v>
      </c>
      <c r="B192" t="s">
        <v>117</v>
      </c>
      <c r="C192" t="s">
        <v>119</v>
      </c>
      <c r="D192" s="1">
        <v>0.15</v>
      </c>
      <c r="E192" t="s">
        <v>121</v>
      </c>
      <c r="F192" s="1">
        <v>0.25</v>
      </c>
      <c r="G192" t="s">
        <v>56</v>
      </c>
      <c r="H192" s="1">
        <v>0.3</v>
      </c>
      <c r="I192" s="1"/>
      <c r="J192" s="1">
        <v>0.48</v>
      </c>
      <c r="K192" s="1">
        <v>0.48</v>
      </c>
      <c r="L192" s="1">
        <v>0.45</v>
      </c>
      <c r="M192" s="1">
        <v>0.4</v>
      </c>
      <c r="N192" s="1">
        <v>0.34</v>
      </c>
    </row>
    <row r="193" spans="1:14" x14ac:dyDescent="0.3">
      <c r="A193" t="s">
        <v>14</v>
      </c>
      <c r="B193" t="s">
        <v>117</v>
      </c>
      <c r="C193" t="s">
        <v>119</v>
      </c>
      <c r="D193" s="1">
        <v>0.15</v>
      </c>
      <c r="E193" t="s">
        <v>122</v>
      </c>
      <c r="F193" s="1">
        <v>0.2</v>
      </c>
      <c r="G193" t="s">
        <v>30</v>
      </c>
      <c r="H193" s="1">
        <v>0.1</v>
      </c>
      <c r="I193" s="1"/>
      <c r="J193" s="1">
        <v>0.48</v>
      </c>
      <c r="K193" s="1">
        <v>0.48</v>
      </c>
      <c r="L193" s="1">
        <v>0.45</v>
      </c>
      <c r="M193" s="1">
        <v>0.4</v>
      </c>
      <c r="N193" s="1">
        <v>0.34</v>
      </c>
    </row>
    <row r="194" spans="1:14" x14ac:dyDescent="0.3">
      <c r="A194" t="s">
        <v>14</v>
      </c>
      <c r="B194" t="s">
        <v>117</v>
      </c>
      <c r="C194" t="s">
        <v>16</v>
      </c>
      <c r="D194" s="1">
        <v>0.12</v>
      </c>
      <c r="E194" t="s">
        <v>17</v>
      </c>
      <c r="F194" s="1">
        <v>0.3</v>
      </c>
      <c r="G194" t="s">
        <v>18</v>
      </c>
      <c r="H194" s="1">
        <v>0.9</v>
      </c>
      <c r="I194" s="1">
        <f>SUMPRODUCT(H194:H197,F194:F197)*D194</f>
        <v>9.9300000000000013E-2</v>
      </c>
      <c r="J194" s="1">
        <v>0.62</v>
      </c>
      <c r="K194" s="1">
        <v>0.62</v>
      </c>
      <c r="L194" s="1">
        <v>0.57999999999999996</v>
      </c>
      <c r="M194" s="1">
        <v>0.52</v>
      </c>
      <c r="N194" s="1">
        <v>0.45</v>
      </c>
    </row>
    <row r="195" spans="1:14" x14ac:dyDescent="0.3">
      <c r="A195" t="s">
        <v>14</v>
      </c>
      <c r="B195" t="s">
        <v>117</v>
      </c>
      <c r="C195" t="s">
        <v>16</v>
      </c>
      <c r="D195" s="1">
        <v>0.12</v>
      </c>
      <c r="E195" t="s">
        <v>19</v>
      </c>
      <c r="F195" s="1">
        <v>0.25</v>
      </c>
      <c r="G195" t="s">
        <v>20</v>
      </c>
      <c r="H195" s="1">
        <v>0.6</v>
      </c>
      <c r="I195" s="1"/>
      <c r="J195" s="1">
        <v>0.62</v>
      </c>
      <c r="K195" s="1">
        <v>0.62</v>
      </c>
      <c r="L195" s="1">
        <v>0.57999999999999996</v>
      </c>
      <c r="M195" s="1">
        <v>0.52</v>
      </c>
      <c r="N195" s="1">
        <v>0.45</v>
      </c>
    </row>
    <row r="196" spans="1:14" x14ac:dyDescent="0.3">
      <c r="A196" t="s">
        <v>14</v>
      </c>
      <c r="B196" t="s">
        <v>117</v>
      </c>
      <c r="C196" t="s">
        <v>16</v>
      </c>
      <c r="D196" s="1">
        <v>0.12</v>
      </c>
      <c r="E196" t="s">
        <v>21</v>
      </c>
      <c r="F196" s="1">
        <v>0.2</v>
      </c>
      <c r="G196" t="s">
        <v>22</v>
      </c>
      <c r="H196" s="1">
        <v>0.85</v>
      </c>
      <c r="I196" s="1"/>
      <c r="J196" s="1">
        <v>0.62</v>
      </c>
      <c r="K196" s="1">
        <v>0.62</v>
      </c>
      <c r="L196" s="1">
        <v>0.57999999999999996</v>
      </c>
      <c r="M196" s="1">
        <v>0.52</v>
      </c>
      <c r="N196" s="1">
        <v>0.45</v>
      </c>
    </row>
    <row r="197" spans="1:14" x14ac:dyDescent="0.3">
      <c r="A197" t="s">
        <v>14</v>
      </c>
      <c r="B197" t="s">
        <v>117</v>
      </c>
      <c r="C197" t="s">
        <v>16</v>
      </c>
      <c r="D197" s="1">
        <v>0.12</v>
      </c>
      <c r="E197" t="s">
        <v>23</v>
      </c>
      <c r="F197" s="1">
        <v>0.25</v>
      </c>
      <c r="G197" t="s">
        <v>24</v>
      </c>
      <c r="H197" s="1">
        <v>0.95</v>
      </c>
      <c r="I197" s="1"/>
      <c r="J197" s="1">
        <v>0.62</v>
      </c>
      <c r="K197" s="1">
        <v>0.62</v>
      </c>
      <c r="L197" s="1">
        <v>0.57999999999999996</v>
      </c>
      <c r="M197" s="1">
        <v>0.52</v>
      </c>
      <c r="N197" s="1">
        <v>0.45</v>
      </c>
    </row>
    <row r="198" spans="1:14" x14ac:dyDescent="0.3">
      <c r="A198" t="s">
        <v>14</v>
      </c>
      <c r="B198" t="s">
        <v>117</v>
      </c>
      <c r="C198" t="s">
        <v>25</v>
      </c>
      <c r="D198" s="1">
        <v>0.1</v>
      </c>
      <c r="E198" t="s">
        <v>26</v>
      </c>
      <c r="F198" s="1">
        <v>0.25</v>
      </c>
      <c r="G198" t="s">
        <v>18</v>
      </c>
      <c r="H198" s="1">
        <v>0.9</v>
      </c>
      <c r="I198" s="1">
        <f>SUMPRODUCT(H198:H201,F198:F201)*D198</f>
        <v>6.2000000000000013E-2</v>
      </c>
      <c r="J198" s="1">
        <v>0.5</v>
      </c>
      <c r="K198" s="1">
        <v>0.5</v>
      </c>
      <c r="L198" s="1">
        <v>0.47</v>
      </c>
      <c r="M198" s="1">
        <v>0.42</v>
      </c>
      <c r="N198" s="1">
        <v>0.36</v>
      </c>
    </row>
    <row r="199" spans="1:14" x14ac:dyDescent="0.3">
      <c r="A199" t="s">
        <v>14</v>
      </c>
      <c r="B199" t="s">
        <v>117</v>
      </c>
      <c r="C199" t="s">
        <v>25</v>
      </c>
      <c r="D199" s="1">
        <v>0.1</v>
      </c>
      <c r="E199" t="s">
        <v>27</v>
      </c>
      <c r="F199" s="1">
        <v>0.25</v>
      </c>
      <c r="G199" t="s">
        <v>28</v>
      </c>
      <c r="H199" s="1">
        <v>0.7</v>
      </c>
      <c r="I199" s="1"/>
      <c r="J199" s="1">
        <v>0.5</v>
      </c>
      <c r="K199" s="1">
        <v>0.5</v>
      </c>
      <c r="L199" s="1">
        <v>0.47</v>
      </c>
      <c r="M199" s="1">
        <v>0.42</v>
      </c>
      <c r="N199" s="1">
        <v>0.36</v>
      </c>
    </row>
    <row r="200" spans="1:14" x14ac:dyDescent="0.3">
      <c r="A200" t="s">
        <v>14</v>
      </c>
      <c r="B200" t="s">
        <v>117</v>
      </c>
      <c r="C200" t="s">
        <v>25</v>
      </c>
      <c r="D200" s="1">
        <v>0.1</v>
      </c>
      <c r="E200" t="s">
        <v>29</v>
      </c>
      <c r="F200" s="1">
        <v>0.3</v>
      </c>
      <c r="G200" t="s">
        <v>30</v>
      </c>
      <c r="H200" s="1">
        <v>0.1</v>
      </c>
      <c r="I200" s="1"/>
      <c r="J200" s="1">
        <v>0.5</v>
      </c>
      <c r="K200" s="1">
        <v>0.5</v>
      </c>
      <c r="L200" s="1">
        <v>0.47</v>
      </c>
      <c r="M200" s="1">
        <v>0.42</v>
      </c>
      <c r="N200" s="1">
        <v>0.36</v>
      </c>
    </row>
    <row r="201" spans="1:14" x14ac:dyDescent="0.3">
      <c r="A201" t="s">
        <v>14</v>
      </c>
      <c r="B201" t="s">
        <v>117</v>
      </c>
      <c r="C201" t="s">
        <v>25</v>
      </c>
      <c r="D201" s="1">
        <v>0.1</v>
      </c>
      <c r="E201" t="s">
        <v>31</v>
      </c>
      <c r="F201" s="1">
        <v>0.2</v>
      </c>
      <c r="G201" t="s">
        <v>24</v>
      </c>
      <c r="H201" s="1">
        <v>0.95</v>
      </c>
      <c r="I201" s="1"/>
      <c r="J201" s="1">
        <v>0.5</v>
      </c>
      <c r="K201" s="1">
        <v>0.5</v>
      </c>
      <c r="L201" s="1">
        <v>0.47</v>
      </c>
      <c r="M201" s="1">
        <v>0.42</v>
      </c>
      <c r="N201" s="1">
        <v>0.36</v>
      </c>
    </row>
    <row r="202" spans="1:14" x14ac:dyDescent="0.3">
      <c r="A202" t="s">
        <v>14</v>
      </c>
      <c r="B202" t="s">
        <v>117</v>
      </c>
      <c r="C202" t="s">
        <v>37</v>
      </c>
      <c r="D202" s="1">
        <v>0.12</v>
      </c>
      <c r="E202" t="s">
        <v>38</v>
      </c>
      <c r="F202" s="1">
        <v>0.3</v>
      </c>
      <c r="G202" t="s">
        <v>18</v>
      </c>
      <c r="H202" s="1">
        <v>0.9</v>
      </c>
      <c r="I202" s="1">
        <f>SUMPRODUCT(H202:H205,F202:F205)*D202</f>
        <v>9.7200000000000009E-2</v>
      </c>
      <c r="J202" s="1">
        <v>0.64</v>
      </c>
      <c r="K202" s="1">
        <v>0.64</v>
      </c>
      <c r="L202" s="1">
        <v>0.6</v>
      </c>
      <c r="M202" s="1">
        <v>0.54</v>
      </c>
      <c r="N202" s="1">
        <v>0.47</v>
      </c>
    </row>
    <row r="203" spans="1:14" x14ac:dyDescent="0.3">
      <c r="A203" t="s">
        <v>14</v>
      </c>
      <c r="B203" t="s">
        <v>117</v>
      </c>
      <c r="C203" t="s">
        <v>37</v>
      </c>
      <c r="D203" s="1">
        <v>0.12</v>
      </c>
      <c r="E203" t="s">
        <v>39</v>
      </c>
      <c r="F203" s="1">
        <v>0.25</v>
      </c>
      <c r="G203" t="s">
        <v>40</v>
      </c>
      <c r="H203" s="1">
        <v>0.7</v>
      </c>
      <c r="I203" s="1"/>
      <c r="J203" s="1">
        <v>0.64</v>
      </c>
      <c r="K203" s="1">
        <v>0.64</v>
      </c>
      <c r="L203" s="1">
        <v>0.6</v>
      </c>
      <c r="M203" s="1">
        <v>0.54</v>
      </c>
      <c r="N203" s="1">
        <v>0.47</v>
      </c>
    </row>
    <row r="204" spans="1:14" x14ac:dyDescent="0.3">
      <c r="A204" t="s">
        <v>14</v>
      </c>
      <c r="B204" t="s">
        <v>117</v>
      </c>
      <c r="C204" t="s">
        <v>37</v>
      </c>
      <c r="D204" s="1">
        <v>0.12</v>
      </c>
      <c r="E204" t="s">
        <v>41</v>
      </c>
      <c r="F204" s="1">
        <v>0.25</v>
      </c>
      <c r="G204" t="s">
        <v>28</v>
      </c>
      <c r="H204" s="1">
        <v>0.7</v>
      </c>
      <c r="I204" s="1"/>
      <c r="J204" s="1">
        <v>0.64</v>
      </c>
      <c r="K204" s="1">
        <v>0.64</v>
      </c>
      <c r="L204" s="1">
        <v>0.6</v>
      </c>
      <c r="M204" s="1">
        <v>0.54</v>
      </c>
      <c r="N204" s="1">
        <v>0.47</v>
      </c>
    </row>
    <row r="205" spans="1:14" x14ac:dyDescent="0.3">
      <c r="A205" t="s">
        <v>14</v>
      </c>
      <c r="B205" t="s">
        <v>117</v>
      </c>
      <c r="C205" t="s">
        <v>37</v>
      </c>
      <c r="D205" s="1">
        <v>0.12</v>
      </c>
      <c r="E205" t="s">
        <v>42</v>
      </c>
      <c r="F205" s="1">
        <v>0.2</v>
      </c>
      <c r="G205" t="s">
        <v>24</v>
      </c>
      <c r="H205" s="1">
        <v>0.95</v>
      </c>
      <c r="I205" s="1"/>
      <c r="J205" s="1">
        <v>0.64</v>
      </c>
      <c r="K205" s="1">
        <v>0.64</v>
      </c>
      <c r="L205" s="1">
        <v>0.6</v>
      </c>
      <c r="M205" s="1">
        <v>0.54</v>
      </c>
      <c r="N205" s="1">
        <v>0.47</v>
      </c>
    </row>
    <row r="206" spans="1:14" x14ac:dyDescent="0.3">
      <c r="A206" t="s">
        <v>14</v>
      </c>
      <c r="B206" t="s">
        <v>117</v>
      </c>
      <c r="C206" t="s">
        <v>93</v>
      </c>
      <c r="D206" s="1">
        <v>0.15</v>
      </c>
      <c r="E206" t="s">
        <v>123</v>
      </c>
      <c r="F206" s="1">
        <v>0.25</v>
      </c>
      <c r="G206" t="s">
        <v>40</v>
      </c>
      <c r="H206" s="1">
        <v>0.7</v>
      </c>
      <c r="I206" s="1">
        <f>SUMPRODUCT(H206:H209,F206:F209)*D206</f>
        <v>8.8124999999999981E-2</v>
      </c>
      <c r="J206" s="1">
        <v>0.45</v>
      </c>
      <c r="K206" s="1">
        <v>0.45</v>
      </c>
      <c r="L206" s="1">
        <v>0.42</v>
      </c>
      <c r="M206" s="1">
        <v>0.37</v>
      </c>
      <c r="N206" s="1">
        <v>0.32</v>
      </c>
    </row>
    <row r="207" spans="1:14" x14ac:dyDescent="0.3">
      <c r="A207" t="s">
        <v>14</v>
      </c>
      <c r="B207" t="s">
        <v>117</v>
      </c>
      <c r="C207" t="s">
        <v>93</v>
      </c>
      <c r="D207" s="1">
        <v>0.15</v>
      </c>
      <c r="E207" t="s">
        <v>50</v>
      </c>
      <c r="F207" s="1">
        <v>0.25</v>
      </c>
      <c r="G207" t="s">
        <v>20</v>
      </c>
      <c r="H207" s="1">
        <v>0.6</v>
      </c>
      <c r="I207" s="1"/>
      <c r="J207" s="1">
        <v>0.45</v>
      </c>
      <c r="K207" s="1">
        <v>0.45</v>
      </c>
      <c r="L207" s="1">
        <v>0.42</v>
      </c>
      <c r="M207" s="1">
        <v>0.37</v>
      </c>
      <c r="N207" s="1">
        <v>0.32</v>
      </c>
    </row>
    <row r="208" spans="1:14" x14ac:dyDescent="0.3">
      <c r="A208" t="s">
        <v>14</v>
      </c>
      <c r="B208" t="s">
        <v>117</v>
      </c>
      <c r="C208" t="s">
        <v>93</v>
      </c>
      <c r="D208" s="1">
        <v>0.15</v>
      </c>
      <c r="E208" t="s">
        <v>124</v>
      </c>
      <c r="F208" s="1">
        <v>0.25</v>
      </c>
      <c r="G208" t="s">
        <v>30</v>
      </c>
      <c r="H208" s="1">
        <v>0.1</v>
      </c>
      <c r="I208" s="1"/>
      <c r="J208" s="1">
        <v>0.45</v>
      </c>
      <c r="K208" s="1">
        <v>0.45</v>
      </c>
      <c r="L208" s="1">
        <v>0.42</v>
      </c>
      <c r="M208" s="1">
        <v>0.37</v>
      </c>
      <c r="N208" s="1">
        <v>0.32</v>
      </c>
    </row>
    <row r="209" spans="1:14" x14ac:dyDescent="0.3">
      <c r="A209" t="s">
        <v>14</v>
      </c>
      <c r="B209" t="s">
        <v>117</v>
      </c>
      <c r="C209" t="s">
        <v>93</v>
      </c>
      <c r="D209" s="1">
        <v>0.15</v>
      </c>
      <c r="E209" t="s">
        <v>125</v>
      </c>
      <c r="F209" s="1">
        <v>0.25</v>
      </c>
      <c r="G209" t="s">
        <v>24</v>
      </c>
      <c r="H209" s="1">
        <v>0.95</v>
      </c>
      <c r="I209" s="1"/>
      <c r="J209" s="1">
        <v>0.45</v>
      </c>
      <c r="K209" s="1">
        <v>0.45</v>
      </c>
      <c r="L209" s="1">
        <v>0.42</v>
      </c>
      <c r="M209" s="1">
        <v>0.37</v>
      </c>
      <c r="N209" s="1">
        <v>0.32</v>
      </c>
    </row>
    <row r="210" spans="1:14" x14ac:dyDescent="0.3">
      <c r="A210" t="s">
        <v>14</v>
      </c>
      <c r="B210" t="s">
        <v>117</v>
      </c>
      <c r="C210" t="s">
        <v>54</v>
      </c>
      <c r="D210" s="1">
        <v>0.11</v>
      </c>
      <c r="E210" t="s">
        <v>55</v>
      </c>
      <c r="F210" s="1">
        <v>0.3</v>
      </c>
      <c r="G210" t="s">
        <v>56</v>
      </c>
      <c r="H210" s="1">
        <v>0.3</v>
      </c>
      <c r="I210" s="1">
        <f>SUMPRODUCT(H210:H213,F210:F213)*D210</f>
        <v>5.0050000000000004E-2</v>
      </c>
      <c r="J210" s="1">
        <v>0.38</v>
      </c>
      <c r="K210" s="1">
        <v>0.38</v>
      </c>
      <c r="L210" s="1">
        <v>0.35</v>
      </c>
      <c r="M210" s="1">
        <v>0.31</v>
      </c>
      <c r="N210" s="1">
        <v>0.27</v>
      </c>
    </row>
    <row r="211" spans="1:14" x14ac:dyDescent="0.3">
      <c r="A211" t="s">
        <v>14</v>
      </c>
      <c r="B211" t="s">
        <v>117</v>
      </c>
      <c r="C211" t="s">
        <v>54</v>
      </c>
      <c r="D211" s="1">
        <v>0.11</v>
      </c>
      <c r="E211" t="s">
        <v>57</v>
      </c>
      <c r="F211" s="1">
        <v>0.25</v>
      </c>
      <c r="G211" t="s">
        <v>20</v>
      </c>
      <c r="H211" s="1">
        <v>0.6</v>
      </c>
      <c r="I211" s="1"/>
      <c r="J211" s="1">
        <v>0.38</v>
      </c>
      <c r="K211" s="1">
        <v>0.38</v>
      </c>
      <c r="L211" s="1">
        <v>0.35</v>
      </c>
      <c r="M211" s="1">
        <v>0.31</v>
      </c>
      <c r="N211" s="1">
        <v>0.27</v>
      </c>
    </row>
    <row r="212" spans="1:14" x14ac:dyDescent="0.3">
      <c r="A212" t="s">
        <v>14</v>
      </c>
      <c r="B212" t="s">
        <v>117</v>
      </c>
      <c r="C212" t="s">
        <v>54</v>
      </c>
      <c r="D212" s="1">
        <v>0.11</v>
      </c>
      <c r="E212" t="s">
        <v>58</v>
      </c>
      <c r="F212" s="1">
        <v>0.25</v>
      </c>
      <c r="G212" t="s">
        <v>30</v>
      </c>
      <c r="H212" s="1">
        <v>0.1</v>
      </c>
      <c r="I212" s="1"/>
      <c r="J212" s="1">
        <v>0.38</v>
      </c>
      <c r="K212" s="1">
        <v>0.38</v>
      </c>
      <c r="L212" s="1">
        <v>0.35</v>
      </c>
      <c r="M212" s="1">
        <v>0.31</v>
      </c>
      <c r="N212" s="1">
        <v>0.27</v>
      </c>
    </row>
    <row r="213" spans="1:14" x14ac:dyDescent="0.3">
      <c r="A213" t="s">
        <v>14</v>
      </c>
      <c r="B213" t="s">
        <v>117</v>
      </c>
      <c r="C213" t="s">
        <v>54</v>
      </c>
      <c r="D213" s="1">
        <v>0.11</v>
      </c>
      <c r="E213" t="s">
        <v>59</v>
      </c>
      <c r="F213" s="1">
        <v>0.2</v>
      </c>
      <c r="G213" t="s">
        <v>24</v>
      </c>
      <c r="H213" s="1">
        <v>0.95</v>
      </c>
      <c r="I213" s="1"/>
      <c r="J213" s="1">
        <v>0.38</v>
      </c>
      <c r="K213" s="1">
        <v>0.38</v>
      </c>
      <c r="L213" s="1">
        <v>0.35</v>
      </c>
      <c r="M213" s="1">
        <v>0.31</v>
      </c>
      <c r="N213" s="1">
        <v>0.27</v>
      </c>
    </row>
    <row r="214" spans="1:14" x14ac:dyDescent="0.3">
      <c r="I214" s="2">
        <f>SUM(I186:I213)</f>
        <v>0.59492500000000004</v>
      </c>
      <c r="J214" s="2">
        <f>J186*$D186+J190*$D190+J194*$D194+J198*$D198+J202*$D202+J206*$D206+J210*$D210</f>
        <v>0.495</v>
      </c>
      <c r="K214" s="2">
        <f t="shared" ref="K214:N214" si="6">K186*$D186+K190*$D190+K194*$D194+K198*$D198+K202*$D202+K206*$D206+K210*$D210</f>
        <v>0.495</v>
      </c>
      <c r="L214" s="2">
        <f t="shared" si="6"/>
        <v>0.46259999999999996</v>
      </c>
      <c r="M214" s="2">
        <f t="shared" si="6"/>
        <v>0.4113</v>
      </c>
      <c r="N214" s="2">
        <f t="shared" si="6"/>
        <v>0.35509999999999997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15"/>
  <sheetViews>
    <sheetView workbookViewId="0"/>
  </sheetViews>
  <sheetFormatPr defaultRowHeight="14.4" x14ac:dyDescent="0.3"/>
  <cols>
    <col min="2" max="2" width="25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126</v>
      </c>
      <c r="B2" t="s">
        <v>127</v>
      </c>
      <c r="C2" t="s">
        <v>128</v>
      </c>
      <c r="D2" s="1">
        <v>0.3</v>
      </c>
      <c r="E2" t="s">
        <v>129</v>
      </c>
      <c r="F2" s="1">
        <v>0.25</v>
      </c>
      <c r="G2" t="s">
        <v>20</v>
      </c>
      <c r="H2" s="1">
        <v>0.6</v>
      </c>
      <c r="I2" s="1">
        <f>SUMPRODUCT(H2:H5,F2:F5)*D2</f>
        <v>0.13499999999999998</v>
      </c>
      <c r="J2" s="1">
        <v>0.43</v>
      </c>
      <c r="K2" s="1">
        <v>0.43</v>
      </c>
      <c r="L2" s="1">
        <v>0.4</v>
      </c>
      <c r="M2" s="1">
        <v>0.36</v>
      </c>
      <c r="N2" s="1">
        <v>0.31</v>
      </c>
    </row>
    <row r="3" spans="1:14" x14ac:dyDescent="0.3">
      <c r="A3" t="s">
        <v>126</v>
      </c>
      <c r="B3" t="s">
        <v>127</v>
      </c>
      <c r="C3" t="s">
        <v>128</v>
      </c>
      <c r="D3" s="1">
        <v>0.3</v>
      </c>
      <c r="E3" t="s">
        <v>130</v>
      </c>
      <c r="F3" s="1">
        <v>0.35</v>
      </c>
      <c r="G3" t="s">
        <v>30</v>
      </c>
      <c r="H3" s="1">
        <v>0.1</v>
      </c>
      <c r="I3" s="1"/>
      <c r="J3" s="1"/>
      <c r="K3" s="1"/>
      <c r="L3" s="1"/>
      <c r="M3" s="1"/>
      <c r="N3" s="1"/>
    </row>
    <row r="4" spans="1:14" x14ac:dyDescent="0.3">
      <c r="A4" t="s">
        <v>126</v>
      </c>
      <c r="B4" t="s">
        <v>127</v>
      </c>
      <c r="C4" t="s">
        <v>128</v>
      </c>
      <c r="D4" s="1">
        <v>0.3</v>
      </c>
      <c r="E4" t="s">
        <v>131</v>
      </c>
      <c r="F4" s="1">
        <v>0.25</v>
      </c>
      <c r="G4" t="s">
        <v>73</v>
      </c>
      <c r="H4" s="1">
        <v>0.7</v>
      </c>
      <c r="I4" s="1"/>
      <c r="J4" s="1"/>
      <c r="K4" s="1"/>
      <c r="L4" s="1"/>
      <c r="M4" s="1"/>
      <c r="N4" s="1"/>
    </row>
    <row r="5" spans="1:14" x14ac:dyDescent="0.3">
      <c r="A5" t="s">
        <v>126</v>
      </c>
      <c r="B5" t="s">
        <v>127</v>
      </c>
      <c r="C5" t="s">
        <v>128</v>
      </c>
      <c r="D5" s="1">
        <v>0.3</v>
      </c>
      <c r="E5" t="s">
        <v>132</v>
      </c>
      <c r="F5" s="1">
        <v>0.15</v>
      </c>
      <c r="G5" t="s">
        <v>20</v>
      </c>
      <c r="H5" s="1">
        <v>0.6</v>
      </c>
      <c r="I5" s="1"/>
      <c r="J5" s="1"/>
      <c r="K5" s="1"/>
      <c r="L5" s="1"/>
      <c r="M5" s="1"/>
      <c r="N5" s="1"/>
    </row>
    <row r="6" spans="1:14" x14ac:dyDescent="0.3">
      <c r="A6" t="s">
        <v>126</v>
      </c>
      <c r="B6" t="s">
        <v>127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0.68</v>
      </c>
      <c r="K6" s="1">
        <v>0.68</v>
      </c>
      <c r="L6" s="1">
        <v>0.63</v>
      </c>
      <c r="M6" s="1">
        <v>0.57999999999999996</v>
      </c>
      <c r="N6" s="1">
        <v>0.52</v>
      </c>
    </row>
    <row r="7" spans="1:14" x14ac:dyDescent="0.3">
      <c r="A7" t="s">
        <v>126</v>
      </c>
      <c r="B7" t="s">
        <v>127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/>
      <c r="K7" s="1"/>
      <c r="L7" s="1"/>
      <c r="M7" s="1"/>
      <c r="N7" s="1"/>
    </row>
    <row r="8" spans="1:14" x14ac:dyDescent="0.3">
      <c r="A8" t="s">
        <v>126</v>
      </c>
      <c r="B8" t="s">
        <v>127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/>
      <c r="K8" s="1"/>
      <c r="L8" s="1"/>
      <c r="M8" s="1"/>
      <c r="N8" s="1"/>
    </row>
    <row r="9" spans="1:14" x14ac:dyDescent="0.3">
      <c r="A9" t="s">
        <v>126</v>
      </c>
      <c r="B9" t="s">
        <v>127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/>
      <c r="K9" s="1"/>
      <c r="L9" s="1"/>
      <c r="M9" s="1"/>
      <c r="N9" s="1"/>
    </row>
    <row r="10" spans="1:14" x14ac:dyDescent="0.3">
      <c r="A10" t="s">
        <v>126</v>
      </c>
      <c r="B10" t="s">
        <v>127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0.45</v>
      </c>
      <c r="M10" s="1">
        <v>0.41</v>
      </c>
      <c r="N10" s="1">
        <v>0.37</v>
      </c>
    </row>
    <row r="11" spans="1:14" x14ac:dyDescent="0.3">
      <c r="A11" t="s">
        <v>126</v>
      </c>
      <c r="B11" t="s">
        <v>127</v>
      </c>
      <c r="C11" t="s">
        <v>25</v>
      </c>
      <c r="D11" s="1">
        <v>0.15</v>
      </c>
      <c r="E11" t="s">
        <v>133</v>
      </c>
      <c r="F11" s="1">
        <v>0.25</v>
      </c>
      <c r="G11" t="s">
        <v>28</v>
      </c>
      <c r="H11" s="1">
        <v>0.7</v>
      </c>
      <c r="I11" s="1"/>
      <c r="J11" s="1"/>
      <c r="K11" s="1"/>
      <c r="L11" s="1"/>
      <c r="M11" s="1"/>
      <c r="N11" s="1"/>
    </row>
    <row r="12" spans="1:14" x14ac:dyDescent="0.3">
      <c r="A12" t="s">
        <v>126</v>
      </c>
      <c r="B12" t="s">
        <v>127</v>
      </c>
      <c r="C12" t="s">
        <v>25</v>
      </c>
      <c r="D12" s="1">
        <v>0.15</v>
      </c>
      <c r="E12" t="s">
        <v>134</v>
      </c>
      <c r="F12" s="1">
        <v>0.3</v>
      </c>
      <c r="G12" t="s">
        <v>30</v>
      </c>
      <c r="H12" s="1">
        <v>0.1</v>
      </c>
      <c r="I12" s="1"/>
      <c r="J12" s="1"/>
      <c r="K12" s="1"/>
      <c r="L12" s="1"/>
      <c r="M12" s="1"/>
      <c r="N12" s="1"/>
    </row>
    <row r="13" spans="1:14" x14ac:dyDescent="0.3">
      <c r="A13" t="s">
        <v>126</v>
      </c>
      <c r="B13" t="s">
        <v>127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/>
      <c r="K13" s="1"/>
      <c r="L13" s="1"/>
      <c r="M13" s="1"/>
      <c r="N13" s="1"/>
    </row>
    <row r="14" spans="1:14" x14ac:dyDescent="0.3">
      <c r="A14" t="s">
        <v>126</v>
      </c>
      <c r="B14" t="s">
        <v>127</v>
      </c>
      <c r="C14" t="s">
        <v>135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0.68</v>
      </c>
      <c r="K14" s="1">
        <v>0.68</v>
      </c>
      <c r="L14" s="1">
        <v>0.64</v>
      </c>
      <c r="M14" s="1">
        <v>0.59</v>
      </c>
      <c r="N14" s="1">
        <v>0.54</v>
      </c>
    </row>
    <row r="15" spans="1:14" x14ac:dyDescent="0.3">
      <c r="A15" t="s">
        <v>126</v>
      </c>
      <c r="B15" t="s">
        <v>127</v>
      </c>
      <c r="C15" t="s">
        <v>135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/>
      <c r="K15" s="1"/>
      <c r="L15" s="1"/>
      <c r="M15" s="1"/>
      <c r="N15" s="1"/>
    </row>
    <row r="16" spans="1:14" x14ac:dyDescent="0.3">
      <c r="A16" t="s">
        <v>126</v>
      </c>
      <c r="B16" t="s">
        <v>127</v>
      </c>
      <c r="C16" t="s">
        <v>135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/>
      <c r="K16" s="1"/>
      <c r="L16" s="1"/>
      <c r="M16" s="1"/>
      <c r="N16" s="1"/>
    </row>
    <row r="17" spans="1:14" x14ac:dyDescent="0.3">
      <c r="A17" t="s">
        <v>126</v>
      </c>
      <c r="B17" t="s">
        <v>127</v>
      </c>
      <c r="C17" t="s">
        <v>135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/>
      <c r="K17" s="1"/>
      <c r="L17" s="1"/>
      <c r="M17" s="1"/>
      <c r="N17" s="1"/>
    </row>
    <row r="18" spans="1:14" x14ac:dyDescent="0.3">
      <c r="A18" t="s">
        <v>126</v>
      </c>
      <c r="B18" t="s">
        <v>127</v>
      </c>
      <c r="C18" t="s">
        <v>136</v>
      </c>
      <c r="D18" s="1">
        <v>0.2</v>
      </c>
      <c r="E18" t="s">
        <v>50</v>
      </c>
      <c r="F18" s="1">
        <v>0.3</v>
      </c>
      <c r="G18" t="s">
        <v>20</v>
      </c>
      <c r="H18" s="1">
        <v>0.6</v>
      </c>
      <c r="I18" s="1">
        <f>SUMPRODUCT(H18:H21,F18:F21)*D18</f>
        <v>9.4E-2</v>
      </c>
      <c r="J18" s="1">
        <v>0.35</v>
      </c>
      <c r="K18" s="1">
        <v>0.35</v>
      </c>
      <c r="L18" s="1">
        <v>0.33</v>
      </c>
      <c r="M18" s="1">
        <v>0.3</v>
      </c>
      <c r="N18" s="1">
        <v>0.26</v>
      </c>
    </row>
    <row r="19" spans="1:14" x14ac:dyDescent="0.3">
      <c r="A19" t="s">
        <v>126</v>
      </c>
      <c r="B19" t="s">
        <v>127</v>
      </c>
      <c r="C19" t="s">
        <v>136</v>
      </c>
      <c r="D19" s="1">
        <v>0.2</v>
      </c>
      <c r="E19" t="s">
        <v>137</v>
      </c>
      <c r="F19" s="1">
        <v>0.25</v>
      </c>
      <c r="G19" t="s">
        <v>30</v>
      </c>
      <c r="H19" s="1">
        <v>0.1</v>
      </c>
      <c r="I19" s="1"/>
      <c r="J19" s="1"/>
      <c r="K19" s="1"/>
      <c r="L19" s="1"/>
      <c r="M19" s="1"/>
      <c r="N19" s="1"/>
    </row>
    <row r="20" spans="1:14" x14ac:dyDescent="0.3">
      <c r="A20" t="s">
        <v>126</v>
      </c>
      <c r="B20" t="s">
        <v>127</v>
      </c>
      <c r="C20" t="s">
        <v>136</v>
      </c>
      <c r="D20" s="1">
        <v>0.2</v>
      </c>
      <c r="E20" t="s">
        <v>138</v>
      </c>
      <c r="F20" s="1">
        <v>0.25</v>
      </c>
      <c r="G20" t="s">
        <v>56</v>
      </c>
      <c r="H20" s="1">
        <v>0.3</v>
      </c>
      <c r="I20" s="1"/>
      <c r="J20" s="1"/>
      <c r="K20" s="1"/>
      <c r="L20" s="1"/>
      <c r="M20" s="1"/>
      <c r="N20" s="1"/>
    </row>
    <row r="21" spans="1:14" x14ac:dyDescent="0.3">
      <c r="A21" t="s">
        <v>126</v>
      </c>
      <c r="B21" t="s">
        <v>127</v>
      </c>
      <c r="C21" t="s">
        <v>136</v>
      </c>
      <c r="D21" s="1">
        <v>0.2</v>
      </c>
      <c r="E21" t="s">
        <v>139</v>
      </c>
      <c r="F21" s="1">
        <v>0.2</v>
      </c>
      <c r="G21" t="s">
        <v>24</v>
      </c>
      <c r="H21" s="1">
        <v>0.95</v>
      </c>
      <c r="I21" s="1"/>
      <c r="J21" s="1"/>
      <c r="K21" s="1"/>
      <c r="L21" s="1"/>
      <c r="M21" s="1"/>
      <c r="N21" s="1"/>
    </row>
    <row r="22" spans="1:14" x14ac:dyDescent="0.3">
      <c r="D22" s="1"/>
      <c r="F22" s="1"/>
      <c r="H22" s="1"/>
      <c r="I22" s="2">
        <f>SUM(I2:I21)</f>
        <v>0.60899999999999999</v>
      </c>
      <c r="J22" s="2">
        <f>+J2*$D2+J6*$D6+J10*$D10+J14*$D14+J18*$D18</f>
        <v>0.50900000000000001</v>
      </c>
      <c r="K22" s="2">
        <f t="shared" ref="K22:N22" si="0">+K2*$D2+K6*$D6+K10*$D10+K14*$D14+K18*$D18</f>
        <v>0.50900000000000001</v>
      </c>
      <c r="L22" s="2">
        <f t="shared" si="0"/>
        <v>0.47549999999999998</v>
      </c>
      <c r="M22" s="2">
        <f t="shared" si="0"/>
        <v>0.434</v>
      </c>
      <c r="N22" s="2">
        <f t="shared" si="0"/>
        <v>0.38550000000000001</v>
      </c>
    </row>
    <row r="23" spans="1:14" x14ac:dyDescent="0.3">
      <c r="D23" s="1"/>
      <c r="F23" s="1"/>
      <c r="H23" s="1"/>
      <c r="I23" s="1"/>
      <c r="J23" s="1"/>
      <c r="K23" s="1"/>
      <c r="L23" s="1"/>
      <c r="M23" s="1"/>
      <c r="N23" s="1"/>
    </row>
    <row r="24" spans="1:14" x14ac:dyDescent="0.3">
      <c r="A24" t="s">
        <v>126</v>
      </c>
      <c r="B24" t="s">
        <v>140</v>
      </c>
      <c r="C24" t="s">
        <v>141</v>
      </c>
      <c r="D24" s="1">
        <v>0.25</v>
      </c>
      <c r="E24" t="s">
        <v>142</v>
      </c>
      <c r="F24" s="1">
        <v>0.25</v>
      </c>
      <c r="G24" t="s">
        <v>28</v>
      </c>
      <c r="H24" s="1">
        <v>0.7</v>
      </c>
      <c r="I24" s="1">
        <f>SUMPRODUCT(H24:H27,F24:F27)*D24</f>
        <v>0.13</v>
      </c>
      <c r="J24" s="1">
        <v>0.4</v>
      </c>
      <c r="K24" s="1">
        <v>0.4</v>
      </c>
      <c r="L24" s="1">
        <v>0.37</v>
      </c>
      <c r="M24" s="1">
        <v>0.33</v>
      </c>
      <c r="N24" s="1">
        <v>0.28999999999999998</v>
      </c>
    </row>
    <row r="25" spans="1:14" x14ac:dyDescent="0.3">
      <c r="A25" t="s">
        <v>126</v>
      </c>
      <c r="B25" t="s">
        <v>140</v>
      </c>
      <c r="C25" t="s">
        <v>141</v>
      </c>
      <c r="D25" s="1">
        <v>0.25</v>
      </c>
      <c r="E25" t="s">
        <v>143</v>
      </c>
      <c r="F25" s="1">
        <v>0.35</v>
      </c>
      <c r="G25" t="s">
        <v>30</v>
      </c>
      <c r="H25" s="1">
        <v>0.1</v>
      </c>
      <c r="I25" s="1"/>
      <c r="J25" s="1">
        <v>0.4</v>
      </c>
      <c r="K25" s="1">
        <v>0.4</v>
      </c>
      <c r="L25" s="1">
        <v>0.37</v>
      </c>
      <c r="M25" s="1">
        <v>0.33</v>
      </c>
      <c r="N25" s="1">
        <v>0.28999999999999998</v>
      </c>
    </row>
    <row r="26" spans="1:14" x14ac:dyDescent="0.3">
      <c r="A26" t="s">
        <v>126</v>
      </c>
      <c r="B26" t="s">
        <v>140</v>
      </c>
      <c r="C26" t="s">
        <v>141</v>
      </c>
      <c r="D26" s="1">
        <v>0.25</v>
      </c>
      <c r="E26" t="s">
        <v>144</v>
      </c>
      <c r="F26" s="1">
        <v>0.2</v>
      </c>
      <c r="G26" t="s">
        <v>20</v>
      </c>
      <c r="H26" s="1">
        <v>0.6</v>
      </c>
      <c r="I26" s="1"/>
      <c r="J26" s="1">
        <v>0.4</v>
      </c>
      <c r="K26" s="1">
        <v>0.4</v>
      </c>
      <c r="L26" s="1">
        <v>0.37</v>
      </c>
      <c r="M26" s="1">
        <v>0.33</v>
      </c>
      <c r="N26" s="1">
        <v>0.28999999999999998</v>
      </c>
    </row>
    <row r="27" spans="1:14" x14ac:dyDescent="0.3">
      <c r="A27" t="s">
        <v>126</v>
      </c>
      <c r="B27" t="s">
        <v>140</v>
      </c>
      <c r="C27" t="s">
        <v>141</v>
      </c>
      <c r="D27" s="1">
        <v>0.25</v>
      </c>
      <c r="E27" t="s">
        <v>108</v>
      </c>
      <c r="F27" s="1">
        <v>0.2</v>
      </c>
      <c r="G27" t="s">
        <v>24</v>
      </c>
      <c r="H27" s="1">
        <v>0.95</v>
      </c>
      <c r="I27" s="1"/>
      <c r="J27" s="1">
        <v>0.4</v>
      </c>
      <c r="K27" s="1">
        <v>0.4</v>
      </c>
      <c r="L27" s="1">
        <v>0.37</v>
      </c>
      <c r="M27" s="1">
        <v>0.33</v>
      </c>
      <c r="N27" s="1">
        <v>0.28999999999999998</v>
      </c>
    </row>
    <row r="28" spans="1:14" x14ac:dyDescent="0.3">
      <c r="A28" t="s">
        <v>126</v>
      </c>
      <c r="B28" t="s">
        <v>140</v>
      </c>
      <c r="C28" t="s">
        <v>145</v>
      </c>
      <c r="D28" s="1">
        <v>0.2</v>
      </c>
      <c r="E28" t="s">
        <v>72</v>
      </c>
      <c r="F28" s="1">
        <v>0.3</v>
      </c>
      <c r="G28" t="s">
        <v>73</v>
      </c>
      <c r="H28" s="1">
        <v>0.7</v>
      </c>
      <c r="I28" s="1">
        <f>SUMPRODUCT(H28:H31,F28:F31)*D28</f>
        <v>9.1000000000000011E-2</v>
      </c>
      <c r="J28" s="1">
        <v>0.36</v>
      </c>
      <c r="K28" s="1">
        <v>0.36</v>
      </c>
      <c r="L28" s="1">
        <v>0.33</v>
      </c>
      <c r="M28" s="1">
        <v>0.3</v>
      </c>
      <c r="N28" s="1">
        <v>0.27</v>
      </c>
    </row>
    <row r="29" spans="1:14" x14ac:dyDescent="0.3">
      <c r="A29" t="s">
        <v>126</v>
      </c>
      <c r="B29" t="s">
        <v>140</v>
      </c>
      <c r="C29" t="s">
        <v>145</v>
      </c>
      <c r="D29" s="1">
        <v>0.2</v>
      </c>
      <c r="E29" t="s">
        <v>146</v>
      </c>
      <c r="F29" s="1">
        <v>0.25</v>
      </c>
      <c r="G29" t="s">
        <v>20</v>
      </c>
      <c r="H29" s="1">
        <v>0.6</v>
      </c>
      <c r="I29" s="1"/>
      <c r="J29" s="1">
        <v>0.36</v>
      </c>
      <c r="K29" s="1">
        <v>0.36</v>
      </c>
      <c r="L29" s="1">
        <v>0.33</v>
      </c>
      <c r="M29" s="1">
        <v>0.3</v>
      </c>
      <c r="N29" s="1">
        <v>0.27</v>
      </c>
    </row>
    <row r="30" spans="1:14" x14ac:dyDescent="0.3">
      <c r="A30" t="s">
        <v>126</v>
      </c>
      <c r="B30" t="s">
        <v>140</v>
      </c>
      <c r="C30" t="s">
        <v>145</v>
      </c>
      <c r="D30" s="1">
        <v>0.2</v>
      </c>
      <c r="E30" t="s">
        <v>147</v>
      </c>
      <c r="F30" s="1">
        <v>0.25</v>
      </c>
      <c r="G30" t="s">
        <v>56</v>
      </c>
      <c r="H30" s="1">
        <v>0.3</v>
      </c>
      <c r="I30" s="1"/>
      <c r="J30" s="1">
        <v>0.36</v>
      </c>
      <c r="K30" s="1">
        <v>0.36</v>
      </c>
      <c r="L30" s="1">
        <v>0.33</v>
      </c>
      <c r="M30" s="1">
        <v>0.3</v>
      </c>
      <c r="N30" s="1">
        <v>0.27</v>
      </c>
    </row>
    <row r="31" spans="1:14" x14ac:dyDescent="0.3">
      <c r="A31" t="s">
        <v>126</v>
      </c>
      <c r="B31" t="s">
        <v>140</v>
      </c>
      <c r="C31" t="s">
        <v>145</v>
      </c>
      <c r="D31" s="1">
        <v>0.2</v>
      </c>
      <c r="E31" t="s">
        <v>76</v>
      </c>
      <c r="F31" s="1">
        <v>0.2</v>
      </c>
      <c r="G31" t="s">
        <v>30</v>
      </c>
      <c r="H31" s="1">
        <v>0.1</v>
      </c>
      <c r="I31" s="1"/>
      <c r="J31" s="1">
        <v>0.36</v>
      </c>
      <c r="K31" s="1">
        <v>0.36</v>
      </c>
      <c r="L31" s="1">
        <v>0.33</v>
      </c>
      <c r="M31" s="1">
        <v>0.3</v>
      </c>
      <c r="N31" s="1">
        <v>0.27</v>
      </c>
    </row>
    <row r="32" spans="1:14" x14ac:dyDescent="0.3">
      <c r="A32" t="s">
        <v>126</v>
      </c>
      <c r="B32" t="s">
        <v>140</v>
      </c>
      <c r="C32" t="s">
        <v>16</v>
      </c>
      <c r="D32" s="1">
        <v>0.2</v>
      </c>
      <c r="E32" t="s">
        <v>17</v>
      </c>
      <c r="F32" s="1">
        <v>0.3</v>
      </c>
      <c r="G32" t="s">
        <v>18</v>
      </c>
      <c r="H32" s="1">
        <v>0.9</v>
      </c>
      <c r="I32" s="1">
        <f>SUMPRODUCT(H32:H35,F32:F35)*D32</f>
        <v>0.16550000000000004</v>
      </c>
      <c r="J32" s="1">
        <v>0.68</v>
      </c>
      <c r="K32" s="1">
        <v>0.68</v>
      </c>
      <c r="L32" s="1">
        <v>0.63</v>
      </c>
      <c r="M32" s="1">
        <v>0.57999999999999996</v>
      </c>
      <c r="N32" s="1">
        <v>0.52</v>
      </c>
    </row>
    <row r="33" spans="1:14" x14ac:dyDescent="0.3">
      <c r="A33" t="s">
        <v>126</v>
      </c>
      <c r="B33" t="s">
        <v>140</v>
      </c>
      <c r="C33" t="s">
        <v>16</v>
      </c>
      <c r="D33" s="1">
        <v>0.2</v>
      </c>
      <c r="E33" t="s">
        <v>19</v>
      </c>
      <c r="F33" s="1">
        <v>0.25</v>
      </c>
      <c r="G33" t="s">
        <v>20</v>
      </c>
      <c r="H33" s="1">
        <v>0.6</v>
      </c>
      <c r="I33" s="1"/>
      <c r="J33" s="1">
        <v>0.68</v>
      </c>
      <c r="K33" s="1">
        <v>0.68</v>
      </c>
      <c r="L33" s="1">
        <v>0.63</v>
      </c>
      <c r="M33" s="1">
        <v>0.57999999999999996</v>
      </c>
      <c r="N33" s="1">
        <v>0.52</v>
      </c>
    </row>
    <row r="34" spans="1:14" x14ac:dyDescent="0.3">
      <c r="A34" t="s">
        <v>126</v>
      </c>
      <c r="B34" t="s">
        <v>140</v>
      </c>
      <c r="C34" t="s">
        <v>16</v>
      </c>
      <c r="D34" s="1">
        <v>0.2</v>
      </c>
      <c r="E34" t="s">
        <v>21</v>
      </c>
      <c r="F34" s="1">
        <v>0.2</v>
      </c>
      <c r="G34" t="s">
        <v>22</v>
      </c>
      <c r="H34" s="1">
        <v>0.85</v>
      </c>
      <c r="I34" s="1"/>
      <c r="J34" s="1">
        <v>0.68</v>
      </c>
      <c r="K34" s="1">
        <v>0.68</v>
      </c>
      <c r="L34" s="1">
        <v>0.63</v>
      </c>
      <c r="M34" s="1">
        <v>0.57999999999999996</v>
      </c>
      <c r="N34" s="1">
        <v>0.52</v>
      </c>
    </row>
    <row r="35" spans="1:14" x14ac:dyDescent="0.3">
      <c r="A35" t="s">
        <v>126</v>
      </c>
      <c r="B35" t="s">
        <v>140</v>
      </c>
      <c r="C35" t="s">
        <v>16</v>
      </c>
      <c r="D35" s="1">
        <v>0.2</v>
      </c>
      <c r="E35" t="s">
        <v>23</v>
      </c>
      <c r="F35" s="1">
        <v>0.25</v>
      </c>
      <c r="G35" t="s">
        <v>24</v>
      </c>
      <c r="H35" s="1">
        <v>0.95</v>
      </c>
      <c r="I35" s="1"/>
      <c r="J35" s="1">
        <v>0.68</v>
      </c>
      <c r="K35" s="1">
        <v>0.68</v>
      </c>
      <c r="L35" s="1">
        <v>0.63</v>
      </c>
      <c r="M35" s="1">
        <v>0.57999999999999996</v>
      </c>
      <c r="N35" s="1">
        <v>0.52</v>
      </c>
    </row>
    <row r="36" spans="1:14" x14ac:dyDescent="0.3">
      <c r="A36" t="s">
        <v>126</v>
      </c>
      <c r="B36" t="s">
        <v>140</v>
      </c>
      <c r="C36" t="s">
        <v>25</v>
      </c>
      <c r="D36" s="1">
        <v>0.1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6.2000000000000013E-2</v>
      </c>
      <c r="J36" s="1">
        <v>0.48</v>
      </c>
      <c r="K36" s="1">
        <v>0.48</v>
      </c>
      <c r="L36" s="1">
        <v>0.45</v>
      </c>
      <c r="M36" s="1">
        <v>0.41</v>
      </c>
      <c r="N36" s="1">
        <v>0.37</v>
      </c>
    </row>
    <row r="37" spans="1:14" x14ac:dyDescent="0.3">
      <c r="A37" t="s">
        <v>126</v>
      </c>
      <c r="B37" t="s">
        <v>140</v>
      </c>
      <c r="C37" t="s">
        <v>25</v>
      </c>
      <c r="D37" s="1">
        <v>0.1</v>
      </c>
      <c r="E37" t="s">
        <v>27</v>
      </c>
      <c r="F37" s="1">
        <v>0.25</v>
      </c>
      <c r="G37" t="s">
        <v>28</v>
      </c>
      <c r="H37" s="1">
        <v>0.7</v>
      </c>
      <c r="I37" s="1"/>
      <c r="J37" s="1">
        <v>0.48</v>
      </c>
      <c r="K37" s="1">
        <v>0.48</v>
      </c>
      <c r="L37" s="1">
        <v>0.45</v>
      </c>
      <c r="M37" s="1">
        <v>0.41</v>
      </c>
      <c r="N37" s="1">
        <v>0.37</v>
      </c>
    </row>
    <row r="38" spans="1:14" x14ac:dyDescent="0.3">
      <c r="A38" t="s">
        <v>126</v>
      </c>
      <c r="B38" t="s">
        <v>140</v>
      </c>
      <c r="C38" t="s">
        <v>25</v>
      </c>
      <c r="D38" s="1">
        <v>0.1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0.48</v>
      </c>
      <c r="K38" s="1">
        <v>0.48</v>
      </c>
      <c r="L38" s="1">
        <v>0.45</v>
      </c>
      <c r="M38" s="1">
        <v>0.41</v>
      </c>
      <c r="N38" s="1">
        <v>0.37</v>
      </c>
    </row>
    <row r="39" spans="1:14" x14ac:dyDescent="0.3">
      <c r="A39" t="s">
        <v>126</v>
      </c>
      <c r="B39" t="s">
        <v>140</v>
      </c>
      <c r="C39" t="s">
        <v>25</v>
      </c>
      <c r="D39" s="1">
        <v>0.1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0.48</v>
      </c>
      <c r="K39" s="1">
        <v>0.48</v>
      </c>
      <c r="L39" s="1">
        <v>0.45</v>
      </c>
      <c r="M39" s="1">
        <v>0.41</v>
      </c>
      <c r="N39" s="1">
        <v>0.37</v>
      </c>
    </row>
    <row r="40" spans="1:14" x14ac:dyDescent="0.3">
      <c r="A40" t="s">
        <v>126</v>
      </c>
      <c r="B40" t="s">
        <v>140</v>
      </c>
      <c r="C40" t="s">
        <v>135</v>
      </c>
      <c r="D40" s="1">
        <v>0.1</v>
      </c>
      <c r="E40" t="s">
        <v>148</v>
      </c>
      <c r="F40" s="1">
        <v>0.3</v>
      </c>
      <c r="G40" t="s">
        <v>18</v>
      </c>
      <c r="H40" s="1">
        <v>0.9</v>
      </c>
      <c r="I40" s="1">
        <f>SUMPRODUCT(H40:H43,F40:F43)*D40</f>
        <v>8.1000000000000016E-2</v>
      </c>
      <c r="J40" s="1">
        <v>0.68</v>
      </c>
      <c r="K40" s="1">
        <v>0.68</v>
      </c>
      <c r="L40" s="1">
        <v>0.64</v>
      </c>
      <c r="M40" s="1">
        <v>0.59</v>
      </c>
      <c r="N40" s="1">
        <v>0.54</v>
      </c>
    </row>
    <row r="41" spans="1:14" x14ac:dyDescent="0.3">
      <c r="A41" t="s">
        <v>126</v>
      </c>
      <c r="B41" t="s">
        <v>140</v>
      </c>
      <c r="C41" t="s">
        <v>135</v>
      </c>
      <c r="D41" s="1">
        <v>0.1</v>
      </c>
      <c r="E41" t="s">
        <v>149</v>
      </c>
      <c r="F41" s="1">
        <v>0.25</v>
      </c>
      <c r="G41" t="s">
        <v>40</v>
      </c>
      <c r="H41" s="1">
        <v>0.7</v>
      </c>
      <c r="I41" s="1"/>
      <c r="J41" s="1">
        <v>0.68</v>
      </c>
      <c r="K41" s="1">
        <v>0.68</v>
      </c>
      <c r="L41" s="1">
        <v>0.64</v>
      </c>
      <c r="M41" s="1">
        <v>0.59</v>
      </c>
      <c r="N41" s="1">
        <v>0.54</v>
      </c>
    </row>
    <row r="42" spans="1:14" x14ac:dyDescent="0.3">
      <c r="A42" t="s">
        <v>126</v>
      </c>
      <c r="B42" t="s">
        <v>140</v>
      </c>
      <c r="C42" t="s">
        <v>135</v>
      </c>
      <c r="D42" s="1">
        <v>0.1</v>
      </c>
      <c r="E42" t="s">
        <v>150</v>
      </c>
      <c r="F42" s="1">
        <v>0.25</v>
      </c>
      <c r="G42" t="s">
        <v>28</v>
      </c>
      <c r="H42" s="1">
        <v>0.7</v>
      </c>
      <c r="I42" s="1"/>
      <c r="J42" s="1">
        <v>0.68</v>
      </c>
      <c r="K42" s="1">
        <v>0.68</v>
      </c>
      <c r="L42" s="1">
        <v>0.64</v>
      </c>
      <c r="M42" s="1">
        <v>0.59</v>
      </c>
      <c r="N42" s="1">
        <v>0.54</v>
      </c>
    </row>
    <row r="43" spans="1:14" x14ac:dyDescent="0.3">
      <c r="A43" t="s">
        <v>126</v>
      </c>
      <c r="B43" t="s">
        <v>140</v>
      </c>
      <c r="C43" t="s">
        <v>135</v>
      </c>
      <c r="D43" s="1">
        <v>0.1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0.68</v>
      </c>
      <c r="K43" s="1">
        <v>0.68</v>
      </c>
      <c r="L43" s="1">
        <v>0.64</v>
      </c>
      <c r="M43" s="1">
        <v>0.59</v>
      </c>
      <c r="N43" s="1">
        <v>0.54</v>
      </c>
    </row>
    <row r="44" spans="1:14" x14ac:dyDescent="0.3">
      <c r="A44" t="s">
        <v>126</v>
      </c>
      <c r="B44" t="s">
        <v>140</v>
      </c>
      <c r="C44" t="s">
        <v>151</v>
      </c>
      <c r="D44" s="1">
        <v>0.15</v>
      </c>
      <c r="E44" t="s">
        <v>152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0.45</v>
      </c>
      <c r="K44" s="1">
        <v>0.45</v>
      </c>
      <c r="L44" s="1">
        <v>0.42</v>
      </c>
      <c r="M44" s="1">
        <v>0.38</v>
      </c>
      <c r="N44" s="1">
        <v>0.33</v>
      </c>
    </row>
    <row r="45" spans="1:14" x14ac:dyDescent="0.3">
      <c r="A45" t="s">
        <v>126</v>
      </c>
      <c r="B45" t="s">
        <v>140</v>
      </c>
      <c r="C45" t="s">
        <v>151</v>
      </c>
      <c r="D45" s="1">
        <v>0.15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0.45</v>
      </c>
      <c r="K45" s="1">
        <v>0.45</v>
      </c>
      <c r="L45" s="1">
        <v>0.42</v>
      </c>
      <c r="M45" s="1">
        <v>0.38</v>
      </c>
      <c r="N45" s="1">
        <v>0.33</v>
      </c>
    </row>
    <row r="46" spans="1:14" x14ac:dyDescent="0.3">
      <c r="A46" t="s">
        <v>126</v>
      </c>
      <c r="B46" t="s">
        <v>140</v>
      </c>
      <c r="C46" t="s">
        <v>151</v>
      </c>
      <c r="D46" s="1">
        <v>0.15</v>
      </c>
      <c r="E46" t="s">
        <v>153</v>
      </c>
      <c r="F46" s="1">
        <v>0.25</v>
      </c>
      <c r="G46" t="s">
        <v>30</v>
      </c>
      <c r="H46" s="1">
        <v>0.1</v>
      </c>
      <c r="I46" s="1"/>
      <c r="J46" s="1">
        <v>0.45</v>
      </c>
      <c r="K46" s="1">
        <v>0.45</v>
      </c>
      <c r="L46" s="1">
        <v>0.42</v>
      </c>
      <c r="M46" s="1">
        <v>0.38</v>
      </c>
      <c r="N46" s="1">
        <v>0.33</v>
      </c>
    </row>
    <row r="47" spans="1:14" x14ac:dyDescent="0.3">
      <c r="A47" t="s">
        <v>126</v>
      </c>
      <c r="B47" t="s">
        <v>140</v>
      </c>
      <c r="C47" t="s">
        <v>151</v>
      </c>
      <c r="D47" s="1">
        <v>0.15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0.45</v>
      </c>
      <c r="K47" s="1">
        <v>0.45</v>
      </c>
      <c r="L47" s="1">
        <v>0.42</v>
      </c>
      <c r="M47" s="1">
        <v>0.38</v>
      </c>
      <c r="N47" s="1">
        <v>0.33</v>
      </c>
    </row>
    <row r="48" spans="1:14" x14ac:dyDescent="0.3">
      <c r="D48" s="1"/>
      <c r="F48" s="1"/>
      <c r="H48" s="1"/>
      <c r="I48" s="2">
        <f>SUM(I24:I47)</f>
        <v>0.61762500000000009</v>
      </c>
      <c r="J48" s="2">
        <f>+J28*$D28+J32*$D32+J36*$D36+J40*$D40+J44*$D44+J24*$D24</f>
        <v>0.49150000000000005</v>
      </c>
      <c r="K48" s="2">
        <f t="shared" ref="K48:N48" si="1">+K28*$D28+K32*$D32+K36*$D36+K40*$D40+K44*$D44+K24*$D24</f>
        <v>0.49150000000000005</v>
      </c>
      <c r="L48" s="2">
        <f t="shared" si="1"/>
        <v>0.45650000000000002</v>
      </c>
      <c r="M48" s="2">
        <f t="shared" si="1"/>
        <v>0.41550000000000004</v>
      </c>
      <c r="N48" s="2">
        <f t="shared" si="1"/>
        <v>0.37100000000000005</v>
      </c>
    </row>
    <row r="49" spans="1:14" x14ac:dyDescent="0.3">
      <c r="D49" s="1"/>
      <c r="F49" s="1"/>
      <c r="H49" s="1"/>
      <c r="I49" s="1"/>
      <c r="J49" s="1"/>
      <c r="K49" s="1"/>
      <c r="L49" s="1"/>
      <c r="M49" s="1"/>
      <c r="N49" s="1"/>
    </row>
    <row r="50" spans="1:14" x14ac:dyDescent="0.3">
      <c r="A50" t="s">
        <v>126</v>
      </c>
      <c r="B50" t="s">
        <v>154</v>
      </c>
      <c r="C50" t="s">
        <v>155</v>
      </c>
      <c r="D50" s="1">
        <v>0.25</v>
      </c>
      <c r="E50" t="s">
        <v>156</v>
      </c>
      <c r="F50" s="1">
        <v>0.25</v>
      </c>
      <c r="G50" t="s">
        <v>20</v>
      </c>
      <c r="H50" s="1">
        <v>0.6</v>
      </c>
      <c r="I50" s="1">
        <f>SUMPRODUCT(H50:H53,F50:F53)*D50</f>
        <v>0.12375</v>
      </c>
      <c r="J50" s="1">
        <v>0.4</v>
      </c>
      <c r="K50" s="1">
        <v>0.4</v>
      </c>
      <c r="L50" s="1">
        <v>0.37</v>
      </c>
      <c r="M50" s="1">
        <v>0.33</v>
      </c>
      <c r="N50" s="1">
        <v>0.28000000000000003</v>
      </c>
    </row>
    <row r="51" spans="1:14" x14ac:dyDescent="0.3">
      <c r="A51" t="s">
        <v>126</v>
      </c>
      <c r="B51" t="s">
        <v>154</v>
      </c>
      <c r="C51" t="s">
        <v>155</v>
      </c>
      <c r="D51" s="1">
        <v>0.25</v>
      </c>
      <c r="E51" t="s">
        <v>157</v>
      </c>
      <c r="F51" s="1">
        <v>0.35</v>
      </c>
      <c r="G51" t="s">
        <v>30</v>
      </c>
      <c r="H51" s="1">
        <v>0.1</v>
      </c>
      <c r="I51" s="1"/>
      <c r="J51" s="1">
        <v>0.4</v>
      </c>
      <c r="K51" s="1">
        <v>0.4</v>
      </c>
      <c r="L51" s="1">
        <v>0.37</v>
      </c>
      <c r="M51" s="1">
        <v>0.33</v>
      </c>
      <c r="N51" s="1">
        <v>0.28000000000000003</v>
      </c>
    </row>
    <row r="52" spans="1:14" x14ac:dyDescent="0.3">
      <c r="A52" t="s">
        <v>126</v>
      </c>
      <c r="B52" t="s">
        <v>154</v>
      </c>
      <c r="C52" t="s">
        <v>155</v>
      </c>
      <c r="D52" s="1">
        <v>0.25</v>
      </c>
      <c r="E52" t="s">
        <v>158</v>
      </c>
      <c r="F52" s="1">
        <v>0.2</v>
      </c>
      <c r="G52" t="s">
        <v>20</v>
      </c>
      <c r="H52" s="1">
        <v>0.6</v>
      </c>
      <c r="I52" s="1"/>
      <c r="J52" s="1">
        <v>0.4</v>
      </c>
      <c r="K52" s="1">
        <v>0.4</v>
      </c>
      <c r="L52" s="1">
        <v>0.37</v>
      </c>
      <c r="M52" s="1">
        <v>0.33</v>
      </c>
      <c r="N52" s="1">
        <v>0.28000000000000003</v>
      </c>
    </row>
    <row r="53" spans="1:14" x14ac:dyDescent="0.3">
      <c r="A53" t="s">
        <v>126</v>
      </c>
      <c r="B53" t="s">
        <v>154</v>
      </c>
      <c r="C53" t="s">
        <v>155</v>
      </c>
      <c r="D53" s="1">
        <v>0.25</v>
      </c>
      <c r="E53" t="s">
        <v>159</v>
      </c>
      <c r="F53" s="1">
        <v>0.2</v>
      </c>
      <c r="G53" t="s">
        <v>24</v>
      </c>
      <c r="H53" s="1">
        <v>0.95</v>
      </c>
      <c r="I53" s="1"/>
      <c r="J53" s="1">
        <v>0.4</v>
      </c>
      <c r="K53" s="1">
        <v>0.4</v>
      </c>
      <c r="L53" s="1">
        <v>0.37</v>
      </c>
      <c r="M53" s="1">
        <v>0.33</v>
      </c>
      <c r="N53" s="1">
        <v>0.28000000000000003</v>
      </c>
    </row>
    <row r="54" spans="1:14" x14ac:dyDescent="0.3">
      <c r="A54" t="s">
        <v>126</v>
      </c>
      <c r="B54" t="s">
        <v>154</v>
      </c>
      <c r="C54" t="s">
        <v>160</v>
      </c>
      <c r="D54" s="1">
        <v>0.15</v>
      </c>
      <c r="E54" t="s">
        <v>161</v>
      </c>
      <c r="F54" s="1">
        <v>0.3</v>
      </c>
      <c r="G54" t="s">
        <v>73</v>
      </c>
      <c r="H54" s="1">
        <v>0.7</v>
      </c>
      <c r="I54" s="1">
        <f>SUMPRODUCT(H54:H57,F54:F57)*D54</f>
        <v>6.8250000000000005E-2</v>
      </c>
      <c r="J54" s="1">
        <v>0.36</v>
      </c>
      <c r="K54" s="1">
        <v>0.36</v>
      </c>
      <c r="L54" s="1">
        <v>0.33</v>
      </c>
      <c r="M54" s="1">
        <v>0.3</v>
      </c>
      <c r="N54" s="1">
        <v>0.26</v>
      </c>
    </row>
    <row r="55" spans="1:14" x14ac:dyDescent="0.3">
      <c r="A55" t="s">
        <v>126</v>
      </c>
      <c r="B55" t="s">
        <v>154</v>
      </c>
      <c r="C55" t="s">
        <v>160</v>
      </c>
      <c r="D55" s="1">
        <v>0.15</v>
      </c>
      <c r="E55" t="s">
        <v>162</v>
      </c>
      <c r="F55" s="1">
        <v>0.25</v>
      </c>
      <c r="G55" t="s">
        <v>20</v>
      </c>
      <c r="H55" s="1">
        <v>0.6</v>
      </c>
      <c r="I55" s="1"/>
      <c r="J55" s="1">
        <v>0.36</v>
      </c>
      <c r="K55" s="1">
        <v>0.36</v>
      </c>
      <c r="L55" s="1">
        <v>0.33</v>
      </c>
      <c r="M55" s="1">
        <v>0.3</v>
      </c>
      <c r="N55" s="1">
        <v>0.26</v>
      </c>
    </row>
    <row r="56" spans="1:14" x14ac:dyDescent="0.3">
      <c r="A56" t="s">
        <v>126</v>
      </c>
      <c r="B56" t="s">
        <v>154</v>
      </c>
      <c r="C56" t="s">
        <v>160</v>
      </c>
      <c r="D56" s="1">
        <v>0.15</v>
      </c>
      <c r="E56" t="s">
        <v>163</v>
      </c>
      <c r="F56" s="1">
        <v>0.25</v>
      </c>
      <c r="G56" t="s">
        <v>56</v>
      </c>
      <c r="H56" s="1">
        <v>0.3</v>
      </c>
      <c r="I56" s="1"/>
      <c r="J56" s="1">
        <v>0.36</v>
      </c>
      <c r="K56" s="1">
        <v>0.36</v>
      </c>
      <c r="L56" s="1">
        <v>0.33</v>
      </c>
      <c r="M56" s="1">
        <v>0.3</v>
      </c>
      <c r="N56" s="1">
        <v>0.26</v>
      </c>
    </row>
    <row r="57" spans="1:14" x14ac:dyDescent="0.3">
      <c r="A57" t="s">
        <v>126</v>
      </c>
      <c r="B57" t="s">
        <v>154</v>
      </c>
      <c r="C57" t="s">
        <v>160</v>
      </c>
      <c r="D57" s="1">
        <v>0.15</v>
      </c>
      <c r="E57" t="s">
        <v>164</v>
      </c>
      <c r="F57" s="1">
        <v>0.2</v>
      </c>
      <c r="G57" t="s">
        <v>30</v>
      </c>
      <c r="H57" s="1">
        <v>0.1</v>
      </c>
      <c r="I57" s="1"/>
      <c r="J57" s="1">
        <v>0.36</v>
      </c>
      <c r="K57" s="1">
        <v>0.36</v>
      </c>
      <c r="L57" s="1">
        <v>0.33</v>
      </c>
      <c r="M57" s="1">
        <v>0.3</v>
      </c>
      <c r="N57" s="1">
        <v>0.26</v>
      </c>
    </row>
    <row r="58" spans="1:14" x14ac:dyDescent="0.3">
      <c r="A58" t="s">
        <v>126</v>
      </c>
      <c r="B58" t="s">
        <v>154</v>
      </c>
      <c r="C58" t="s">
        <v>16</v>
      </c>
      <c r="D58" s="1">
        <v>0.2</v>
      </c>
      <c r="E58" t="s">
        <v>165</v>
      </c>
      <c r="F58" s="1">
        <v>0.3</v>
      </c>
      <c r="G58" t="s">
        <v>18</v>
      </c>
      <c r="H58" s="1">
        <v>0.9</v>
      </c>
      <c r="I58" s="1">
        <f>SUMPRODUCT(H58:H61,F58:F61)*D58</f>
        <v>0.16550000000000004</v>
      </c>
      <c r="J58" s="1">
        <v>0.68</v>
      </c>
      <c r="K58" s="1">
        <v>0.68</v>
      </c>
      <c r="L58" s="1">
        <v>0.63</v>
      </c>
      <c r="M58" s="1">
        <v>0.57999999999999996</v>
      </c>
      <c r="N58" s="1">
        <v>0.51</v>
      </c>
    </row>
    <row r="59" spans="1:14" x14ac:dyDescent="0.3">
      <c r="A59" t="s">
        <v>126</v>
      </c>
      <c r="B59" t="s">
        <v>154</v>
      </c>
      <c r="C59" t="s">
        <v>16</v>
      </c>
      <c r="D59" s="1">
        <v>0.2</v>
      </c>
      <c r="E59" t="s">
        <v>19</v>
      </c>
      <c r="F59" s="1">
        <v>0.25</v>
      </c>
      <c r="G59" t="s">
        <v>20</v>
      </c>
      <c r="H59" s="1">
        <v>0.6</v>
      </c>
      <c r="I59" s="1"/>
      <c r="J59" s="1">
        <v>0.68</v>
      </c>
      <c r="K59" s="1">
        <v>0.68</v>
      </c>
      <c r="L59" s="1">
        <v>0.63</v>
      </c>
      <c r="M59" s="1">
        <v>0.57999999999999996</v>
      </c>
      <c r="N59" s="1">
        <v>0.51</v>
      </c>
    </row>
    <row r="60" spans="1:14" x14ac:dyDescent="0.3">
      <c r="A60" t="s">
        <v>126</v>
      </c>
      <c r="B60" t="s">
        <v>154</v>
      </c>
      <c r="C60" t="s">
        <v>16</v>
      </c>
      <c r="D60" s="1">
        <v>0.2</v>
      </c>
      <c r="E60" t="s">
        <v>21</v>
      </c>
      <c r="F60" s="1">
        <v>0.2</v>
      </c>
      <c r="G60" t="s">
        <v>22</v>
      </c>
      <c r="H60" s="1">
        <v>0.85</v>
      </c>
      <c r="I60" s="1"/>
      <c r="J60" s="1">
        <v>0.68</v>
      </c>
      <c r="K60" s="1">
        <v>0.68</v>
      </c>
      <c r="L60" s="1">
        <v>0.63</v>
      </c>
      <c r="M60" s="1">
        <v>0.57999999999999996</v>
      </c>
      <c r="N60" s="1">
        <v>0.51</v>
      </c>
    </row>
    <row r="61" spans="1:14" x14ac:dyDescent="0.3">
      <c r="A61" t="s">
        <v>126</v>
      </c>
      <c r="B61" t="s">
        <v>154</v>
      </c>
      <c r="C61" t="s">
        <v>16</v>
      </c>
      <c r="D61" s="1">
        <v>0.2</v>
      </c>
      <c r="E61" t="s">
        <v>23</v>
      </c>
      <c r="F61" s="1">
        <v>0.25</v>
      </c>
      <c r="G61" t="s">
        <v>24</v>
      </c>
      <c r="H61" s="1">
        <v>0.95</v>
      </c>
      <c r="I61" s="1"/>
      <c r="J61" s="1">
        <v>0.68</v>
      </c>
      <c r="K61" s="1">
        <v>0.68</v>
      </c>
      <c r="L61" s="1">
        <v>0.63</v>
      </c>
      <c r="M61" s="1">
        <v>0.57999999999999996</v>
      </c>
      <c r="N61" s="1">
        <v>0.51</v>
      </c>
    </row>
    <row r="62" spans="1:14" x14ac:dyDescent="0.3">
      <c r="A62" t="s">
        <v>126</v>
      </c>
      <c r="B62" t="s">
        <v>154</v>
      </c>
      <c r="C62" t="s">
        <v>166</v>
      </c>
      <c r="D62" s="1">
        <v>0.15</v>
      </c>
      <c r="E62" t="s">
        <v>167</v>
      </c>
      <c r="F62" s="1">
        <v>0.25</v>
      </c>
      <c r="G62" t="s">
        <v>18</v>
      </c>
      <c r="H62" s="1">
        <v>0.9</v>
      </c>
      <c r="I62" s="1">
        <f>SUMPRODUCT(H62:H65,F62:F65)*D62</f>
        <v>9.3000000000000013E-2</v>
      </c>
      <c r="J62" s="1">
        <v>0.48</v>
      </c>
      <c r="K62" s="1">
        <v>0.48</v>
      </c>
      <c r="L62" s="1">
        <v>0.45</v>
      </c>
      <c r="M62" s="1">
        <v>0.41</v>
      </c>
      <c r="N62" s="1">
        <v>0.36</v>
      </c>
    </row>
    <row r="63" spans="1:14" x14ac:dyDescent="0.3">
      <c r="A63" t="s">
        <v>126</v>
      </c>
      <c r="B63" t="s">
        <v>154</v>
      </c>
      <c r="C63" t="s">
        <v>166</v>
      </c>
      <c r="D63" s="1">
        <v>0.15</v>
      </c>
      <c r="E63" t="s">
        <v>168</v>
      </c>
      <c r="F63" s="1">
        <v>0.25</v>
      </c>
      <c r="G63" t="s">
        <v>28</v>
      </c>
      <c r="H63" s="1">
        <v>0.7</v>
      </c>
      <c r="I63" s="1"/>
      <c r="J63" s="1">
        <v>0.48</v>
      </c>
      <c r="K63" s="1">
        <v>0.48</v>
      </c>
      <c r="L63" s="1">
        <v>0.45</v>
      </c>
      <c r="M63" s="1">
        <v>0.41</v>
      </c>
      <c r="N63" s="1">
        <v>0.36</v>
      </c>
    </row>
    <row r="64" spans="1:14" x14ac:dyDescent="0.3">
      <c r="A64" t="s">
        <v>126</v>
      </c>
      <c r="B64" t="s">
        <v>154</v>
      </c>
      <c r="C64" t="s">
        <v>166</v>
      </c>
      <c r="D64" s="1">
        <v>0.15</v>
      </c>
      <c r="E64" t="s">
        <v>169</v>
      </c>
      <c r="F64" s="1">
        <v>0.3</v>
      </c>
      <c r="G64" t="s">
        <v>30</v>
      </c>
      <c r="H64" s="1">
        <v>0.1</v>
      </c>
      <c r="I64" s="1"/>
      <c r="J64" s="1">
        <v>0.48</v>
      </c>
      <c r="K64" s="1">
        <v>0.48</v>
      </c>
      <c r="L64" s="1">
        <v>0.45</v>
      </c>
      <c r="M64" s="1">
        <v>0.41</v>
      </c>
      <c r="N64" s="1">
        <v>0.36</v>
      </c>
    </row>
    <row r="65" spans="1:14" x14ac:dyDescent="0.3">
      <c r="A65" t="s">
        <v>126</v>
      </c>
      <c r="B65" t="s">
        <v>154</v>
      </c>
      <c r="C65" t="s">
        <v>166</v>
      </c>
      <c r="D65" s="1">
        <v>0.15</v>
      </c>
      <c r="E65" t="s">
        <v>170</v>
      </c>
      <c r="F65" s="1">
        <v>0.2</v>
      </c>
      <c r="G65" t="s">
        <v>24</v>
      </c>
      <c r="H65" s="1">
        <v>0.95</v>
      </c>
      <c r="I65" s="1"/>
      <c r="J65" s="1">
        <v>0.48</v>
      </c>
      <c r="K65" s="1">
        <v>0.48</v>
      </c>
      <c r="L65" s="1">
        <v>0.45</v>
      </c>
      <c r="M65" s="1">
        <v>0.41</v>
      </c>
      <c r="N65" s="1">
        <v>0.36</v>
      </c>
    </row>
    <row r="66" spans="1:14" x14ac:dyDescent="0.3">
      <c r="A66" t="s">
        <v>126</v>
      </c>
      <c r="B66" t="s">
        <v>154</v>
      </c>
      <c r="C66" t="s">
        <v>135</v>
      </c>
      <c r="D66" s="1">
        <v>0.1</v>
      </c>
      <c r="E66" t="s">
        <v>171</v>
      </c>
      <c r="F66" s="1">
        <v>0.3</v>
      </c>
      <c r="G66" t="s">
        <v>18</v>
      </c>
      <c r="H66" s="1">
        <v>0.9</v>
      </c>
      <c r="I66" s="1">
        <f>SUMPRODUCT(H66:H69,F66:F69)*D66</f>
        <v>8.1000000000000016E-2</v>
      </c>
      <c r="J66" s="1">
        <v>0.68</v>
      </c>
      <c r="K66" s="1">
        <v>0.68</v>
      </c>
      <c r="L66" s="1">
        <v>0.64</v>
      </c>
      <c r="M66" s="1">
        <v>0.59</v>
      </c>
      <c r="N66" s="1">
        <v>0.53</v>
      </c>
    </row>
    <row r="67" spans="1:14" x14ac:dyDescent="0.3">
      <c r="A67" t="s">
        <v>126</v>
      </c>
      <c r="B67" t="s">
        <v>154</v>
      </c>
      <c r="C67" t="s">
        <v>135</v>
      </c>
      <c r="D67" s="1">
        <v>0.1</v>
      </c>
      <c r="E67" t="s">
        <v>172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0.64</v>
      </c>
      <c r="M67" s="1">
        <v>0.59</v>
      </c>
      <c r="N67" s="1">
        <v>0.53</v>
      </c>
    </row>
    <row r="68" spans="1:14" x14ac:dyDescent="0.3">
      <c r="A68" t="s">
        <v>126</v>
      </c>
      <c r="B68" t="s">
        <v>154</v>
      </c>
      <c r="C68" t="s">
        <v>135</v>
      </c>
      <c r="D68" s="1">
        <v>0.1</v>
      </c>
      <c r="E68" t="s">
        <v>173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0.64</v>
      </c>
      <c r="M68" s="1">
        <v>0.59</v>
      </c>
      <c r="N68" s="1">
        <v>0.53</v>
      </c>
    </row>
    <row r="69" spans="1:14" x14ac:dyDescent="0.3">
      <c r="A69" t="s">
        <v>126</v>
      </c>
      <c r="B69" t="s">
        <v>154</v>
      </c>
      <c r="C69" t="s">
        <v>135</v>
      </c>
      <c r="D69" s="1">
        <v>0.1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0.64</v>
      </c>
      <c r="M69" s="1">
        <v>0.59</v>
      </c>
      <c r="N69" s="1">
        <v>0.53</v>
      </c>
    </row>
    <row r="70" spans="1:14" x14ac:dyDescent="0.3">
      <c r="A70" t="s">
        <v>126</v>
      </c>
      <c r="B70" t="s">
        <v>154</v>
      </c>
      <c r="C70" t="s">
        <v>174</v>
      </c>
      <c r="D70" s="1">
        <v>0.15</v>
      </c>
      <c r="E70" t="s">
        <v>175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0.45</v>
      </c>
      <c r="K70" s="1">
        <v>0.45</v>
      </c>
      <c r="L70" s="1">
        <v>0.42</v>
      </c>
      <c r="M70" s="1">
        <v>0.38</v>
      </c>
      <c r="N70" s="1">
        <v>0.32</v>
      </c>
    </row>
    <row r="71" spans="1:14" x14ac:dyDescent="0.3">
      <c r="A71" t="s">
        <v>126</v>
      </c>
      <c r="B71" t="s">
        <v>154</v>
      </c>
      <c r="C71" t="s">
        <v>174</v>
      </c>
      <c r="D71" s="1">
        <v>0.15</v>
      </c>
      <c r="E71" t="s">
        <v>176</v>
      </c>
      <c r="F71" s="1">
        <v>0.25</v>
      </c>
      <c r="G71" t="s">
        <v>20</v>
      </c>
      <c r="H71" s="1">
        <v>0.6</v>
      </c>
      <c r="I71" s="1"/>
      <c r="J71" s="1">
        <v>0.45</v>
      </c>
      <c r="K71" s="1">
        <v>0.45</v>
      </c>
      <c r="L71" s="1">
        <v>0.42</v>
      </c>
      <c r="M71" s="1">
        <v>0.38</v>
      </c>
      <c r="N71" s="1">
        <v>0.32</v>
      </c>
    </row>
    <row r="72" spans="1:14" x14ac:dyDescent="0.3">
      <c r="A72" t="s">
        <v>126</v>
      </c>
      <c r="B72" t="s">
        <v>154</v>
      </c>
      <c r="C72" t="s">
        <v>174</v>
      </c>
      <c r="D72" s="1">
        <v>0.15</v>
      </c>
      <c r="E72" t="s">
        <v>177</v>
      </c>
      <c r="F72" s="1">
        <v>0.25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0.38</v>
      </c>
      <c r="N72" s="1">
        <v>0.32</v>
      </c>
    </row>
    <row r="73" spans="1:14" x14ac:dyDescent="0.3">
      <c r="A73" t="s">
        <v>126</v>
      </c>
      <c r="B73" t="s">
        <v>154</v>
      </c>
      <c r="C73" t="s">
        <v>174</v>
      </c>
      <c r="D73" s="1">
        <v>0.15</v>
      </c>
      <c r="E73" t="s">
        <v>178</v>
      </c>
      <c r="F73" s="1">
        <v>0.25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0.38</v>
      </c>
      <c r="N73" s="1">
        <v>0.32</v>
      </c>
    </row>
    <row r="74" spans="1:14" x14ac:dyDescent="0.3">
      <c r="D74" s="1"/>
      <c r="F74" s="1"/>
      <c r="H74" s="1"/>
      <c r="I74" s="2">
        <f>SUM(I50:I73)</f>
        <v>0.61962500000000009</v>
      </c>
      <c r="J74" s="2">
        <f>+J54*$D54+J58*$D58+J62*$D62+J66*$D66+J70*$D70+J50*$D50</f>
        <v>0.49750000000000005</v>
      </c>
      <c r="K74" s="2">
        <f t="shared" ref="K74:N74" si="2">+K54*$D54+K58*$D58+K62*$D62+K66*$D66+K70*$D70+K50*$D50</f>
        <v>0.49750000000000005</v>
      </c>
      <c r="L74" s="2">
        <f t="shared" si="2"/>
        <v>0.46250000000000002</v>
      </c>
      <c r="M74" s="2">
        <f t="shared" si="2"/>
        <v>0.42099999999999999</v>
      </c>
      <c r="N74" s="2">
        <f t="shared" si="2"/>
        <v>0.36599999999999999</v>
      </c>
    </row>
    <row r="75" spans="1:14" x14ac:dyDescent="0.3">
      <c r="D75" s="1"/>
      <c r="F75" s="1"/>
      <c r="H75" s="1"/>
      <c r="I75" s="1"/>
      <c r="J75" s="1"/>
      <c r="K75" s="1"/>
      <c r="L75" s="1"/>
      <c r="M75" s="1"/>
      <c r="N75" s="1"/>
    </row>
    <row r="76" spans="1:14" x14ac:dyDescent="0.3">
      <c r="A76" t="s">
        <v>126</v>
      </c>
      <c r="B76" t="s">
        <v>179</v>
      </c>
      <c r="C76" t="s">
        <v>180</v>
      </c>
      <c r="D76" s="1">
        <v>0.2</v>
      </c>
      <c r="E76" t="s">
        <v>181</v>
      </c>
      <c r="F76" s="1">
        <v>0.25</v>
      </c>
      <c r="G76" t="s">
        <v>28</v>
      </c>
      <c r="H76" s="1">
        <v>0.7</v>
      </c>
      <c r="I76" s="1">
        <f>SUMPRODUCT(H76:H79,F76:F79)*D76</f>
        <v>0.10899999999999999</v>
      </c>
      <c r="J76" s="1">
        <v>0.44</v>
      </c>
      <c r="K76" s="1">
        <v>0.44</v>
      </c>
      <c r="L76" s="1">
        <v>0.41</v>
      </c>
      <c r="M76" s="1">
        <v>0.37</v>
      </c>
      <c r="N76" s="1">
        <v>0.33</v>
      </c>
    </row>
    <row r="77" spans="1:14" x14ac:dyDescent="0.3">
      <c r="A77" t="s">
        <v>126</v>
      </c>
      <c r="B77" t="s">
        <v>179</v>
      </c>
      <c r="C77" t="s">
        <v>180</v>
      </c>
      <c r="D77" s="1">
        <v>0.2</v>
      </c>
      <c r="E77" t="s">
        <v>182</v>
      </c>
      <c r="F77" s="1">
        <v>0.3</v>
      </c>
      <c r="G77" t="s">
        <v>30</v>
      </c>
      <c r="H77" s="1">
        <v>0.1</v>
      </c>
      <c r="I77" s="1"/>
      <c r="J77" s="1">
        <v>0.44</v>
      </c>
      <c r="K77" s="1">
        <v>0.44</v>
      </c>
      <c r="L77" s="1">
        <v>0.41</v>
      </c>
      <c r="M77" s="1">
        <v>0.37</v>
      </c>
      <c r="N77" s="1">
        <v>0.33</v>
      </c>
    </row>
    <row r="78" spans="1:14" x14ac:dyDescent="0.3">
      <c r="A78" t="s">
        <v>126</v>
      </c>
      <c r="B78" t="s">
        <v>179</v>
      </c>
      <c r="C78" t="s">
        <v>180</v>
      </c>
      <c r="D78" s="1">
        <v>0.2</v>
      </c>
      <c r="E78" t="s">
        <v>183</v>
      </c>
      <c r="F78" s="1">
        <v>0.25</v>
      </c>
      <c r="G78" t="s">
        <v>20</v>
      </c>
      <c r="H78" s="1">
        <v>0.6</v>
      </c>
      <c r="I78" s="1"/>
      <c r="J78" s="1">
        <v>0.44</v>
      </c>
      <c r="K78" s="1">
        <v>0.44</v>
      </c>
      <c r="L78" s="1">
        <v>0.41</v>
      </c>
      <c r="M78" s="1">
        <v>0.37</v>
      </c>
      <c r="N78" s="1">
        <v>0.33</v>
      </c>
    </row>
    <row r="79" spans="1:14" x14ac:dyDescent="0.3">
      <c r="A79" t="s">
        <v>126</v>
      </c>
      <c r="B79" t="s">
        <v>179</v>
      </c>
      <c r="C79" t="s">
        <v>180</v>
      </c>
      <c r="D79" s="1">
        <v>0.2</v>
      </c>
      <c r="E79" t="s">
        <v>184</v>
      </c>
      <c r="F79" s="1">
        <v>0.2</v>
      </c>
      <c r="G79" t="s">
        <v>24</v>
      </c>
      <c r="H79" s="1">
        <v>0.95</v>
      </c>
      <c r="I79" s="1"/>
      <c r="J79" s="1">
        <v>0.44</v>
      </c>
      <c r="K79" s="1">
        <v>0.44</v>
      </c>
      <c r="L79" s="1">
        <v>0.41</v>
      </c>
      <c r="M79" s="1">
        <v>0.37</v>
      </c>
      <c r="N79" s="1">
        <v>0.33</v>
      </c>
    </row>
    <row r="80" spans="1:14" x14ac:dyDescent="0.3">
      <c r="A80" t="s">
        <v>126</v>
      </c>
      <c r="B80" t="s">
        <v>179</v>
      </c>
      <c r="C80" t="s">
        <v>185</v>
      </c>
      <c r="D80" s="1">
        <v>0.25</v>
      </c>
      <c r="E80" t="s">
        <v>186</v>
      </c>
      <c r="F80" s="1">
        <v>0.3</v>
      </c>
      <c r="G80" t="s">
        <v>73</v>
      </c>
      <c r="H80" s="1">
        <v>0.7</v>
      </c>
      <c r="I80" s="1">
        <f>SUMPRODUCT(H80:H83,F80:F83)*D80</f>
        <v>0.18</v>
      </c>
      <c r="J80" s="1">
        <v>0.57999999999999996</v>
      </c>
      <c r="K80" s="1">
        <v>0.57999999999999996</v>
      </c>
      <c r="L80" s="1">
        <v>0.54</v>
      </c>
      <c r="M80" s="1">
        <v>0.5</v>
      </c>
      <c r="N80" s="1">
        <v>0.45</v>
      </c>
    </row>
    <row r="81" spans="1:14" x14ac:dyDescent="0.3">
      <c r="A81" t="s">
        <v>126</v>
      </c>
      <c r="B81" t="s">
        <v>179</v>
      </c>
      <c r="C81" t="s">
        <v>185</v>
      </c>
      <c r="D81" s="1">
        <v>0.25</v>
      </c>
      <c r="E81" t="s">
        <v>187</v>
      </c>
      <c r="F81" s="1">
        <v>0.3</v>
      </c>
      <c r="G81" t="s">
        <v>20</v>
      </c>
      <c r="H81" s="1">
        <v>0.6</v>
      </c>
      <c r="I81" s="1"/>
      <c r="J81" s="1">
        <v>0.57999999999999996</v>
      </c>
      <c r="K81" s="1">
        <v>0.57999999999999996</v>
      </c>
      <c r="L81" s="1">
        <v>0.54</v>
      </c>
      <c r="M81" s="1">
        <v>0.5</v>
      </c>
      <c r="N81" s="1">
        <v>0.45</v>
      </c>
    </row>
    <row r="82" spans="1:14" x14ac:dyDescent="0.3">
      <c r="A82" t="s">
        <v>126</v>
      </c>
      <c r="B82" t="s">
        <v>179</v>
      </c>
      <c r="C82" t="s">
        <v>185</v>
      </c>
      <c r="D82" s="1">
        <v>0.25</v>
      </c>
      <c r="E82" t="s">
        <v>188</v>
      </c>
      <c r="F82" s="1">
        <v>0.2</v>
      </c>
      <c r="G82" t="s">
        <v>28</v>
      </c>
      <c r="H82" s="1">
        <v>0.7</v>
      </c>
      <c r="I82" s="1"/>
      <c r="J82" s="1">
        <v>0.57999999999999996</v>
      </c>
      <c r="K82" s="1">
        <v>0.57999999999999996</v>
      </c>
      <c r="L82" s="1">
        <v>0.54</v>
      </c>
      <c r="M82" s="1">
        <v>0.5</v>
      </c>
      <c r="N82" s="1">
        <v>0.45</v>
      </c>
    </row>
    <row r="83" spans="1:14" x14ac:dyDescent="0.3">
      <c r="A83" t="s">
        <v>126</v>
      </c>
      <c r="B83" t="s">
        <v>179</v>
      </c>
      <c r="C83" t="s">
        <v>185</v>
      </c>
      <c r="D83" s="1">
        <v>0.25</v>
      </c>
      <c r="E83" t="s">
        <v>189</v>
      </c>
      <c r="F83" s="1">
        <v>0.2</v>
      </c>
      <c r="G83" t="s">
        <v>24</v>
      </c>
      <c r="H83" s="1">
        <v>0.95</v>
      </c>
      <c r="I83" s="1"/>
      <c r="J83" s="1">
        <v>0.57999999999999996</v>
      </c>
      <c r="K83" s="1">
        <v>0.57999999999999996</v>
      </c>
      <c r="L83" s="1">
        <v>0.54</v>
      </c>
      <c r="M83" s="1">
        <v>0.5</v>
      </c>
      <c r="N83" s="1">
        <v>0.45</v>
      </c>
    </row>
    <row r="84" spans="1:14" x14ac:dyDescent="0.3">
      <c r="A84" t="s">
        <v>126</v>
      </c>
      <c r="B84" t="s">
        <v>179</v>
      </c>
      <c r="C84" t="s">
        <v>16</v>
      </c>
      <c r="D84" s="1">
        <v>0.15</v>
      </c>
      <c r="E84" t="s">
        <v>17</v>
      </c>
      <c r="F84" s="1">
        <v>0.3</v>
      </c>
      <c r="G84" t="s">
        <v>18</v>
      </c>
      <c r="H84" s="1">
        <v>0.9</v>
      </c>
      <c r="I84" s="1">
        <f>SUMPRODUCT(H84:H87,F84:F87)*D84</f>
        <v>0.12412500000000001</v>
      </c>
      <c r="J84" s="1">
        <v>0.68</v>
      </c>
      <c r="K84" s="1">
        <v>0.68</v>
      </c>
      <c r="L84" s="1">
        <v>0.63</v>
      </c>
      <c r="M84" s="1">
        <v>0.57999999999999996</v>
      </c>
      <c r="N84" s="1">
        <v>0.52</v>
      </c>
    </row>
    <row r="85" spans="1:14" x14ac:dyDescent="0.3">
      <c r="A85" t="s">
        <v>126</v>
      </c>
      <c r="B85" t="s">
        <v>179</v>
      </c>
      <c r="C85" t="s">
        <v>16</v>
      </c>
      <c r="D85" s="1">
        <v>0.15</v>
      </c>
      <c r="E85" t="s">
        <v>19</v>
      </c>
      <c r="F85" s="1">
        <v>0.25</v>
      </c>
      <c r="G85" t="s">
        <v>20</v>
      </c>
      <c r="H85" s="1">
        <v>0.6</v>
      </c>
      <c r="I85" s="1"/>
      <c r="J85" s="1">
        <v>0.68</v>
      </c>
      <c r="K85" s="1">
        <v>0.68</v>
      </c>
      <c r="L85" s="1">
        <v>0.63</v>
      </c>
      <c r="M85" s="1">
        <v>0.57999999999999996</v>
      </c>
      <c r="N85" s="1">
        <v>0.52</v>
      </c>
    </row>
    <row r="86" spans="1:14" x14ac:dyDescent="0.3">
      <c r="A86" t="s">
        <v>126</v>
      </c>
      <c r="B86" t="s">
        <v>179</v>
      </c>
      <c r="C86" t="s">
        <v>16</v>
      </c>
      <c r="D86" s="1">
        <v>0.15</v>
      </c>
      <c r="E86" t="s">
        <v>190</v>
      </c>
      <c r="F86" s="1">
        <v>0.2</v>
      </c>
      <c r="G86" t="s">
        <v>22</v>
      </c>
      <c r="H86" s="1">
        <v>0.85</v>
      </c>
      <c r="I86" s="1"/>
      <c r="J86" s="1">
        <v>0.68</v>
      </c>
      <c r="K86" s="1">
        <v>0.68</v>
      </c>
      <c r="L86" s="1">
        <v>0.63</v>
      </c>
      <c r="M86" s="1">
        <v>0.57999999999999996</v>
      </c>
      <c r="N86" s="1">
        <v>0.52</v>
      </c>
    </row>
    <row r="87" spans="1:14" x14ac:dyDescent="0.3">
      <c r="A87" t="s">
        <v>126</v>
      </c>
      <c r="B87" t="s">
        <v>179</v>
      </c>
      <c r="C87" t="s">
        <v>16</v>
      </c>
      <c r="D87" s="1">
        <v>0.15</v>
      </c>
      <c r="E87" t="s">
        <v>23</v>
      </c>
      <c r="F87" s="1">
        <v>0.25</v>
      </c>
      <c r="G87" t="s">
        <v>24</v>
      </c>
      <c r="H87" s="1">
        <v>0.95</v>
      </c>
      <c r="I87" s="1"/>
      <c r="J87" s="1">
        <v>0.68</v>
      </c>
      <c r="K87" s="1">
        <v>0.68</v>
      </c>
      <c r="L87" s="1">
        <v>0.63</v>
      </c>
      <c r="M87" s="1">
        <v>0.57999999999999996</v>
      </c>
      <c r="N87" s="1">
        <v>0.52</v>
      </c>
    </row>
    <row r="88" spans="1:14" x14ac:dyDescent="0.3">
      <c r="A88" t="s">
        <v>126</v>
      </c>
      <c r="B88" t="s">
        <v>179</v>
      </c>
      <c r="C88" t="s">
        <v>25</v>
      </c>
      <c r="D88" s="1">
        <v>0.15</v>
      </c>
      <c r="E88" t="s">
        <v>26</v>
      </c>
      <c r="F88" s="1">
        <v>0.25</v>
      </c>
      <c r="G88" t="s">
        <v>18</v>
      </c>
      <c r="H88" s="1">
        <v>0.9</v>
      </c>
      <c r="I88" s="1">
        <f>SUMPRODUCT(H88:H91,F88:F91)*D88</f>
        <v>9.3000000000000013E-2</v>
      </c>
      <c r="J88" s="1">
        <v>0.48</v>
      </c>
      <c r="K88" s="1">
        <v>0.48</v>
      </c>
      <c r="L88" s="1">
        <v>0.45</v>
      </c>
      <c r="M88" s="1">
        <v>0.41</v>
      </c>
      <c r="N88" s="1">
        <v>0.37</v>
      </c>
    </row>
    <row r="89" spans="1:14" x14ac:dyDescent="0.3">
      <c r="A89" t="s">
        <v>126</v>
      </c>
      <c r="B89" t="s">
        <v>179</v>
      </c>
      <c r="C89" t="s">
        <v>25</v>
      </c>
      <c r="D89" s="1">
        <v>0.15</v>
      </c>
      <c r="E89" t="s">
        <v>27</v>
      </c>
      <c r="F89" s="1">
        <v>0.25</v>
      </c>
      <c r="G89" t="s">
        <v>28</v>
      </c>
      <c r="H89" s="1">
        <v>0.7</v>
      </c>
      <c r="I89" s="1"/>
      <c r="J89" s="1">
        <v>0.48</v>
      </c>
      <c r="K89" s="1">
        <v>0.48</v>
      </c>
      <c r="L89" s="1">
        <v>0.45</v>
      </c>
      <c r="M89" s="1">
        <v>0.41</v>
      </c>
      <c r="N89" s="1">
        <v>0.37</v>
      </c>
    </row>
    <row r="90" spans="1:14" x14ac:dyDescent="0.3">
      <c r="A90" t="s">
        <v>126</v>
      </c>
      <c r="B90" t="s">
        <v>179</v>
      </c>
      <c r="C90" t="s">
        <v>25</v>
      </c>
      <c r="D90" s="1">
        <v>0.15</v>
      </c>
      <c r="E90" t="s">
        <v>191</v>
      </c>
      <c r="F90" s="1">
        <v>0.3</v>
      </c>
      <c r="G90" t="s">
        <v>30</v>
      </c>
      <c r="H90" s="1">
        <v>0.1</v>
      </c>
      <c r="I90" s="1"/>
      <c r="J90" s="1">
        <v>0.48</v>
      </c>
      <c r="K90" s="1">
        <v>0.48</v>
      </c>
      <c r="L90" s="1">
        <v>0.45</v>
      </c>
      <c r="M90" s="1">
        <v>0.41</v>
      </c>
      <c r="N90" s="1">
        <v>0.37</v>
      </c>
    </row>
    <row r="91" spans="1:14" x14ac:dyDescent="0.3">
      <c r="A91" t="s">
        <v>126</v>
      </c>
      <c r="B91" t="s">
        <v>179</v>
      </c>
      <c r="C91" t="s">
        <v>25</v>
      </c>
      <c r="D91" s="1">
        <v>0.15</v>
      </c>
      <c r="E91" t="s">
        <v>31</v>
      </c>
      <c r="F91" s="1">
        <v>0.2</v>
      </c>
      <c r="G91" t="s">
        <v>24</v>
      </c>
      <c r="H91" s="1">
        <v>0.95</v>
      </c>
      <c r="I91" s="1"/>
      <c r="J91" s="1">
        <v>0.48</v>
      </c>
      <c r="K91" s="1">
        <v>0.48</v>
      </c>
      <c r="L91" s="1">
        <v>0.45</v>
      </c>
      <c r="M91" s="1">
        <v>0.41</v>
      </c>
      <c r="N91" s="1">
        <v>0.37</v>
      </c>
    </row>
    <row r="92" spans="1:14" x14ac:dyDescent="0.3">
      <c r="A92" t="s">
        <v>126</v>
      </c>
      <c r="B92" t="s">
        <v>179</v>
      </c>
      <c r="C92" t="s">
        <v>135</v>
      </c>
      <c r="D92" s="1">
        <v>0.1</v>
      </c>
      <c r="E92" t="s">
        <v>192</v>
      </c>
      <c r="F92" s="1">
        <v>0.3</v>
      </c>
      <c r="G92" t="s">
        <v>18</v>
      </c>
      <c r="H92" s="1">
        <v>0.9</v>
      </c>
      <c r="I92" s="1">
        <f>SUMPRODUCT(H92:H95,F92:F95)*D92</f>
        <v>8.1000000000000016E-2</v>
      </c>
      <c r="J92" s="1">
        <v>0.68</v>
      </c>
      <c r="K92" s="1">
        <v>0.68</v>
      </c>
      <c r="L92" s="1">
        <v>0.64</v>
      </c>
      <c r="M92" s="1">
        <v>0.59</v>
      </c>
      <c r="N92" s="1">
        <v>0.54</v>
      </c>
    </row>
    <row r="93" spans="1:14" x14ac:dyDescent="0.3">
      <c r="A93" t="s">
        <v>126</v>
      </c>
      <c r="B93" t="s">
        <v>179</v>
      </c>
      <c r="C93" t="s">
        <v>135</v>
      </c>
      <c r="D93" s="1">
        <v>0.1</v>
      </c>
      <c r="E93" t="s">
        <v>193</v>
      </c>
      <c r="F93" s="1">
        <v>0.25</v>
      </c>
      <c r="G93" t="s">
        <v>40</v>
      </c>
      <c r="H93" s="1">
        <v>0.7</v>
      </c>
      <c r="I93" s="1"/>
      <c r="J93" s="1">
        <v>0.68</v>
      </c>
      <c r="K93" s="1">
        <v>0.68</v>
      </c>
      <c r="L93" s="1">
        <v>0.64</v>
      </c>
      <c r="M93" s="1">
        <v>0.59</v>
      </c>
      <c r="N93" s="1">
        <v>0.54</v>
      </c>
    </row>
    <row r="94" spans="1:14" x14ac:dyDescent="0.3">
      <c r="A94" t="s">
        <v>126</v>
      </c>
      <c r="B94" t="s">
        <v>179</v>
      </c>
      <c r="C94" t="s">
        <v>135</v>
      </c>
      <c r="D94" s="1">
        <v>0.1</v>
      </c>
      <c r="E94" t="s">
        <v>173</v>
      </c>
      <c r="F94" s="1">
        <v>0.25</v>
      </c>
      <c r="G94" t="s">
        <v>28</v>
      </c>
      <c r="H94" s="1">
        <v>0.7</v>
      </c>
      <c r="I94" s="1"/>
      <c r="J94" s="1">
        <v>0.68</v>
      </c>
      <c r="K94" s="1">
        <v>0.68</v>
      </c>
      <c r="L94" s="1">
        <v>0.64</v>
      </c>
      <c r="M94" s="1">
        <v>0.59</v>
      </c>
      <c r="N94" s="1">
        <v>0.54</v>
      </c>
    </row>
    <row r="95" spans="1:14" x14ac:dyDescent="0.3">
      <c r="A95" t="s">
        <v>126</v>
      </c>
      <c r="B95" t="s">
        <v>179</v>
      </c>
      <c r="C95" t="s">
        <v>135</v>
      </c>
      <c r="D95" s="1">
        <v>0.1</v>
      </c>
      <c r="E95" t="s">
        <v>42</v>
      </c>
      <c r="F95" s="1">
        <v>0.2</v>
      </c>
      <c r="G95" t="s">
        <v>24</v>
      </c>
      <c r="H95" s="1">
        <v>0.95</v>
      </c>
      <c r="I95" s="1"/>
      <c r="J95" s="1">
        <v>0.68</v>
      </c>
      <c r="K95" s="1">
        <v>0.68</v>
      </c>
      <c r="L95" s="1">
        <v>0.64</v>
      </c>
      <c r="M95" s="1">
        <v>0.59</v>
      </c>
      <c r="N95" s="1">
        <v>0.54</v>
      </c>
    </row>
    <row r="96" spans="1:14" x14ac:dyDescent="0.3">
      <c r="A96" t="s">
        <v>126</v>
      </c>
      <c r="B96" t="s">
        <v>179</v>
      </c>
      <c r="C96" t="s">
        <v>136</v>
      </c>
      <c r="D96" s="1">
        <v>0.15</v>
      </c>
      <c r="E96" t="s">
        <v>194</v>
      </c>
      <c r="F96" s="1">
        <v>0.25</v>
      </c>
      <c r="G96" t="s">
        <v>40</v>
      </c>
      <c r="H96" s="1">
        <v>0.7</v>
      </c>
      <c r="I96" s="1">
        <f>SUMPRODUCT(H96:H99,F96:F99)*D96</f>
        <v>8.8124999999999981E-2</v>
      </c>
      <c r="J96" s="1">
        <v>0.45</v>
      </c>
      <c r="K96" s="1">
        <v>0.45</v>
      </c>
      <c r="L96" s="1">
        <v>0.42</v>
      </c>
      <c r="M96" s="1">
        <v>0.38</v>
      </c>
      <c r="N96" s="1">
        <v>0.34</v>
      </c>
    </row>
    <row r="97" spans="1:14" x14ac:dyDescent="0.3">
      <c r="A97" t="s">
        <v>126</v>
      </c>
      <c r="B97" t="s">
        <v>179</v>
      </c>
      <c r="C97" t="s">
        <v>136</v>
      </c>
      <c r="D97" s="1">
        <v>0.15</v>
      </c>
      <c r="E97" t="s">
        <v>195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0.38</v>
      </c>
      <c r="N97" s="1">
        <v>0.34</v>
      </c>
    </row>
    <row r="98" spans="1:14" x14ac:dyDescent="0.3">
      <c r="A98" t="s">
        <v>126</v>
      </c>
      <c r="B98" t="s">
        <v>179</v>
      </c>
      <c r="C98" t="s">
        <v>136</v>
      </c>
      <c r="D98" s="1">
        <v>0.15</v>
      </c>
      <c r="E98" t="s">
        <v>196</v>
      </c>
      <c r="F98" s="1">
        <v>0.25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0.38</v>
      </c>
      <c r="N98" s="1">
        <v>0.34</v>
      </c>
    </row>
    <row r="99" spans="1:14" x14ac:dyDescent="0.3">
      <c r="A99" t="s">
        <v>126</v>
      </c>
      <c r="B99" t="s">
        <v>179</v>
      </c>
      <c r="C99" t="s">
        <v>136</v>
      </c>
      <c r="D99" s="1">
        <v>0.15</v>
      </c>
      <c r="E99" t="s">
        <v>197</v>
      </c>
      <c r="F99" s="1">
        <v>0.25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0.38</v>
      </c>
      <c r="N99" s="1">
        <v>0.34</v>
      </c>
    </row>
    <row r="100" spans="1:14" x14ac:dyDescent="0.3">
      <c r="D100" s="1"/>
      <c r="F100" s="1"/>
      <c r="H100" s="1"/>
      <c r="I100" s="2">
        <f>SUM(I76:I99)</f>
        <v>0.67524999999999991</v>
      </c>
      <c r="J100" s="2">
        <f>+J80*$D80+J84*$D84+J88*$D88+J92*$D92+J96*$D96+J76*$D76</f>
        <v>0.54249999999999998</v>
      </c>
      <c r="K100" s="2">
        <f t="shared" ref="K100:N100" si="3">+K80*$D80+K84*$D84+K88*$D88+K92*$D92+K96*$D96+K76*$D76</f>
        <v>0.54249999999999998</v>
      </c>
      <c r="L100" s="2">
        <f t="shared" si="3"/>
        <v>0.50600000000000001</v>
      </c>
      <c r="M100" s="2">
        <f t="shared" si="3"/>
        <v>0.46349999999999997</v>
      </c>
      <c r="N100" s="2">
        <f t="shared" si="3"/>
        <v>0.41699999999999998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126</v>
      </c>
      <c r="B102" t="s">
        <v>198</v>
      </c>
      <c r="C102" t="s">
        <v>199</v>
      </c>
      <c r="D102" s="1">
        <v>0.25</v>
      </c>
      <c r="E102" t="s">
        <v>200</v>
      </c>
      <c r="F102" s="1">
        <v>0.25</v>
      </c>
      <c r="G102" t="s">
        <v>28</v>
      </c>
      <c r="H102" s="1">
        <v>0.7</v>
      </c>
      <c r="I102" s="1">
        <f>SUMPRODUCT(H102:H105,F102:F105)*D102</f>
        <v>0.1925</v>
      </c>
      <c r="J102" s="1">
        <v>0.65</v>
      </c>
      <c r="K102" s="1">
        <v>0.65</v>
      </c>
      <c r="L102" s="1">
        <v>0.61</v>
      </c>
      <c r="M102" s="1">
        <v>0.56999999999999995</v>
      </c>
      <c r="N102" s="1">
        <v>0.52</v>
      </c>
    </row>
    <row r="103" spans="1:14" x14ac:dyDescent="0.3">
      <c r="A103" t="s">
        <v>126</v>
      </c>
      <c r="B103" t="s">
        <v>198</v>
      </c>
      <c r="C103" t="s">
        <v>199</v>
      </c>
      <c r="D103" s="1">
        <v>0.25</v>
      </c>
      <c r="E103" t="s">
        <v>183</v>
      </c>
      <c r="F103" s="1">
        <v>0.25</v>
      </c>
      <c r="G103" t="s">
        <v>20</v>
      </c>
      <c r="H103" s="1">
        <v>0.6</v>
      </c>
      <c r="I103" s="1"/>
      <c r="J103" s="1">
        <v>0.65</v>
      </c>
      <c r="K103" s="1">
        <v>0.65</v>
      </c>
      <c r="L103" s="1">
        <v>0.61</v>
      </c>
      <c r="M103" s="1">
        <v>0.56999999999999995</v>
      </c>
      <c r="N103" s="1">
        <v>0.52</v>
      </c>
    </row>
    <row r="104" spans="1:14" x14ac:dyDescent="0.3">
      <c r="A104" t="s">
        <v>126</v>
      </c>
      <c r="B104" t="s">
        <v>198</v>
      </c>
      <c r="C104" t="s">
        <v>199</v>
      </c>
      <c r="D104" s="1">
        <v>0.25</v>
      </c>
      <c r="E104" t="s">
        <v>201</v>
      </c>
      <c r="F104" s="1">
        <v>0.3</v>
      </c>
      <c r="G104" t="s">
        <v>22</v>
      </c>
      <c r="H104" s="1">
        <v>0.85</v>
      </c>
      <c r="I104" s="1"/>
      <c r="J104" s="1">
        <v>0.65</v>
      </c>
      <c r="K104" s="1">
        <v>0.65</v>
      </c>
      <c r="L104" s="1">
        <v>0.61</v>
      </c>
      <c r="M104" s="1">
        <v>0.56999999999999995</v>
      </c>
      <c r="N104" s="1">
        <v>0.52</v>
      </c>
    </row>
    <row r="105" spans="1:14" x14ac:dyDescent="0.3">
      <c r="A105" t="s">
        <v>126</v>
      </c>
      <c r="B105" t="s">
        <v>198</v>
      </c>
      <c r="C105" t="s">
        <v>199</v>
      </c>
      <c r="D105" s="1">
        <v>0.25</v>
      </c>
      <c r="E105" t="s">
        <v>184</v>
      </c>
      <c r="F105" s="1">
        <v>0.2</v>
      </c>
      <c r="G105" t="s">
        <v>24</v>
      </c>
      <c r="H105" s="1">
        <v>0.95</v>
      </c>
      <c r="I105" s="1"/>
      <c r="J105" s="1">
        <v>0.65</v>
      </c>
      <c r="K105" s="1">
        <v>0.65</v>
      </c>
      <c r="L105" s="1">
        <v>0.61</v>
      </c>
      <c r="M105" s="1">
        <v>0.56999999999999995</v>
      </c>
      <c r="N105" s="1">
        <v>0.52</v>
      </c>
    </row>
    <row r="106" spans="1:14" x14ac:dyDescent="0.3">
      <c r="A106" t="s">
        <v>126</v>
      </c>
      <c r="B106" t="s">
        <v>198</v>
      </c>
      <c r="C106" t="s">
        <v>202</v>
      </c>
      <c r="D106" s="1">
        <v>0.15</v>
      </c>
      <c r="E106" t="s">
        <v>203</v>
      </c>
      <c r="F106" s="1">
        <v>0.3</v>
      </c>
      <c r="G106" t="s">
        <v>73</v>
      </c>
      <c r="H106" s="1">
        <v>0.7</v>
      </c>
      <c r="I106" s="1">
        <f>SUMPRODUCT(H106:H109,F106:F109)*D106</f>
        <v>0.108</v>
      </c>
      <c r="J106" s="1">
        <v>0.6</v>
      </c>
      <c r="K106" s="1">
        <v>0.6</v>
      </c>
      <c r="L106" s="1">
        <v>0.56000000000000005</v>
      </c>
      <c r="M106" s="1">
        <v>0.52</v>
      </c>
      <c r="N106" s="1">
        <v>0.47</v>
      </c>
    </row>
    <row r="107" spans="1:14" x14ac:dyDescent="0.3">
      <c r="A107" t="s">
        <v>126</v>
      </c>
      <c r="B107" t="s">
        <v>198</v>
      </c>
      <c r="C107" t="s">
        <v>202</v>
      </c>
      <c r="D107" s="1">
        <v>0.15</v>
      </c>
      <c r="E107" t="s">
        <v>204</v>
      </c>
      <c r="F107" s="1">
        <v>0.3</v>
      </c>
      <c r="G107" t="s">
        <v>20</v>
      </c>
      <c r="H107" s="1">
        <v>0.6</v>
      </c>
      <c r="I107" s="1"/>
      <c r="J107" s="1">
        <v>0.6</v>
      </c>
      <c r="K107" s="1">
        <v>0.6</v>
      </c>
      <c r="L107" s="1">
        <v>0.56000000000000005</v>
      </c>
      <c r="M107" s="1">
        <v>0.52</v>
      </c>
      <c r="N107" s="1">
        <v>0.47</v>
      </c>
    </row>
    <row r="108" spans="1:14" x14ac:dyDescent="0.3">
      <c r="A108" t="s">
        <v>126</v>
      </c>
      <c r="B108" t="s">
        <v>198</v>
      </c>
      <c r="C108" t="s">
        <v>202</v>
      </c>
      <c r="D108" s="1">
        <v>0.15</v>
      </c>
      <c r="E108" t="s">
        <v>205</v>
      </c>
      <c r="F108" s="1">
        <v>0.2</v>
      </c>
      <c r="G108" t="s">
        <v>28</v>
      </c>
      <c r="H108" s="1">
        <v>0.7</v>
      </c>
      <c r="I108" s="1"/>
      <c r="J108" s="1">
        <v>0.6</v>
      </c>
      <c r="K108" s="1">
        <v>0.6</v>
      </c>
      <c r="L108" s="1">
        <v>0.56000000000000005</v>
      </c>
      <c r="M108" s="1">
        <v>0.52</v>
      </c>
      <c r="N108" s="1">
        <v>0.47</v>
      </c>
    </row>
    <row r="109" spans="1:14" x14ac:dyDescent="0.3">
      <c r="A109" t="s">
        <v>126</v>
      </c>
      <c r="B109" t="s">
        <v>198</v>
      </c>
      <c r="C109" t="s">
        <v>202</v>
      </c>
      <c r="D109" s="1">
        <v>0.15</v>
      </c>
      <c r="E109" t="s">
        <v>206</v>
      </c>
      <c r="F109" s="1">
        <v>0.2</v>
      </c>
      <c r="G109" t="s">
        <v>24</v>
      </c>
      <c r="H109" s="1">
        <v>0.95</v>
      </c>
      <c r="I109" s="1"/>
      <c r="J109" s="1">
        <v>0.6</v>
      </c>
      <c r="K109" s="1">
        <v>0.6</v>
      </c>
      <c r="L109" s="1">
        <v>0.56000000000000005</v>
      </c>
      <c r="M109" s="1">
        <v>0.52</v>
      </c>
      <c r="N109" s="1">
        <v>0.47</v>
      </c>
    </row>
    <row r="110" spans="1:14" x14ac:dyDescent="0.3">
      <c r="A110" t="s">
        <v>126</v>
      </c>
      <c r="B110" t="s">
        <v>198</v>
      </c>
      <c r="C110" t="s">
        <v>16</v>
      </c>
      <c r="D110" s="1">
        <v>0.15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0.12412500000000001</v>
      </c>
      <c r="J110" s="1">
        <v>0.68</v>
      </c>
      <c r="K110" s="1">
        <v>0.68</v>
      </c>
      <c r="L110" s="1">
        <v>0.64</v>
      </c>
      <c r="M110" s="1">
        <v>0.59</v>
      </c>
      <c r="N110" s="1">
        <v>0.54</v>
      </c>
    </row>
    <row r="111" spans="1:14" x14ac:dyDescent="0.3">
      <c r="A111" t="s">
        <v>126</v>
      </c>
      <c r="B111" t="s">
        <v>198</v>
      </c>
      <c r="C111" t="s">
        <v>16</v>
      </c>
      <c r="D111" s="1">
        <v>0.15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0.68</v>
      </c>
      <c r="K111" s="1">
        <v>0.68</v>
      </c>
      <c r="L111" s="1">
        <v>0.64</v>
      </c>
      <c r="M111" s="1">
        <v>0.59</v>
      </c>
      <c r="N111" s="1">
        <v>0.54</v>
      </c>
    </row>
    <row r="112" spans="1:14" x14ac:dyDescent="0.3">
      <c r="A112" t="s">
        <v>126</v>
      </c>
      <c r="B112" t="s">
        <v>198</v>
      </c>
      <c r="C112" t="s">
        <v>16</v>
      </c>
      <c r="D112" s="1">
        <v>0.15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0.68</v>
      </c>
      <c r="K112" s="1">
        <v>0.68</v>
      </c>
      <c r="L112" s="1">
        <v>0.64</v>
      </c>
      <c r="M112" s="1">
        <v>0.59</v>
      </c>
      <c r="N112" s="1">
        <v>0.54</v>
      </c>
    </row>
    <row r="113" spans="1:14" x14ac:dyDescent="0.3">
      <c r="A113" t="s">
        <v>126</v>
      </c>
      <c r="B113" t="s">
        <v>198</v>
      </c>
      <c r="C113" t="s">
        <v>16</v>
      </c>
      <c r="D113" s="1">
        <v>0.15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0.68</v>
      </c>
      <c r="K113" s="1">
        <v>0.68</v>
      </c>
      <c r="L113" s="1">
        <v>0.64</v>
      </c>
      <c r="M113" s="1">
        <v>0.59</v>
      </c>
      <c r="N113" s="1">
        <v>0.54</v>
      </c>
    </row>
    <row r="114" spans="1:14" x14ac:dyDescent="0.3">
      <c r="A114" t="s">
        <v>126</v>
      </c>
      <c r="B114" t="s">
        <v>198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0.48</v>
      </c>
      <c r="K114" s="1">
        <v>0.48</v>
      </c>
      <c r="L114" s="1">
        <v>0.45</v>
      </c>
      <c r="M114" s="1">
        <v>0.41</v>
      </c>
      <c r="N114" s="1">
        <v>0.37</v>
      </c>
    </row>
    <row r="115" spans="1:14" x14ac:dyDescent="0.3">
      <c r="A115" t="s">
        <v>126</v>
      </c>
      <c r="B115" t="s">
        <v>198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0.48</v>
      </c>
      <c r="K115" s="1">
        <v>0.48</v>
      </c>
      <c r="L115" s="1">
        <v>0.45</v>
      </c>
      <c r="M115" s="1">
        <v>0.41</v>
      </c>
      <c r="N115" s="1">
        <v>0.37</v>
      </c>
    </row>
    <row r="116" spans="1:14" x14ac:dyDescent="0.3">
      <c r="A116" t="s">
        <v>126</v>
      </c>
      <c r="B116" t="s">
        <v>198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0.48</v>
      </c>
      <c r="K116" s="1">
        <v>0.48</v>
      </c>
      <c r="L116" s="1">
        <v>0.45</v>
      </c>
      <c r="M116" s="1">
        <v>0.41</v>
      </c>
      <c r="N116" s="1">
        <v>0.37</v>
      </c>
    </row>
    <row r="117" spans="1:14" x14ac:dyDescent="0.3">
      <c r="A117" t="s">
        <v>126</v>
      </c>
      <c r="B117" t="s">
        <v>198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0.48</v>
      </c>
      <c r="K117" s="1">
        <v>0.48</v>
      </c>
      <c r="L117" s="1">
        <v>0.45</v>
      </c>
      <c r="M117" s="1">
        <v>0.41</v>
      </c>
      <c r="N117" s="1">
        <v>0.37</v>
      </c>
    </row>
    <row r="118" spans="1:14" x14ac:dyDescent="0.3">
      <c r="A118" t="s">
        <v>126</v>
      </c>
      <c r="B118" t="s">
        <v>198</v>
      </c>
      <c r="C118" t="s">
        <v>37</v>
      </c>
      <c r="D118" s="1">
        <v>0.1</v>
      </c>
      <c r="E118" t="s">
        <v>171</v>
      </c>
      <c r="F118" s="1">
        <v>0.3</v>
      </c>
      <c r="G118" t="s">
        <v>18</v>
      </c>
      <c r="H118" s="1">
        <v>0.9</v>
      </c>
      <c r="I118" s="1">
        <f>SUMPRODUCT(H118:H121,F118:F121)*D118</f>
        <v>8.1000000000000016E-2</v>
      </c>
      <c r="J118" s="1">
        <v>0.68</v>
      </c>
      <c r="K118" s="1">
        <v>0.68</v>
      </c>
      <c r="L118" s="1">
        <v>0.64</v>
      </c>
      <c r="M118" s="1">
        <v>0.59</v>
      </c>
      <c r="N118" s="1">
        <v>0.54</v>
      </c>
    </row>
    <row r="119" spans="1:14" x14ac:dyDescent="0.3">
      <c r="A119" t="s">
        <v>126</v>
      </c>
      <c r="B119" t="s">
        <v>198</v>
      </c>
      <c r="C119" t="s">
        <v>37</v>
      </c>
      <c r="D119" s="1">
        <v>0.1</v>
      </c>
      <c r="E119" t="s">
        <v>207</v>
      </c>
      <c r="F119" s="1">
        <v>0.25</v>
      </c>
      <c r="G119" t="s">
        <v>40</v>
      </c>
      <c r="H119" s="1">
        <v>0.7</v>
      </c>
      <c r="I119" s="1"/>
      <c r="J119" s="1">
        <v>0.68</v>
      </c>
      <c r="K119" s="1">
        <v>0.68</v>
      </c>
      <c r="L119" s="1">
        <v>0.64</v>
      </c>
      <c r="M119" s="1">
        <v>0.59</v>
      </c>
      <c r="N119" s="1">
        <v>0.54</v>
      </c>
    </row>
    <row r="120" spans="1:14" x14ac:dyDescent="0.3">
      <c r="A120" t="s">
        <v>126</v>
      </c>
      <c r="B120" t="s">
        <v>198</v>
      </c>
      <c r="C120" t="s">
        <v>37</v>
      </c>
      <c r="D120" s="1">
        <v>0.1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0.68</v>
      </c>
      <c r="K120" s="1">
        <v>0.68</v>
      </c>
      <c r="L120" s="1">
        <v>0.64</v>
      </c>
      <c r="M120" s="1">
        <v>0.59</v>
      </c>
      <c r="N120" s="1">
        <v>0.54</v>
      </c>
    </row>
    <row r="121" spans="1:14" x14ac:dyDescent="0.3">
      <c r="A121" t="s">
        <v>126</v>
      </c>
      <c r="B121" t="s">
        <v>198</v>
      </c>
      <c r="C121" t="s">
        <v>37</v>
      </c>
      <c r="D121" s="1">
        <v>0.1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0.68</v>
      </c>
      <c r="K121" s="1">
        <v>0.68</v>
      </c>
      <c r="L121" s="1">
        <v>0.64</v>
      </c>
      <c r="M121" s="1">
        <v>0.59</v>
      </c>
      <c r="N121" s="1">
        <v>0.54</v>
      </c>
    </row>
    <row r="122" spans="1:14" x14ac:dyDescent="0.3">
      <c r="A122" t="s">
        <v>126</v>
      </c>
      <c r="B122" t="s">
        <v>198</v>
      </c>
      <c r="C122" t="s">
        <v>151</v>
      </c>
      <c r="D122" s="1">
        <v>0.2</v>
      </c>
      <c r="E122" t="s">
        <v>208</v>
      </c>
      <c r="F122" s="1">
        <v>0.25</v>
      </c>
      <c r="G122" t="s">
        <v>40</v>
      </c>
      <c r="H122" s="1">
        <v>0.7</v>
      </c>
      <c r="I122" s="1">
        <f>SUMPRODUCT(H122:H125,F122:F125)*D122</f>
        <v>0.11749999999999999</v>
      </c>
      <c r="J122" s="1">
        <v>0.47</v>
      </c>
      <c r="K122" s="1">
        <v>0.47</v>
      </c>
      <c r="L122" s="1">
        <v>0.44</v>
      </c>
      <c r="M122" s="1">
        <v>0.4</v>
      </c>
      <c r="N122" s="1">
        <v>0.36</v>
      </c>
    </row>
    <row r="123" spans="1:14" x14ac:dyDescent="0.3">
      <c r="A123" t="s">
        <v>126</v>
      </c>
      <c r="B123" t="s">
        <v>198</v>
      </c>
      <c r="C123" t="s">
        <v>151</v>
      </c>
      <c r="D123" s="1">
        <v>0.2</v>
      </c>
      <c r="E123" t="s">
        <v>209</v>
      </c>
      <c r="F123" s="1">
        <v>0.25</v>
      </c>
      <c r="G123" t="s">
        <v>20</v>
      </c>
      <c r="H123" s="1">
        <v>0.6</v>
      </c>
      <c r="I123" s="1"/>
      <c r="J123" s="1">
        <v>0.47</v>
      </c>
      <c r="K123" s="1">
        <v>0.47</v>
      </c>
      <c r="L123" s="1">
        <v>0.44</v>
      </c>
      <c r="M123" s="1">
        <v>0.4</v>
      </c>
      <c r="N123" s="1">
        <v>0.36</v>
      </c>
    </row>
    <row r="124" spans="1:14" x14ac:dyDescent="0.3">
      <c r="A124" t="s">
        <v>126</v>
      </c>
      <c r="B124" t="s">
        <v>198</v>
      </c>
      <c r="C124" t="s">
        <v>151</v>
      </c>
      <c r="D124" s="1">
        <v>0.2</v>
      </c>
      <c r="E124" t="s">
        <v>210</v>
      </c>
      <c r="F124" s="1">
        <v>0.25</v>
      </c>
      <c r="G124" t="s">
        <v>30</v>
      </c>
      <c r="H124" s="1">
        <v>0.1</v>
      </c>
      <c r="I124" s="1"/>
      <c r="J124" s="1">
        <v>0.47</v>
      </c>
      <c r="K124" s="1">
        <v>0.47</v>
      </c>
      <c r="L124" s="1">
        <v>0.44</v>
      </c>
      <c r="M124" s="1">
        <v>0.4</v>
      </c>
      <c r="N124" s="1">
        <v>0.36</v>
      </c>
    </row>
    <row r="125" spans="1:14" x14ac:dyDescent="0.3">
      <c r="A125" t="s">
        <v>126</v>
      </c>
      <c r="B125" t="s">
        <v>198</v>
      </c>
      <c r="C125" t="s">
        <v>151</v>
      </c>
      <c r="D125" s="1">
        <v>0.2</v>
      </c>
      <c r="E125" t="s">
        <v>53</v>
      </c>
      <c r="F125" s="1">
        <v>0.25</v>
      </c>
      <c r="G125" t="s">
        <v>24</v>
      </c>
      <c r="H125" s="1">
        <v>0.95</v>
      </c>
      <c r="I125" s="1"/>
      <c r="J125" s="1">
        <v>0.47</v>
      </c>
      <c r="K125" s="1">
        <v>0.47</v>
      </c>
      <c r="L125" s="1">
        <v>0.44</v>
      </c>
      <c r="M125" s="1">
        <v>0.4</v>
      </c>
      <c r="N125" s="1">
        <v>0.36</v>
      </c>
    </row>
    <row r="126" spans="1:14" x14ac:dyDescent="0.3">
      <c r="D126" s="1"/>
      <c r="F126" s="1"/>
      <c r="H126" s="1"/>
      <c r="I126" s="2">
        <f>SUM(I102:I125)</f>
        <v>0.7161249999999999</v>
      </c>
      <c r="J126" s="2">
        <f>+J106*$D106+J110*$D110+J114*$D114+J118*$D118+J122*$D122+J102*$D102</f>
        <v>0.58850000000000002</v>
      </c>
      <c r="K126" s="2">
        <f t="shared" ref="K126:N126" si="4">+K106*$D106+K110*$D110+K114*$D114+K118*$D118+K122*$D122+K102*$D102</f>
        <v>0.58850000000000002</v>
      </c>
      <c r="L126" s="2">
        <f t="shared" si="4"/>
        <v>0.55200000000000005</v>
      </c>
      <c r="M126" s="2">
        <f t="shared" si="4"/>
        <v>0.50949999999999995</v>
      </c>
      <c r="N126" s="2">
        <f t="shared" si="4"/>
        <v>0.46300000000000002</v>
      </c>
    </row>
    <row r="127" spans="1:14" x14ac:dyDescent="0.3">
      <c r="D127" s="1"/>
      <c r="F127" s="1"/>
      <c r="H127" s="1"/>
      <c r="I127" s="1"/>
      <c r="J127" s="1"/>
      <c r="K127" s="1"/>
      <c r="L127" s="1"/>
      <c r="M127" s="1"/>
      <c r="N127" s="1"/>
    </row>
    <row r="128" spans="1:14" x14ac:dyDescent="0.3">
      <c r="A128" t="s">
        <v>126</v>
      </c>
      <c r="B128" t="s">
        <v>211</v>
      </c>
      <c r="C128" t="s">
        <v>212</v>
      </c>
      <c r="D128" s="1">
        <v>0.25</v>
      </c>
      <c r="E128" t="s">
        <v>213</v>
      </c>
      <c r="F128" s="1">
        <v>0.25</v>
      </c>
      <c r="G128" t="s">
        <v>28</v>
      </c>
      <c r="H128" s="1">
        <v>0.7</v>
      </c>
      <c r="I128" s="1">
        <f>SUMPRODUCT(H128:H131,F128:F131)*D128</f>
        <v>0.13</v>
      </c>
      <c r="J128" s="1">
        <v>0.4</v>
      </c>
      <c r="K128" s="1">
        <v>0.4</v>
      </c>
      <c r="L128" s="1">
        <v>0.37</v>
      </c>
      <c r="M128" s="1">
        <v>0.33</v>
      </c>
      <c r="N128" s="1">
        <v>0.28000000000000003</v>
      </c>
    </row>
    <row r="129" spans="1:14" x14ac:dyDescent="0.3">
      <c r="A129" t="s">
        <v>126</v>
      </c>
      <c r="B129" t="s">
        <v>211</v>
      </c>
      <c r="C129" t="s">
        <v>212</v>
      </c>
      <c r="D129" s="1">
        <v>0.25</v>
      </c>
      <c r="E129" t="s">
        <v>214</v>
      </c>
      <c r="F129" s="1">
        <v>0.35</v>
      </c>
      <c r="G129" t="s">
        <v>30</v>
      </c>
      <c r="H129" s="1">
        <v>0.1</v>
      </c>
      <c r="I129" s="1"/>
      <c r="J129" s="1">
        <v>0.4</v>
      </c>
      <c r="K129" s="1">
        <v>0.4</v>
      </c>
      <c r="L129" s="1">
        <v>0.37</v>
      </c>
      <c r="M129" s="1">
        <v>0.33</v>
      </c>
      <c r="N129" s="1">
        <v>0.28000000000000003</v>
      </c>
    </row>
    <row r="130" spans="1:14" x14ac:dyDescent="0.3">
      <c r="A130" t="s">
        <v>126</v>
      </c>
      <c r="B130" t="s">
        <v>211</v>
      </c>
      <c r="C130" t="s">
        <v>212</v>
      </c>
      <c r="D130" s="1">
        <v>0.25</v>
      </c>
      <c r="E130" t="s">
        <v>215</v>
      </c>
      <c r="F130" s="1">
        <v>0.2</v>
      </c>
      <c r="G130" t="s">
        <v>20</v>
      </c>
      <c r="H130" s="1">
        <v>0.6</v>
      </c>
      <c r="I130" s="1"/>
      <c r="J130" s="1">
        <v>0.4</v>
      </c>
      <c r="K130" s="1">
        <v>0.4</v>
      </c>
      <c r="L130" s="1">
        <v>0.37</v>
      </c>
      <c r="M130" s="1">
        <v>0.33</v>
      </c>
      <c r="N130" s="1">
        <v>0.28000000000000003</v>
      </c>
    </row>
    <row r="131" spans="1:14" x14ac:dyDescent="0.3">
      <c r="A131" t="s">
        <v>126</v>
      </c>
      <c r="B131" t="s">
        <v>211</v>
      </c>
      <c r="C131" t="s">
        <v>212</v>
      </c>
      <c r="D131" s="1">
        <v>0.25</v>
      </c>
      <c r="E131" t="s">
        <v>159</v>
      </c>
      <c r="F131" s="1">
        <v>0.2</v>
      </c>
      <c r="G131" t="s">
        <v>24</v>
      </c>
      <c r="H131" s="1">
        <v>0.95</v>
      </c>
      <c r="I131" s="1"/>
      <c r="J131" s="1">
        <v>0.4</v>
      </c>
      <c r="K131" s="1">
        <v>0.4</v>
      </c>
      <c r="L131" s="1">
        <v>0.37</v>
      </c>
      <c r="M131" s="1">
        <v>0.33</v>
      </c>
      <c r="N131" s="1">
        <v>0.28000000000000003</v>
      </c>
    </row>
    <row r="132" spans="1:14" x14ac:dyDescent="0.3">
      <c r="A132" t="s">
        <v>126</v>
      </c>
      <c r="B132" t="s">
        <v>211</v>
      </c>
      <c r="C132" t="s">
        <v>216</v>
      </c>
      <c r="D132" s="1">
        <v>0.15</v>
      </c>
      <c r="E132" t="s">
        <v>161</v>
      </c>
      <c r="F132" s="1">
        <v>0.3</v>
      </c>
      <c r="G132" t="s">
        <v>73</v>
      </c>
      <c r="H132" s="1">
        <v>0.7</v>
      </c>
      <c r="I132" s="1">
        <f>SUMPRODUCT(H132:H135,F132:F135)*D132</f>
        <v>0.108</v>
      </c>
      <c r="J132" s="1">
        <v>0.57999999999999996</v>
      </c>
      <c r="K132" s="1">
        <v>0.57999999999999996</v>
      </c>
      <c r="L132" s="1">
        <v>0.54</v>
      </c>
      <c r="M132" s="1">
        <v>0.49</v>
      </c>
      <c r="N132" s="1">
        <v>0.43</v>
      </c>
    </row>
    <row r="133" spans="1:14" x14ac:dyDescent="0.3">
      <c r="A133" t="s">
        <v>126</v>
      </c>
      <c r="B133" t="s">
        <v>211</v>
      </c>
      <c r="C133" t="s">
        <v>216</v>
      </c>
      <c r="D133" s="1">
        <v>0.15</v>
      </c>
      <c r="E133" t="s">
        <v>217</v>
      </c>
      <c r="F133" s="1">
        <v>0.3</v>
      </c>
      <c r="G133" t="s">
        <v>20</v>
      </c>
      <c r="H133" s="1">
        <v>0.6</v>
      </c>
      <c r="I133" s="1"/>
      <c r="J133" s="1">
        <v>0.57999999999999996</v>
      </c>
      <c r="K133" s="1">
        <v>0.57999999999999996</v>
      </c>
      <c r="L133" s="1">
        <v>0.54</v>
      </c>
      <c r="M133" s="1">
        <v>0.49</v>
      </c>
      <c r="N133" s="1">
        <v>0.43</v>
      </c>
    </row>
    <row r="134" spans="1:14" x14ac:dyDescent="0.3">
      <c r="A134" t="s">
        <v>126</v>
      </c>
      <c r="B134" t="s">
        <v>211</v>
      </c>
      <c r="C134" t="s">
        <v>216</v>
      </c>
      <c r="D134" s="1">
        <v>0.15</v>
      </c>
      <c r="E134" t="s">
        <v>75</v>
      </c>
      <c r="F134" s="1">
        <v>0.2</v>
      </c>
      <c r="G134" t="s">
        <v>28</v>
      </c>
      <c r="H134" s="1">
        <v>0.7</v>
      </c>
      <c r="I134" s="1"/>
      <c r="J134" s="1">
        <v>0.57999999999999996</v>
      </c>
      <c r="K134" s="1">
        <v>0.57999999999999996</v>
      </c>
      <c r="L134" s="1">
        <v>0.54</v>
      </c>
      <c r="M134" s="1">
        <v>0.49</v>
      </c>
      <c r="N134" s="1">
        <v>0.43</v>
      </c>
    </row>
    <row r="135" spans="1:14" x14ac:dyDescent="0.3">
      <c r="A135" t="s">
        <v>126</v>
      </c>
      <c r="B135" t="s">
        <v>211</v>
      </c>
      <c r="C135" t="s">
        <v>216</v>
      </c>
      <c r="D135" s="1">
        <v>0.15</v>
      </c>
      <c r="E135" t="s">
        <v>189</v>
      </c>
      <c r="F135" s="1">
        <v>0.2</v>
      </c>
      <c r="G135" t="s">
        <v>24</v>
      </c>
      <c r="H135" s="1">
        <v>0.95</v>
      </c>
      <c r="I135" s="1"/>
      <c r="J135" s="1">
        <v>0.57999999999999996</v>
      </c>
      <c r="K135" s="1">
        <v>0.57999999999999996</v>
      </c>
      <c r="L135" s="1">
        <v>0.54</v>
      </c>
      <c r="M135" s="1">
        <v>0.49</v>
      </c>
      <c r="N135" s="1">
        <v>0.43</v>
      </c>
    </row>
    <row r="136" spans="1:14" x14ac:dyDescent="0.3">
      <c r="A136" t="s">
        <v>126</v>
      </c>
      <c r="B136" t="s">
        <v>211</v>
      </c>
      <c r="C136" t="s">
        <v>16</v>
      </c>
      <c r="D136" s="1">
        <v>0.2</v>
      </c>
      <c r="E136" t="s">
        <v>17</v>
      </c>
      <c r="F136" s="1">
        <v>0.3</v>
      </c>
      <c r="G136" t="s">
        <v>18</v>
      </c>
      <c r="H136" s="1">
        <v>0.9</v>
      </c>
      <c r="I136" s="1">
        <f>SUMPRODUCT(H136:H139,F136:F139)*D136</f>
        <v>0.16550000000000004</v>
      </c>
      <c r="J136" s="1">
        <v>0.68</v>
      </c>
      <c r="K136" s="1">
        <v>0.68</v>
      </c>
      <c r="L136" s="1">
        <v>0.63</v>
      </c>
      <c r="M136" s="1">
        <v>0.57999999999999996</v>
      </c>
      <c r="N136" s="1">
        <v>0.52</v>
      </c>
    </row>
    <row r="137" spans="1:14" x14ac:dyDescent="0.3">
      <c r="A137" t="s">
        <v>126</v>
      </c>
      <c r="B137" t="s">
        <v>211</v>
      </c>
      <c r="C137" t="s">
        <v>16</v>
      </c>
      <c r="D137" s="1">
        <v>0.2</v>
      </c>
      <c r="E137" t="s">
        <v>19</v>
      </c>
      <c r="F137" s="1">
        <v>0.25</v>
      </c>
      <c r="G137" t="s">
        <v>20</v>
      </c>
      <c r="H137" s="1">
        <v>0.6</v>
      </c>
      <c r="I137" s="1"/>
      <c r="J137" s="1">
        <v>0.68</v>
      </c>
      <c r="K137" s="1">
        <v>0.68</v>
      </c>
      <c r="L137" s="1">
        <v>0.63</v>
      </c>
      <c r="M137" s="1">
        <v>0.57999999999999996</v>
      </c>
      <c r="N137" s="1">
        <v>0.52</v>
      </c>
    </row>
    <row r="138" spans="1:14" x14ac:dyDescent="0.3">
      <c r="A138" t="s">
        <v>126</v>
      </c>
      <c r="B138" t="s">
        <v>211</v>
      </c>
      <c r="C138" t="s">
        <v>16</v>
      </c>
      <c r="D138" s="1">
        <v>0.2</v>
      </c>
      <c r="E138" t="s">
        <v>21</v>
      </c>
      <c r="F138" s="1">
        <v>0.2</v>
      </c>
      <c r="G138" t="s">
        <v>22</v>
      </c>
      <c r="H138" s="1">
        <v>0.85</v>
      </c>
      <c r="I138" s="1"/>
      <c r="J138" s="1">
        <v>0.68</v>
      </c>
      <c r="K138" s="1">
        <v>0.68</v>
      </c>
      <c r="L138" s="1">
        <v>0.63</v>
      </c>
      <c r="M138" s="1">
        <v>0.57999999999999996</v>
      </c>
      <c r="N138" s="1">
        <v>0.52</v>
      </c>
    </row>
    <row r="139" spans="1:14" x14ac:dyDescent="0.3">
      <c r="A139" t="s">
        <v>126</v>
      </c>
      <c r="B139" t="s">
        <v>211</v>
      </c>
      <c r="C139" t="s">
        <v>16</v>
      </c>
      <c r="D139" s="1">
        <v>0.2</v>
      </c>
      <c r="E139" t="s">
        <v>23</v>
      </c>
      <c r="F139" s="1">
        <v>0.25</v>
      </c>
      <c r="G139" t="s">
        <v>24</v>
      </c>
      <c r="H139" s="1">
        <v>0.95</v>
      </c>
      <c r="I139" s="1"/>
      <c r="J139" s="1">
        <v>0.68</v>
      </c>
      <c r="K139" s="1">
        <v>0.68</v>
      </c>
      <c r="L139" s="1">
        <v>0.63</v>
      </c>
      <c r="M139" s="1">
        <v>0.57999999999999996</v>
      </c>
      <c r="N139" s="1">
        <v>0.52</v>
      </c>
    </row>
    <row r="140" spans="1:14" x14ac:dyDescent="0.3">
      <c r="A140" t="s">
        <v>126</v>
      </c>
      <c r="B140" t="s">
        <v>211</v>
      </c>
      <c r="C140" t="s">
        <v>25</v>
      </c>
      <c r="D140" s="1">
        <v>0.1</v>
      </c>
      <c r="E140" t="s">
        <v>26</v>
      </c>
      <c r="F140" s="1">
        <v>0.25</v>
      </c>
      <c r="G140" t="s">
        <v>18</v>
      </c>
      <c r="H140" s="1">
        <v>0.9</v>
      </c>
      <c r="I140" s="1">
        <f>SUMPRODUCT(H140:H143,F140:F143)*D140</f>
        <v>6.2000000000000013E-2</v>
      </c>
      <c r="J140" s="1">
        <v>0.48</v>
      </c>
      <c r="K140" s="1">
        <v>0.48</v>
      </c>
      <c r="L140" s="1">
        <v>0.45</v>
      </c>
      <c r="M140" s="1">
        <v>0.41</v>
      </c>
      <c r="N140" s="1">
        <v>0.37</v>
      </c>
    </row>
    <row r="141" spans="1:14" x14ac:dyDescent="0.3">
      <c r="A141" t="s">
        <v>126</v>
      </c>
      <c r="B141" t="s">
        <v>211</v>
      </c>
      <c r="C141" t="s">
        <v>25</v>
      </c>
      <c r="D141" s="1">
        <v>0.1</v>
      </c>
      <c r="E141" t="s">
        <v>218</v>
      </c>
      <c r="F141" s="1">
        <v>0.25</v>
      </c>
      <c r="G141" t="s">
        <v>28</v>
      </c>
      <c r="H141" s="1">
        <v>0.7</v>
      </c>
      <c r="I141" s="1"/>
      <c r="J141" s="1">
        <v>0.48</v>
      </c>
      <c r="K141" s="1">
        <v>0.48</v>
      </c>
      <c r="L141" s="1">
        <v>0.45</v>
      </c>
      <c r="M141" s="1">
        <v>0.41</v>
      </c>
      <c r="N141" s="1">
        <v>0.37</v>
      </c>
    </row>
    <row r="142" spans="1:14" x14ac:dyDescent="0.3">
      <c r="A142" t="s">
        <v>126</v>
      </c>
      <c r="B142" t="s">
        <v>211</v>
      </c>
      <c r="C142" t="s">
        <v>25</v>
      </c>
      <c r="D142" s="1">
        <v>0.1</v>
      </c>
      <c r="E142" t="s">
        <v>219</v>
      </c>
      <c r="F142" s="1">
        <v>0.3</v>
      </c>
      <c r="G142" t="s">
        <v>30</v>
      </c>
      <c r="H142" s="1">
        <v>0.1</v>
      </c>
      <c r="I142" s="1"/>
      <c r="J142" s="1">
        <v>0.48</v>
      </c>
      <c r="K142" s="1">
        <v>0.48</v>
      </c>
      <c r="L142" s="1">
        <v>0.45</v>
      </c>
      <c r="M142" s="1">
        <v>0.41</v>
      </c>
      <c r="N142" s="1">
        <v>0.37</v>
      </c>
    </row>
    <row r="143" spans="1:14" x14ac:dyDescent="0.3">
      <c r="A143" t="s">
        <v>126</v>
      </c>
      <c r="B143" t="s">
        <v>211</v>
      </c>
      <c r="C143" t="s">
        <v>25</v>
      </c>
      <c r="D143" s="1">
        <v>0.1</v>
      </c>
      <c r="E143" t="s">
        <v>31</v>
      </c>
      <c r="F143" s="1">
        <v>0.2</v>
      </c>
      <c r="G143" t="s">
        <v>24</v>
      </c>
      <c r="H143" s="1">
        <v>0.95</v>
      </c>
      <c r="I143" s="1"/>
      <c r="J143" s="1">
        <v>0.48</v>
      </c>
      <c r="K143" s="1">
        <v>0.48</v>
      </c>
      <c r="L143" s="1">
        <v>0.45</v>
      </c>
      <c r="M143" s="1">
        <v>0.41</v>
      </c>
      <c r="N143" s="1">
        <v>0.37</v>
      </c>
    </row>
    <row r="144" spans="1:14" x14ac:dyDescent="0.3">
      <c r="A144" t="s">
        <v>126</v>
      </c>
      <c r="B144" t="s">
        <v>211</v>
      </c>
      <c r="C144" t="s">
        <v>135</v>
      </c>
      <c r="D144" s="1">
        <v>0.1</v>
      </c>
      <c r="E144" t="s">
        <v>192</v>
      </c>
      <c r="F144" s="1">
        <v>0.3</v>
      </c>
      <c r="G144" t="s">
        <v>18</v>
      </c>
      <c r="H144" s="1">
        <v>0.9</v>
      </c>
      <c r="I144" s="1">
        <f>SUMPRODUCT(H144:H147,F144:F147)*D144</f>
        <v>8.1000000000000016E-2</v>
      </c>
      <c r="J144" s="1">
        <v>0.68</v>
      </c>
      <c r="K144" s="1">
        <v>0.68</v>
      </c>
      <c r="L144" s="1">
        <v>0.64</v>
      </c>
      <c r="M144" s="1">
        <v>0.59</v>
      </c>
      <c r="N144" s="1">
        <v>0.53</v>
      </c>
    </row>
    <row r="145" spans="1:14" x14ac:dyDescent="0.3">
      <c r="A145" t="s">
        <v>126</v>
      </c>
      <c r="B145" t="s">
        <v>211</v>
      </c>
      <c r="C145" t="s">
        <v>135</v>
      </c>
      <c r="D145" s="1">
        <v>0.1</v>
      </c>
      <c r="E145" t="s">
        <v>220</v>
      </c>
      <c r="F145" s="1">
        <v>0.25</v>
      </c>
      <c r="G145" t="s">
        <v>40</v>
      </c>
      <c r="H145" s="1">
        <v>0.7</v>
      </c>
      <c r="I145" s="1"/>
      <c r="J145" s="1">
        <v>0.68</v>
      </c>
      <c r="K145" s="1">
        <v>0.68</v>
      </c>
      <c r="L145" s="1">
        <v>0.64</v>
      </c>
      <c r="M145" s="1">
        <v>0.59</v>
      </c>
      <c r="N145" s="1">
        <v>0.53</v>
      </c>
    </row>
    <row r="146" spans="1:14" x14ac:dyDescent="0.3">
      <c r="A146" t="s">
        <v>126</v>
      </c>
      <c r="B146" t="s">
        <v>211</v>
      </c>
      <c r="C146" t="s">
        <v>135</v>
      </c>
      <c r="D146" s="1">
        <v>0.1</v>
      </c>
      <c r="E146" t="s">
        <v>173</v>
      </c>
      <c r="F146" s="1">
        <v>0.25</v>
      </c>
      <c r="G146" t="s">
        <v>28</v>
      </c>
      <c r="H146" s="1">
        <v>0.7</v>
      </c>
      <c r="I146" s="1"/>
      <c r="J146" s="1">
        <v>0.68</v>
      </c>
      <c r="K146" s="1">
        <v>0.68</v>
      </c>
      <c r="L146" s="1">
        <v>0.64</v>
      </c>
      <c r="M146" s="1">
        <v>0.59</v>
      </c>
      <c r="N146" s="1">
        <v>0.53</v>
      </c>
    </row>
    <row r="147" spans="1:14" x14ac:dyDescent="0.3">
      <c r="A147" t="s">
        <v>126</v>
      </c>
      <c r="B147" t="s">
        <v>211</v>
      </c>
      <c r="C147" t="s">
        <v>135</v>
      </c>
      <c r="D147" s="1">
        <v>0.1</v>
      </c>
      <c r="E147" t="s">
        <v>42</v>
      </c>
      <c r="F147" s="1">
        <v>0.2</v>
      </c>
      <c r="G147" t="s">
        <v>24</v>
      </c>
      <c r="H147" s="1">
        <v>0.95</v>
      </c>
      <c r="I147" s="1"/>
      <c r="J147" s="1">
        <v>0.68</v>
      </c>
      <c r="K147" s="1">
        <v>0.68</v>
      </c>
      <c r="L147" s="1">
        <v>0.64</v>
      </c>
      <c r="M147" s="1">
        <v>0.59</v>
      </c>
      <c r="N147" s="1">
        <v>0.53</v>
      </c>
    </row>
    <row r="148" spans="1:14" x14ac:dyDescent="0.3">
      <c r="A148" t="s">
        <v>126</v>
      </c>
      <c r="B148" t="s">
        <v>211</v>
      </c>
      <c r="C148" t="s">
        <v>174</v>
      </c>
      <c r="D148" s="1">
        <v>0.2</v>
      </c>
      <c r="E148" t="s">
        <v>221</v>
      </c>
      <c r="F148" s="1">
        <v>0.25</v>
      </c>
      <c r="G148" t="s">
        <v>40</v>
      </c>
      <c r="H148" s="1">
        <v>0.7</v>
      </c>
      <c r="I148" s="1">
        <f>SUMPRODUCT(H148:H151,F148:F151)*D148</f>
        <v>0.11749999999999999</v>
      </c>
      <c r="J148" s="1">
        <v>0.45</v>
      </c>
      <c r="K148" s="1">
        <v>0.45</v>
      </c>
      <c r="L148" s="1">
        <v>0.42</v>
      </c>
      <c r="M148" s="1">
        <v>0.38</v>
      </c>
      <c r="N148" s="1">
        <v>0.32</v>
      </c>
    </row>
    <row r="149" spans="1:14" x14ac:dyDescent="0.3">
      <c r="A149" t="s">
        <v>126</v>
      </c>
      <c r="B149" t="s">
        <v>211</v>
      </c>
      <c r="C149" t="s">
        <v>174</v>
      </c>
      <c r="D149" s="1">
        <v>0.2</v>
      </c>
      <c r="E149" t="s">
        <v>176</v>
      </c>
      <c r="F149" s="1">
        <v>0.25</v>
      </c>
      <c r="G149" t="s">
        <v>20</v>
      </c>
      <c r="H149" s="1">
        <v>0.6</v>
      </c>
      <c r="I149" s="1"/>
      <c r="J149" s="1">
        <v>0.45</v>
      </c>
      <c r="K149" s="1">
        <v>0.45</v>
      </c>
      <c r="L149" s="1">
        <v>0.42</v>
      </c>
      <c r="M149" s="1">
        <v>0.38</v>
      </c>
      <c r="N149" s="1">
        <v>0.32</v>
      </c>
    </row>
    <row r="150" spans="1:14" x14ac:dyDescent="0.3">
      <c r="A150" t="s">
        <v>126</v>
      </c>
      <c r="B150" t="s">
        <v>211</v>
      </c>
      <c r="C150" t="s">
        <v>174</v>
      </c>
      <c r="D150" s="1">
        <v>0.2</v>
      </c>
      <c r="E150" t="s">
        <v>222</v>
      </c>
      <c r="F150" s="1">
        <v>0.25</v>
      </c>
      <c r="G150" t="s">
        <v>30</v>
      </c>
      <c r="H150" s="1">
        <v>0.1</v>
      </c>
      <c r="I150" s="1"/>
      <c r="J150" s="1">
        <v>0.45</v>
      </c>
      <c r="K150" s="1">
        <v>0.45</v>
      </c>
      <c r="L150" s="1">
        <v>0.42</v>
      </c>
      <c r="M150" s="1">
        <v>0.38</v>
      </c>
      <c r="N150" s="1">
        <v>0.32</v>
      </c>
    </row>
    <row r="151" spans="1:14" x14ac:dyDescent="0.3">
      <c r="A151" t="s">
        <v>126</v>
      </c>
      <c r="B151" t="s">
        <v>211</v>
      </c>
      <c r="C151" t="s">
        <v>174</v>
      </c>
      <c r="D151" s="1">
        <v>0.2</v>
      </c>
      <c r="E151" t="s">
        <v>223</v>
      </c>
      <c r="F151" s="1">
        <v>0.25</v>
      </c>
      <c r="G151" t="s">
        <v>24</v>
      </c>
      <c r="H151" s="1">
        <v>0.95</v>
      </c>
      <c r="I151" s="1"/>
      <c r="J151" s="1">
        <v>0.45</v>
      </c>
      <c r="K151" s="1">
        <v>0.45</v>
      </c>
      <c r="L151" s="1">
        <v>0.42</v>
      </c>
      <c r="M151" s="1">
        <v>0.38</v>
      </c>
      <c r="N151" s="1">
        <v>0.32</v>
      </c>
    </row>
    <row r="152" spans="1:14" x14ac:dyDescent="0.3">
      <c r="D152" s="1"/>
      <c r="F152" s="1"/>
      <c r="H152" s="1"/>
      <c r="I152" s="2">
        <f>SUM(I128:I151)</f>
        <v>0.66399999999999992</v>
      </c>
      <c r="J152" s="2">
        <f>+J132*$D132+J136*$D136+J140*$D140+J144*$D144+J148*$D148+J128*$D128</f>
        <v>0.52900000000000003</v>
      </c>
      <c r="K152" s="2">
        <f t="shared" ref="K152:N152" si="5">+K132*$D132+K136*$D136+K140*$D140+K144*$D144+K148*$D148+K128*$D128</f>
        <v>0.52900000000000003</v>
      </c>
      <c r="L152" s="2">
        <f t="shared" si="5"/>
        <v>0.49250000000000005</v>
      </c>
      <c r="M152" s="2">
        <f t="shared" si="5"/>
        <v>0.44800000000000001</v>
      </c>
      <c r="N152" s="2">
        <f t="shared" si="5"/>
        <v>0.39250000000000002</v>
      </c>
    </row>
    <row r="153" spans="1:14" x14ac:dyDescent="0.3">
      <c r="D153" s="1"/>
      <c r="F153" s="1"/>
      <c r="H153" s="1"/>
      <c r="I153" s="1"/>
      <c r="J153" s="1"/>
      <c r="K153" s="1"/>
      <c r="L153" s="1"/>
      <c r="M153" s="1"/>
      <c r="N153" s="1"/>
    </row>
    <row r="154" spans="1:14" x14ac:dyDescent="0.3">
      <c r="A154" t="s">
        <v>126</v>
      </c>
      <c r="B154" t="s">
        <v>224</v>
      </c>
      <c r="C154" t="s">
        <v>225</v>
      </c>
      <c r="D154" s="1">
        <v>0.25</v>
      </c>
      <c r="E154" t="s">
        <v>226</v>
      </c>
      <c r="F154" s="1">
        <v>0.25</v>
      </c>
      <c r="G154" t="s">
        <v>28</v>
      </c>
      <c r="H154" s="1">
        <v>0.7</v>
      </c>
      <c r="I154" s="1">
        <f>SUMPRODUCT(H154:H157,F154:F157)*D154</f>
        <v>0.13</v>
      </c>
      <c r="J154" s="1">
        <v>0.4</v>
      </c>
      <c r="K154" s="1">
        <v>0.4</v>
      </c>
      <c r="L154" s="1">
        <v>0.37</v>
      </c>
      <c r="M154" s="1">
        <v>0.33</v>
      </c>
      <c r="N154" s="1">
        <v>0.28000000000000003</v>
      </c>
    </row>
    <row r="155" spans="1:14" x14ac:dyDescent="0.3">
      <c r="A155" t="s">
        <v>126</v>
      </c>
      <c r="B155" t="s">
        <v>224</v>
      </c>
      <c r="C155" t="s">
        <v>225</v>
      </c>
      <c r="D155" s="1">
        <v>0.25</v>
      </c>
      <c r="E155" t="s">
        <v>227</v>
      </c>
      <c r="F155" s="1">
        <v>0.35</v>
      </c>
      <c r="G155" t="s">
        <v>30</v>
      </c>
      <c r="H155" s="1">
        <v>0.1</v>
      </c>
      <c r="I155" s="1"/>
      <c r="J155" s="1">
        <v>0.4</v>
      </c>
      <c r="K155" s="1">
        <v>0.4</v>
      </c>
      <c r="L155" s="1">
        <v>0.37</v>
      </c>
      <c r="M155" s="1">
        <v>0.33</v>
      </c>
      <c r="N155" s="1">
        <v>0.28000000000000003</v>
      </c>
    </row>
    <row r="156" spans="1:14" x14ac:dyDescent="0.3">
      <c r="A156" t="s">
        <v>126</v>
      </c>
      <c r="B156" t="s">
        <v>224</v>
      </c>
      <c r="C156" t="s">
        <v>225</v>
      </c>
      <c r="D156" s="1">
        <v>0.25</v>
      </c>
      <c r="E156" t="s">
        <v>144</v>
      </c>
      <c r="F156" s="1">
        <v>0.2</v>
      </c>
      <c r="G156" t="s">
        <v>20</v>
      </c>
      <c r="H156" s="1">
        <v>0.6</v>
      </c>
      <c r="I156" s="1"/>
      <c r="J156" s="1">
        <v>0.4</v>
      </c>
      <c r="K156" s="1">
        <v>0.4</v>
      </c>
      <c r="L156" s="1">
        <v>0.37</v>
      </c>
      <c r="M156" s="1">
        <v>0.33</v>
      </c>
      <c r="N156" s="1">
        <v>0.28000000000000003</v>
      </c>
    </row>
    <row r="157" spans="1:14" x14ac:dyDescent="0.3">
      <c r="A157" t="s">
        <v>126</v>
      </c>
      <c r="B157" t="s">
        <v>224</v>
      </c>
      <c r="C157" t="s">
        <v>225</v>
      </c>
      <c r="D157" s="1">
        <v>0.25</v>
      </c>
      <c r="E157" t="s">
        <v>228</v>
      </c>
      <c r="F157" s="1">
        <v>0.2</v>
      </c>
      <c r="G157" t="s">
        <v>24</v>
      </c>
      <c r="H157" s="1">
        <v>0.95</v>
      </c>
      <c r="I157" s="1"/>
      <c r="J157" s="1">
        <v>0.4</v>
      </c>
      <c r="K157" s="1">
        <v>0.4</v>
      </c>
      <c r="L157" s="1">
        <v>0.37</v>
      </c>
      <c r="M157" s="1">
        <v>0.33</v>
      </c>
      <c r="N157" s="1">
        <v>0.28000000000000003</v>
      </c>
    </row>
    <row r="158" spans="1:14" x14ac:dyDescent="0.3">
      <c r="A158" t="s">
        <v>126</v>
      </c>
      <c r="B158" t="s">
        <v>224</v>
      </c>
      <c r="C158" t="s">
        <v>229</v>
      </c>
      <c r="D158" s="1">
        <v>0.2</v>
      </c>
      <c r="E158" t="s">
        <v>230</v>
      </c>
      <c r="F158" s="1">
        <v>0.3</v>
      </c>
      <c r="G158" t="s">
        <v>73</v>
      </c>
      <c r="H158" s="1">
        <v>0.7</v>
      </c>
      <c r="I158" s="1">
        <f>SUMPRODUCT(H158:H161,F158:F161)*D158</f>
        <v>0.14399999999999999</v>
      </c>
      <c r="J158" s="1">
        <v>0.57999999999999996</v>
      </c>
      <c r="K158" s="1">
        <v>0.57999999999999996</v>
      </c>
      <c r="L158" s="1">
        <v>0.54</v>
      </c>
      <c r="M158" s="1">
        <v>0.49</v>
      </c>
      <c r="N158" s="1">
        <v>0.43</v>
      </c>
    </row>
    <row r="159" spans="1:14" x14ac:dyDescent="0.3">
      <c r="A159" t="s">
        <v>126</v>
      </c>
      <c r="B159" t="s">
        <v>224</v>
      </c>
      <c r="C159" t="s">
        <v>229</v>
      </c>
      <c r="D159" s="1">
        <v>0.2</v>
      </c>
      <c r="E159" t="s">
        <v>231</v>
      </c>
      <c r="F159" s="1">
        <v>0.3</v>
      </c>
      <c r="G159" t="s">
        <v>20</v>
      </c>
      <c r="H159" s="1">
        <v>0.6</v>
      </c>
      <c r="I159" s="1"/>
      <c r="J159" s="1">
        <v>0.57999999999999996</v>
      </c>
      <c r="K159" s="1">
        <v>0.57999999999999996</v>
      </c>
      <c r="L159" s="1">
        <v>0.54</v>
      </c>
      <c r="M159" s="1">
        <v>0.49</v>
      </c>
      <c r="N159" s="1">
        <v>0.43</v>
      </c>
    </row>
    <row r="160" spans="1:14" x14ac:dyDescent="0.3">
      <c r="A160" t="s">
        <v>126</v>
      </c>
      <c r="B160" t="s">
        <v>224</v>
      </c>
      <c r="C160" t="s">
        <v>229</v>
      </c>
      <c r="D160" s="1">
        <v>0.2</v>
      </c>
      <c r="E160" t="s">
        <v>232</v>
      </c>
      <c r="F160" s="1">
        <v>0.2</v>
      </c>
      <c r="G160" t="s">
        <v>28</v>
      </c>
      <c r="H160" s="1">
        <v>0.7</v>
      </c>
      <c r="I160" s="1"/>
      <c r="J160" s="1">
        <v>0.57999999999999996</v>
      </c>
      <c r="K160" s="1">
        <v>0.57999999999999996</v>
      </c>
      <c r="L160" s="1">
        <v>0.54</v>
      </c>
      <c r="M160" s="1">
        <v>0.49</v>
      </c>
      <c r="N160" s="1">
        <v>0.43</v>
      </c>
    </row>
    <row r="161" spans="1:14" x14ac:dyDescent="0.3">
      <c r="A161" t="s">
        <v>126</v>
      </c>
      <c r="B161" t="s">
        <v>224</v>
      </c>
      <c r="C161" t="s">
        <v>229</v>
      </c>
      <c r="D161" s="1">
        <v>0.2</v>
      </c>
      <c r="E161" t="s">
        <v>189</v>
      </c>
      <c r="F161" s="1">
        <v>0.2</v>
      </c>
      <c r="G161" t="s">
        <v>24</v>
      </c>
      <c r="H161" s="1">
        <v>0.95</v>
      </c>
      <c r="I161" s="1"/>
      <c r="J161" s="1">
        <v>0.57999999999999996</v>
      </c>
      <c r="K161" s="1">
        <v>0.57999999999999996</v>
      </c>
      <c r="L161" s="1">
        <v>0.54</v>
      </c>
      <c r="M161" s="1">
        <v>0.49</v>
      </c>
      <c r="N161" s="1">
        <v>0.43</v>
      </c>
    </row>
    <row r="162" spans="1:14" x14ac:dyDescent="0.3">
      <c r="A162" t="s">
        <v>126</v>
      </c>
      <c r="B162" t="s">
        <v>224</v>
      </c>
      <c r="C162" t="s">
        <v>16</v>
      </c>
      <c r="D162" s="1">
        <v>0.2</v>
      </c>
      <c r="E162" t="s">
        <v>17</v>
      </c>
      <c r="F162" s="1">
        <v>0.3</v>
      </c>
      <c r="G162" t="s">
        <v>18</v>
      </c>
      <c r="H162" s="1">
        <v>0.9</v>
      </c>
      <c r="I162" s="1">
        <f>SUMPRODUCT(H162:H165,F162:F165)*D162</f>
        <v>0.16550000000000004</v>
      </c>
      <c r="J162" s="1">
        <v>0.68</v>
      </c>
      <c r="K162" s="1">
        <v>0.68</v>
      </c>
      <c r="L162" s="1">
        <v>0.63</v>
      </c>
      <c r="M162" s="1">
        <v>0.57999999999999996</v>
      </c>
      <c r="N162" s="1">
        <v>0.52</v>
      </c>
    </row>
    <row r="163" spans="1:14" x14ac:dyDescent="0.3">
      <c r="A163" t="s">
        <v>126</v>
      </c>
      <c r="B163" t="s">
        <v>224</v>
      </c>
      <c r="C163" t="s">
        <v>16</v>
      </c>
      <c r="D163" s="1">
        <v>0.2</v>
      </c>
      <c r="E163" t="s">
        <v>19</v>
      </c>
      <c r="F163" s="1">
        <v>0.25</v>
      </c>
      <c r="G163" t="s">
        <v>20</v>
      </c>
      <c r="H163" s="1">
        <v>0.6</v>
      </c>
      <c r="I163" s="1"/>
      <c r="J163" s="1">
        <v>0.68</v>
      </c>
      <c r="K163" s="1">
        <v>0.68</v>
      </c>
      <c r="L163" s="1">
        <v>0.63</v>
      </c>
      <c r="M163" s="1">
        <v>0.57999999999999996</v>
      </c>
      <c r="N163" s="1">
        <v>0.52</v>
      </c>
    </row>
    <row r="164" spans="1:14" x14ac:dyDescent="0.3">
      <c r="A164" t="s">
        <v>126</v>
      </c>
      <c r="B164" t="s">
        <v>224</v>
      </c>
      <c r="C164" t="s">
        <v>16</v>
      </c>
      <c r="D164" s="1">
        <v>0.2</v>
      </c>
      <c r="E164" t="s">
        <v>21</v>
      </c>
      <c r="F164" s="1">
        <v>0.2</v>
      </c>
      <c r="G164" t="s">
        <v>22</v>
      </c>
      <c r="H164" s="1">
        <v>0.85</v>
      </c>
      <c r="I164" s="1"/>
      <c r="J164" s="1">
        <v>0.68</v>
      </c>
      <c r="K164" s="1">
        <v>0.68</v>
      </c>
      <c r="L164" s="1">
        <v>0.63</v>
      </c>
      <c r="M164" s="1">
        <v>0.57999999999999996</v>
      </c>
      <c r="N164" s="1">
        <v>0.52</v>
      </c>
    </row>
    <row r="165" spans="1:14" x14ac:dyDescent="0.3">
      <c r="A165" t="s">
        <v>126</v>
      </c>
      <c r="B165" t="s">
        <v>224</v>
      </c>
      <c r="C165" t="s">
        <v>16</v>
      </c>
      <c r="D165" s="1">
        <v>0.2</v>
      </c>
      <c r="E165" t="s">
        <v>23</v>
      </c>
      <c r="F165" s="1">
        <v>0.25</v>
      </c>
      <c r="G165" t="s">
        <v>24</v>
      </c>
      <c r="H165" s="1">
        <v>0.95</v>
      </c>
      <c r="I165" s="1"/>
      <c r="J165" s="1">
        <v>0.68</v>
      </c>
      <c r="K165" s="1">
        <v>0.68</v>
      </c>
      <c r="L165" s="1">
        <v>0.63</v>
      </c>
      <c r="M165" s="1">
        <v>0.57999999999999996</v>
      </c>
      <c r="N165" s="1">
        <v>0.52</v>
      </c>
    </row>
    <row r="166" spans="1:14" x14ac:dyDescent="0.3">
      <c r="A166" t="s">
        <v>126</v>
      </c>
      <c r="B166" t="s">
        <v>224</v>
      </c>
      <c r="C166" t="s">
        <v>25</v>
      </c>
      <c r="D166" s="1">
        <v>0.1</v>
      </c>
      <c r="E166" t="s">
        <v>26</v>
      </c>
      <c r="F166" s="1">
        <v>0.25</v>
      </c>
      <c r="G166" t="s">
        <v>18</v>
      </c>
      <c r="H166" s="1">
        <v>0.9</v>
      </c>
      <c r="I166" s="1">
        <f>SUMPRODUCT(H166:H169,F166:F169)*D166</f>
        <v>6.2000000000000013E-2</v>
      </c>
      <c r="J166" s="1">
        <v>0.48</v>
      </c>
      <c r="K166" s="1">
        <v>0.48</v>
      </c>
      <c r="L166" s="1">
        <v>0.45</v>
      </c>
      <c r="M166" s="1">
        <v>0.41</v>
      </c>
      <c r="N166" s="1">
        <v>0.37</v>
      </c>
    </row>
    <row r="167" spans="1:14" x14ac:dyDescent="0.3">
      <c r="A167" t="s">
        <v>126</v>
      </c>
      <c r="B167" t="s">
        <v>224</v>
      </c>
      <c r="C167" t="s">
        <v>25</v>
      </c>
      <c r="D167" s="1">
        <v>0.1</v>
      </c>
      <c r="E167" t="s">
        <v>233</v>
      </c>
      <c r="F167" s="1">
        <v>0.25</v>
      </c>
      <c r="G167" t="s">
        <v>28</v>
      </c>
      <c r="H167" s="1">
        <v>0.7</v>
      </c>
      <c r="I167" s="1"/>
      <c r="J167" s="1">
        <v>0.48</v>
      </c>
      <c r="K167" s="1">
        <v>0.48</v>
      </c>
      <c r="L167" s="1">
        <v>0.45</v>
      </c>
      <c r="M167" s="1">
        <v>0.41</v>
      </c>
      <c r="N167" s="1">
        <v>0.37</v>
      </c>
    </row>
    <row r="168" spans="1:14" x14ac:dyDescent="0.3">
      <c r="A168" t="s">
        <v>126</v>
      </c>
      <c r="B168" t="s">
        <v>224</v>
      </c>
      <c r="C168" t="s">
        <v>25</v>
      </c>
      <c r="D168" s="1">
        <v>0.1</v>
      </c>
      <c r="E168" t="s">
        <v>29</v>
      </c>
      <c r="F168" s="1">
        <v>0.3</v>
      </c>
      <c r="G168" t="s">
        <v>30</v>
      </c>
      <c r="H168" s="1">
        <v>0.1</v>
      </c>
      <c r="I168" s="1"/>
      <c r="J168" s="1">
        <v>0.48</v>
      </c>
      <c r="K168" s="1">
        <v>0.48</v>
      </c>
      <c r="L168" s="1">
        <v>0.45</v>
      </c>
      <c r="M168" s="1">
        <v>0.41</v>
      </c>
      <c r="N168" s="1">
        <v>0.37</v>
      </c>
    </row>
    <row r="169" spans="1:14" x14ac:dyDescent="0.3">
      <c r="A169" t="s">
        <v>126</v>
      </c>
      <c r="B169" t="s">
        <v>224</v>
      </c>
      <c r="C169" t="s">
        <v>25</v>
      </c>
      <c r="D169" s="1">
        <v>0.1</v>
      </c>
      <c r="E169" t="s">
        <v>31</v>
      </c>
      <c r="F169" s="1">
        <v>0.2</v>
      </c>
      <c r="G169" t="s">
        <v>24</v>
      </c>
      <c r="H169" s="1">
        <v>0.95</v>
      </c>
      <c r="I169" s="1"/>
      <c r="J169" s="1">
        <v>0.48</v>
      </c>
      <c r="K169" s="1">
        <v>0.48</v>
      </c>
      <c r="L169" s="1">
        <v>0.45</v>
      </c>
      <c r="M169" s="1">
        <v>0.41</v>
      </c>
      <c r="N169" s="1">
        <v>0.37</v>
      </c>
    </row>
    <row r="170" spans="1:14" x14ac:dyDescent="0.3">
      <c r="A170" t="s">
        <v>126</v>
      </c>
      <c r="B170" t="s">
        <v>224</v>
      </c>
      <c r="C170" t="s">
        <v>135</v>
      </c>
      <c r="D170" s="1">
        <v>0.1</v>
      </c>
      <c r="E170" t="s">
        <v>192</v>
      </c>
      <c r="F170" s="1">
        <v>0.3</v>
      </c>
      <c r="G170" t="s">
        <v>18</v>
      </c>
      <c r="H170" s="1">
        <v>0.9</v>
      </c>
      <c r="I170" s="1">
        <f>SUMPRODUCT(H170:H173,F170:F173)*D170</f>
        <v>8.1000000000000016E-2</v>
      </c>
      <c r="J170" s="1">
        <v>0.68</v>
      </c>
      <c r="K170" s="1">
        <v>0.68</v>
      </c>
      <c r="L170" s="1">
        <v>0.64</v>
      </c>
      <c r="M170" s="1">
        <v>0.59</v>
      </c>
      <c r="N170" s="1">
        <v>0.53</v>
      </c>
    </row>
    <row r="171" spans="1:14" x14ac:dyDescent="0.3">
      <c r="A171" t="s">
        <v>126</v>
      </c>
      <c r="B171" t="s">
        <v>224</v>
      </c>
      <c r="C171" t="s">
        <v>135</v>
      </c>
      <c r="D171" s="1">
        <v>0.1</v>
      </c>
      <c r="E171" t="s">
        <v>193</v>
      </c>
      <c r="F171" s="1">
        <v>0.25</v>
      </c>
      <c r="G171" t="s">
        <v>40</v>
      </c>
      <c r="H171" s="1">
        <v>0.7</v>
      </c>
      <c r="I171" s="1"/>
      <c r="J171" s="1">
        <v>0.68</v>
      </c>
      <c r="K171" s="1">
        <v>0.68</v>
      </c>
      <c r="L171" s="1">
        <v>0.64</v>
      </c>
      <c r="M171" s="1">
        <v>0.59</v>
      </c>
      <c r="N171" s="1">
        <v>0.53</v>
      </c>
    </row>
    <row r="172" spans="1:14" x14ac:dyDescent="0.3">
      <c r="A172" t="s">
        <v>126</v>
      </c>
      <c r="B172" t="s">
        <v>224</v>
      </c>
      <c r="C172" t="s">
        <v>135</v>
      </c>
      <c r="D172" s="1">
        <v>0.1</v>
      </c>
      <c r="E172" t="s">
        <v>173</v>
      </c>
      <c r="F172" s="1">
        <v>0.25</v>
      </c>
      <c r="G172" t="s">
        <v>28</v>
      </c>
      <c r="H172" s="1">
        <v>0.7</v>
      </c>
      <c r="I172" s="1"/>
      <c r="J172" s="1">
        <v>0.68</v>
      </c>
      <c r="K172" s="1">
        <v>0.68</v>
      </c>
      <c r="L172" s="1">
        <v>0.64</v>
      </c>
      <c r="M172" s="1">
        <v>0.59</v>
      </c>
      <c r="N172" s="1">
        <v>0.53</v>
      </c>
    </row>
    <row r="173" spans="1:14" x14ac:dyDescent="0.3">
      <c r="A173" t="s">
        <v>126</v>
      </c>
      <c r="B173" t="s">
        <v>224</v>
      </c>
      <c r="C173" t="s">
        <v>135</v>
      </c>
      <c r="D173" s="1">
        <v>0.1</v>
      </c>
      <c r="E173" t="s">
        <v>42</v>
      </c>
      <c r="F173" s="1">
        <v>0.2</v>
      </c>
      <c r="G173" t="s">
        <v>24</v>
      </c>
      <c r="H173" s="1">
        <v>0.95</v>
      </c>
      <c r="I173" s="1"/>
      <c r="J173" s="1">
        <v>0.68</v>
      </c>
      <c r="K173" s="1">
        <v>0.68</v>
      </c>
      <c r="L173" s="1">
        <v>0.64</v>
      </c>
      <c r="M173" s="1">
        <v>0.59</v>
      </c>
      <c r="N173" s="1">
        <v>0.53</v>
      </c>
    </row>
    <row r="174" spans="1:14" x14ac:dyDescent="0.3">
      <c r="A174" t="s">
        <v>126</v>
      </c>
      <c r="B174" t="s">
        <v>224</v>
      </c>
      <c r="C174" t="s">
        <v>174</v>
      </c>
      <c r="D174" s="1">
        <v>0.15</v>
      </c>
      <c r="E174" t="s">
        <v>234</v>
      </c>
      <c r="F174" s="1">
        <v>0.25</v>
      </c>
      <c r="G174" t="s">
        <v>40</v>
      </c>
      <c r="H174" s="1">
        <v>0.7</v>
      </c>
      <c r="I174" s="1">
        <f>SUMPRODUCT(H174:H177,F174:F177)*D174</f>
        <v>8.8124999999999981E-2</v>
      </c>
      <c r="J174" s="1">
        <v>0.45</v>
      </c>
      <c r="K174" s="1">
        <v>0.45</v>
      </c>
      <c r="L174" s="1">
        <v>0.42</v>
      </c>
      <c r="M174" s="1">
        <v>0.38</v>
      </c>
      <c r="N174" s="1">
        <v>0.32</v>
      </c>
    </row>
    <row r="175" spans="1:14" x14ac:dyDescent="0.3">
      <c r="A175" t="s">
        <v>126</v>
      </c>
      <c r="B175" t="s">
        <v>224</v>
      </c>
      <c r="C175" t="s">
        <v>174</v>
      </c>
      <c r="D175" s="1">
        <v>0.15</v>
      </c>
      <c r="E175" t="s">
        <v>235</v>
      </c>
      <c r="F175" s="1">
        <v>0.25</v>
      </c>
      <c r="G175" t="s">
        <v>20</v>
      </c>
      <c r="H175" s="1">
        <v>0.6</v>
      </c>
      <c r="I175" s="1"/>
      <c r="J175" s="1">
        <v>0.45</v>
      </c>
      <c r="K175" s="1">
        <v>0.45</v>
      </c>
      <c r="L175" s="1">
        <v>0.42</v>
      </c>
      <c r="M175" s="1">
        <v>0.38</v>
      </c>
      <c r="N175" s="1">
        <v>0.32</v>
      </c>
    </row>
    <row r="176" spans="1:14" x14ac:dyDescent="0.3">
      <c r="A176" t="s">
        <v>126</v>
      </c>
      <c r="B176" t="s">
        <v>224</v>
      </c>
      <c r="C176" t="s">
        <v>174</v>
      </c>
      <c r="D176" s="1">
        <v>0.15</v>
      </c>
      <c r="E176" t="s">
        <v>236</v>
      </c>
      <c r="F176" s="1">
        <v>0.25</v>
      </c>
      <c r="G176" t="s">
        <v>30</v>
      </c>
      <c r="H176" s="1">
        <v>0.1</v>
      </c>
      <c r="I176" s="1"/>
      <c r="J176" s="1">
        <v>0.45</v>
      </c>
      <c r="K176" s="1">
        <v>0.45</v>
      </c>
      <c r="L176" s="1">
        <v>0.42</v>
      </c>
      <c r="M176" s="1">
        <v>0.38</v>
      </c>
      <c r="N176" s="1">
        <v>0.32</v>
      </c>
    </row>
    <row r="177" spans="1:14" x14ac:dyDescent="0.3">
      <c r="A177" t="s">
        <v>126</v>
      </c>
      <c r="B177" t="s">
        <v>224</v>
      </c>
      <c r="C177" t="s">
        <v>174</v>
      </c>
      <c r="D177" s="1">
        <v>0.15</v>
      </c>
      <c r="E177" t="s">
        <v>139</v>
      </c>
      <c r="F177" s="1">
        <v>0.25</v>
      </c>
      <c r="G177" t="s">
        <v>24</v>
      </c>
      <c r="H177" s="1">
        <v>0.95</v>
      </c>
      <c r="I177" s="1"/>
      <c r="J177" s="1">
        <v>0.45</v>
      </c>
      <c r="K177" s="1">
        <v>0.45</v>
      </c>
      <c r="L177" s="1">
        <v>0.42</v>
      </c>
      <c r="M177" s="1">
        <v>0.38</v>
      </c>
      <c r="N177" s="1">
        <v>0.32</v>
      </c>
    </row>
    <row r="178" spans="1:14" x14ac:dyDescent="0.3">
      <c r="D178" s="1"/>
      <c r="F178" s="1"/>
      <c r="H178" s="1"/>
      <c r="I178" s="2">
        <f>SUM(I154:I177)</f>
        <v>0.67062500000000003</v>
      </c>
      <c r="J178" s="2">
        <f>+J158*$D158+J162*$D162+J166*$D166+J170*$D170+J174*$D174+J154*$D154</f>
        <v>0.53549999999999998</v>
      </c>
      <c r="K178" s="2">
        <f t="shared" ref="K178:N178" si="6">+K158*$D158+K162*$D162+K166*$D166+K170*$D170+K174*$D174+K154*$D154</f>
        <v>0.53549999999999998</v>
      </c>
      <c r="L178" s="2">
        <f t="shared" si="6"/>
        <v>0.49850000000000005</v>
      </c>
      <c r="M178" s="2">
        <f t="shared" si="6"/>
        <v>0.45350000000000001</v>
      </c>
      <c r="N178" s="2">
        <f t="shared" si="6"/>
        <v>0.39800000000000002</v>
      </c>
    </row>
    <row r="179" spans="1:14" x14ac:dyDescent="0.3">
      <c r="D179" s="1"/>
      <c r="F179" s="1"/>
      <c r="H179" s="1"/>
      <c r="I179" s="1"/>
      <c r="J179" s="1"/>
      <c r="K179" s="1"/>
      <c r="L179" s="1"/>
      <c r="M179" s="1"/>
      <c r="N179" s="1"/>
    </row>
    <row r="180" spans="1:14" x14ac:dyDescent="0.3">
      <c r="A180" t="s">
        <v>126</v>
      </c>
      <c r="B180" t="s">
        <v>237</v>
      </c>
      <c r="C180" t="s">
        <v>141</v>
      </c>
      <c r="D180" s="1">
        <v>0.2</v>
      </c>
      <c r="E180" t="s">
        <v>238</v>
      </c>
      <c r="F180" s="1">
        <v>0.25</v>
      </c>
      <c r="G180" t="s">
        <v>28</v>
      </c>
      <c r="H180" s="1">
        <v>0.7</v>
      </c>
      <c r="I180" s="1">
        <f>SUMPRODUCT(H180:H183,F180:F183)*D180</f>
        <v>0.10400000000000001</v>
      </c>
      <c r="J180" s="1">
        <v>0.4</v>
      </c>
      <c r="K180" s="1">
        <v>0.4</v>
      </c>
      <c r="L180" s="1">
        <v>0.37</v>
      </c>
      <c r="M180" s="1">
        <v>0.34</v>
      </c>
      <c r="N180" s="1">
        <v>0.3</v>
      </c>
    </row>
    <row r="181" spans="1:14" x14ac:dyDescent="0.3">
      <c r="A181" t="s">
        <v>126</v>
      </c>
      <c r="B181" t="s">
        <v>237</v>
      </c>
      <c r="C181" t="s">
        <v>141</v>
      </c>
      <c r="D181" s="1">
        <v>0.2</v>
      </c>
      <c r="E181" t="s">
        <v>239</v>
      </c>
      <c r="F181" s="1">
        <v>0.35</v>
      </c>
      <c r="G181" t="s">
        <v>30</v>
      </c>
      <c r="H181" s="1">
        <v>0.1</v>
      </c>
      <c r="I181" s="1"/>
      <c r="J181" s="1">
        <v>0.4</v>
      </c>
      <c r="K181" s="1">
        <v>0.4</v>
      </c>
      <c r="L181" s="1">
        <v>0.37</v>
      </c>
      <c r="M181" s="1">
        <v>0.34</v>
      </c>
      <c r="N181" s="1">
        <v>0.3</v>
      </c>
    </row>
    <row r="182" spans="1:14" x14ac:dyDescent="0.3">
      <c r="A182" t="s">
        <v>126</v>
      </c>
      <c r="B182" t="s">
        <v>237</v>
      </c>
      <c r="C182" t="s">
        <v>141</v>
      </c>
      <c r="D182" s="1">
        <v>0.2</v>
      </c>
      <c r="E182" t="s">
        <v>144</v>
      </c>
      <c r="F182" s="1">
        <v>0.2</v>
      </c>
      <c r="G182" t="s">
        <v>20</v>
      </c>
      <c r="H182" s="1">
        <v>0.6</v>
      </c>
      <c r="I182" s="1"/>
      <c r="J182" s="1">
        <v>0.4</v>
      </c>
      <c r="K182" s="1">
        <v>0.4</v>
      </c>
      <c r="L182" s="1">
        <v>0.37</v>
      </c>
      <c r="M182" s="1">
        <v>0.34</v>
      </c>
      <c r="N182" s="1">
        <v>0.3</v>
      </c>
    </row>
    <row r="183" spans="1:14" x14ac:dyDescent="0.3">
      <c r="A183" t="s">
        <v>126</v>
      </c>
      <c r="B183" t="s">
        <v>237</v>
      </c>
      <c r="C183" t="s">
        <v>141</v>
      </c>
      <c r="D183" s="1">
        <v>0.2</v>
      </c>
      <c r="E183" t="s">
        <v>108</v>
      </c>
      <c r="F183" s="1">
        <v>0.2</v>
      </c>
      <c r="G183" t="s">
        <v>24</v>
      </c>
      <c r="H183" s="1">
        <v>0.95</v>
      </c>
      <c r="I183" s="1"/>
      <c r="J183" s="1">
        <v>0.4</v>
      </c>
      <c r="K183" s="1">
        <v>0.4</v>
      </c>
      <c r="L183" s="1">
        <v>0.37</v>
      </c>
      <c r="M183" s="1">
        <v>0.34</v>
      </c>
      <c r="N183" s="1">
        <v>0.3</v>
      </c>
    </row>
    <row r="184" spans="1:14" x14ac:dyDescent="0.3">
      <c r="A184" t="s">
        <v>126</v>
      </c>
      <c r="B184" t="s">
        <v>237</v>
      </c>
      <c r="C184" t="s">
        <v>240</v>
      </c>
      <c r="D184" s="1">
        <v>0.15</v>
      </c>
      <c r="E184" t="s">
        <v>72</v>
      </c>
      <c r="F184" s="1">
        <v>0.3</v>
      </c>
      <c r="G184" t="s">
        <v>73</v>
      </c>
      <c r="H184" s="1">
        <v>0.7</v>
      </c>
      <c r="I184" s="1">
        <f>SUMPRODUCT(H184:H187,F184:F187)*D184</f>
        <v>6.8250000000000005E-2</v>
      </c>
      <c r="J184" s="1">
        <v>0.36</v>
      </c>
      <c r="K184" s="1">
        <v>0.36</v>
      </c>
      <c r="L184" s="1">
        <v>0.33</v>
      </c>
      <c r="M184" s="1">
        <v>0.3</v>
      </c>
      <c r="N184" s="1">
        <v>0.27</v>
      </c>
    </row>
    <row r="185" spans="1:14" x14ac:dyDescent="0.3">
      <c r="A185" t="s">
        <v>126</v>
      </c>
      <c r="B185" t="s">
        <v>237</v>
      </c>
      <c r="C185" t="s">
        <v>240</v>
      </c>
      <c r="D185" s="1">
        <v>0.15</v>
      </c>
      <c r="E185" t="s">
        <v>241</v>
      </c>
      <c r="F185" s="1">
        <v>0.25</v>
      </c>
      <c r="G185" t="s">
        <v>20</v>
      </c>
      <c r="H185" s="1">
        <v>0.6</v>
      </c>
      <c r="I185" s="1"/>
      <c r="J185" s="1">
        <v>0.36</v>
      </c>
      <c r="K185" s="1">
        <v>0.36</v>
      </c>
      <c r="L185" s="1">
        <v>0.33</v>
      </c>
      <c r="M185" s="1">
        <v>0.3</v>
      </c>
      <c r="N185" s="1">
        <v>0.27</v>
      </c>
    </row>
    <row r="186" spans="1:14" x14ac:dyDescent="0.3">
      <c r="A186" t="s">
        <v>126</v>
      </c>
      <c r="B186" t="s">
        <v>237</v>
      </c>
      <c r="C186" t="s">
        <v>240</v>
      </c>
      <c r="D186" s="1">
        <v>0.15</v>
      </c>
      <c r="E186" t="s">
        <v>147</v>
      </c>
      <c r="F186" s="1">
        <v>0.25</v>
      </c>
      <c r="G186" t="s">
        <v>56</v>
      </c>
      <c r="H186" s="1">
        <v>0.3</v>
      </c>
      <c r="I186" s="1"/>
      <c r="J186" s="1">
        <v>0.36</v>
      </c>
      <c r="K186" s="1">
        <v>0.36</v>
      </c>
      <c r="L186" s="1">
        <v>0.33</v>
      </c>
      <c r="M186" s="1">
        <v>0.3</v>
      </c>
      <c r="N186" s="1">
        <v>0.27</v>
      </c>
    </row>
    <row r="187" spans="1:14" x14ac:dyDescent="0.3">
      <c r="A187" t="s">
        <v>126</v>
      </c>
      <c r="B187" t="s">
        <v>237</v>
      </c>
      <c r="C187" t="s">
        <v>240</v>
      </c>
      <c r="D187" s="1">
        <v>0.15</v>
      </c>
      <c r="E187" t="s">
        <v>76</v>
      </c>
      <c r="F187" s="1">
        <v>0.2</v>
      </c>
      <c r="G187" t="s">
        <v>30</v>
      </c>
      <c r="H187" s="1">
        <v>0.1</v>
      </c>
      <c r="I187" s="1"/>
      <c r="J187" s="1">
        <v>0.36</v>
      </c>
      <c r="K187" s="1">
        <v>0.36</v>
      </c>
      <c r="L187" s="1">
        <v>0.33</v>
      </c>
      <c r="M187" s="1">
        <v>0.3</v>
      </c>
      <c r="N187" s="1">
        <v>0.27</v>
      </c>
    </row>
    <row r="188" spans="1:14" x14ac:dyDescent="0.3">
      <c r="A188" t="s">
        <v>126</v>
      </c>
      <c r="B188" t="s">
        <v>237</v>
      </c>
      <c r="C188" t="s">
        <v>16</v>
      </c>
      <c r="D188" s="1">
        <v>0.2</v>
      </c>
      <c r="E188" t="s">
        <v>17</v>
      </c>
      <c r="F188" s="1">
        <v>0.3</v>
      </c>
      <c r="G188" t="s">
        <v>18</v>
      </c>
      <c r="H188" s="1">
        <v>0.9</v>
      </c>
      <c r="I188" s="1">
        <f>SUMPRODUCT(H188:H191,F188:F191)*D188</f>
        <v>0.16550000000000004</v>
      </c>
      <c r="J188" s="1">
        <v>0.68</v>
      </c>
      <c r="K188" s="1">
        <v>0.68</v>
      </c>
      <c r="L188" s="1">
        <v>0.63</v>
      </c>
      <c r="M188" s="1">
        <v>0.57999999999999996</v>
      </c>
      <c r="N188" s="1">
        <v>0.52</v>
      </c>
    </row>
    <row r="189" spans="1:14" x14ac:dyDescent="0.3">
      <c r="A189" t="s">
        <v>126</v>
      </c>
      <c r="B189" t="s">
        <v>237</v>
      </c>
      <c r="C189" t="s">
        <v>16</v>
      </c>
      <c r="D189" s="1">
        <v>0.2</v>
      </c>
      <c r="E189" t="s">
        <v>19</v>
      </c>
      <c r="F189" s="1">
        <v>0.25</v>
      </c>
      <c r="G189" t="s">
        <v>20</v>
      </c>
      <c r="H189" s="1">
        <v>0.6</v>
      </c>
      <c r="I189" s="1"/>
      <c r="J189" s="1">
        <v>0.68</v>
      </c>
      <c r="K189" s="1">
        <v>0.68</v>
      </c>
      <c r="L189" s="1">
        <v>0.63</v>
      </c>
      <c r="M189" s="1">
        <v>0.57999999999999996</v>
      </c>
      <c r="N189" s="1">
        <v>0.52</v>
      </c>
    </row>
    <row r="190" spans="1:14" x14ac:dyDescent="0.3">
      <c r="A190" t="s">
        <v>126</v>
      </c>
      <c r="B190" t="s">
        <v>237</v>
      </c>
      <c r="C190" t="s">
        <v>16</v>
      </c>
      <c r="D190" s="1">
        <v>0.2</v>
      </c>
      <c r="E190" t="s">
        <v>21</v>
      </c>
      <c r="F190" s="1">
        <v>0.2</v>
      </c>
      <c r="G190" t="s">
        <v>22</v>
      </c>
      <c r="H190" s="1">
        <v>0.85</v>
      </c>
      <c r="I190" s="1"/>
      <c r="J190" s="1">
        <v>0.68</v>
      </c>
      <c r="K190" s="1">
        <v>0.68</v>
      </c>
      <c r="L190" s="1">
        <v>0.63</v>
      </c>
      <c r="M190" s="1">
        <v>0.57999999999999996</v>
      </c>
      <c r="N190" s="1">
        <v>0.52</v>
      </c>
    </row>
    <row r="191" spans="1:14" x14ac:dyDescent="0.3">
      <c r="A191" t="s">
        <v>126</v>
      </c>
      <c r="B191" t="s">
        <v>237</v>
      </c>
      <c r="C191" t="s">
        <v>16</v>
      </c>
      <c r="D191" s="1">
        <v>0.2</v>
      </c>
      <c r="E191" t="s">
        <v>23</v>
      </c>
      <c r="F191" s="1">
        <v>0.25</v>
      </c>
      <c r="G191" t="s">
        <v>24</v>
      </c>
      <c r="H191" s="1">
        <v>0.95</v>
      </c>
      <c r="I191" s="1"/>
      <c r="J191" s="1">
        <v>0.68</v>
      </c>
      <c r="K191" s="1">
        <v>0.68</v>
      </c>
      <c r="L191" s="1">
        <v>0.63</v>
      </c>
      <c r="M191" s="1">
        <v>0.57999999999999996</v>
      </c>
      <c r="N191" s="1">
        <v>0.52</v>
      </c>
    </row>
    <row r="192" spans="1:14" x14ac:dyDescent="0.3">
      <c r="A192" t="s">
        <v>126</v>
      </c>
      <c r="B192" t="s">
        <v>237</v>
      </c>
      <c r="C192" t="s">
        <v>25</v>
      </c>
      <c r="D192" s="1">
        <v>0.1</v>
      </c>
      <c r="E192" t="s">
        <v>26</v>
      </c>
      <c r="F192" s="1">
        <v>0.25</v>
      </c>
      <c r="G192" t="s">
        <v>18</v>
      </c>
      <c r="H192" s="1">
        <v>0.9</v>
      </c>
      <c r="I192" s="1">
        <f>SUMPRODUCT(H192:H195,F192:F195)*D192</f>
        <v>6.2000000000000013E-2</v>
      </c>
      <c r="J192" s="1">
        <v>0.48</v>
      </c>
      <c r="K192" s="1">
        <v>0.48</v>
      </c>
      <c r="L192" s="1">
        <v>0.45</v>
      </c>
      <c r="M192" s="1">
        <v>0.41</v>
      </c>
      <c r="N192" s="1">
        <v>0.37</v>
      </c>
    </row>
    <row r="193" spans="1:14" x14ac:dyDescent="0.3">
      <c r="A193" t="s">
        <v>126</v>
      </c>
      <c r="B193" t="s">
        <v>237</v>
      </c>
      <c r="C193" t="s">
        <v>25</v>
      </c>
      <c r="D193" s="1">
        <v>0.1</v>
      </c>
      <c r="E193" t="s">
        <v>27</v>
      </c>
      <c r="F193" s="1">
        <v>0.25</v>
      </c>
      <c r="G193" t="s">
        <v>28</v>
      </c>
      <c r="H193" s="1">
        <v>0.7</v>
      </c>
      <c r="I193" s="1"/>
      <c r="J193" s="1">
        <v>0.48</v>
      </c>
      <c r="K193" s="1">
        <v>0.48</v>
      </c>
      <c r="L193" s="1">
        <v>0.45</v>
      </c>
      <c r="M193" s="1">
        <v>0.41</v>
      </c>
      <c r="N193" s="1">
        <v>0.37</v>
      </c>
    </row>
    <row r="194" spans="1:14" x14ac:dyDescent="0.3">
      <c r="A194" t="s">
        <v>126</v>
      </c>
      <c r="B194" t="s">
        <v>237</v>
      </c>
      <c r="C194" t="s">
        <v>25</v>
      </c>
      <c r="D194" s="1">
        <v>0.1</v>
      </c>
      <c r="E194" t="s">
        <v>29</v>
      </c>
      <c r="F194" s="1">
        <v>0.3</v>
      </c>
      <c r="G194" t="s">
        <v>30</v>
      </c>
      <c r="H194" s="1">
        <v>0.1</v>
      </c>
      <c r="I194" s="1"/>
      <c r="J194" s="1">
        <v>0.48</v>
      </c>
      <c r="K194" s="1">
        <v>0.48</v>
      </c>
      <c r="L194" s="1">
        <v>0.45</v>
      </c>
      <c r="M194" s="1">
        <v>0.41</v>
      </c>
      <c r="N194" s="1">
        <v>0.37</v>
      </c>
    </row>
    <row r="195" spans="1:14" x14ac:dyDescent="0.3">
      <c r="A195" t="s">
        <v>126</v>
      </c>
      <c r="B195" t="s">
        <v>237</v>
      </c>
      <c r="C195" t="s">
        <v>25</v>
      </c>
      <c r="D195" s="1">
        <v>0.1</v>
      </c>
      <c r="E195" t="s">
        <v>31</v>
      </c>
      <c r="F195" s="1">
        <v>0.2</v>
      </c>
      <c r="G195" t="s">
        <v>24</v>
      </c>
      <c r="H195" s="1">
        <v>0.95</v>
      </c>
      <c r="I195" s="1"/>
      <c r="J195" s="1">
        <v>0.48</v>
      </c>
      <c r="K195" s="1">
        <v>0.48</v>
      </c>
      <c r="L195" s="1">
        <v>0.45</v>
      </c>
      <c r="M195" s="1">
        <v>0.41</v>
      </c>
      <c r="N195" s="1">
        <v>0.37</v>
      </c>
    </row>
    <row r="196" spans="1:14" x14ac:dyDescent="0.3">
      <c r="A196" t="s">
        <v>126</v>
      </c>
      <c r="B196" t="s">
        <v>237</v>
      </c>
      <c r="C196" t="s">
        <v>37</v>
      </c>
      <c r="D196" s="1">
        <v>0.15</v>
      </c>
      <c r="E196" t="s">
        <v>38</v>
      </c>
      <c r="F196" s="1">
        <v>0.3</v>
      </c>
      <c r="G196" t="s">
        <v>18</v>
      </c>
      <c r="H196" s="1">
        <v>0.9</v>
      </c>
      <c r="I196" s="1">
        <f>SUMPRODUCT(H196:H199,F196:F199)*D196</f>
        <v>0.1215</v>
      </c>
      <c r="J196" s="1">
        <v>0.68</v>
      </c>
      <c r="K196" s="1">
        <v>0.68</v>
      </c>
      <c r="L196" s="1">
        <v>0.64</v>
      </c>
      <c r="M196" s="1">
        <v>0.59</v>
      </c>
      <c r="N196" s="1">
        <v>0.54</v>
      </c>
    </row>
    <row r="197" spans="1:14" x14ac:dyDescent="0.3">
      <c r="A197" t="s">
        <v>126</v>
      </c>
      <c r="B197" t="s">
        <v>237</v>
      </c>
      <c r="C197" t="s">
        <v>37</v>
      </c>
      <c r="D197" s="1">
        <v>0.15</v>
      </c>
      <c r="E197" t="s">
        <v>39</v>
      </c>
      <c r="F197" s="1">
        <v>0.25</v>
      </c>
      <c r="G197" t="s">
        <v>40</v>
      </c>
      <c r="H197" s="1">
        <v>0.7</v>
      </c>
      <c r="I197" s="1"/>
      <c r="J197" s="1">
        <v>0.68</v>
      </c>
      <c r="K197" s="1">
        <v>0.68</v>
      </c>
      <c r="L197" s="1">
        <v>0.64</v>
      </c>
      <c r="M197" s="1">
        <v>0.59</v>
      </c>
      <c r="N197" s="1">
        <v>0.54</v>
      </c>
    </row>
    <row r="198" spans="1:14" x14ac:dyDescent="0.3">
      <c r="A198" t="s">
        <v>126</v>
      </c>
      <c r="B198" t="s">
        <v>237</v>
      </c>
      <c r="C198" t="s">
        <v>37</v>
      </c>
      <c r="D198" s="1">
        <v>0.15</v>
      </c>
      <c r="E198" t="s">
        <v>41</v>
      </c>
      <c r="F198" s="1">
        <v>0.25</v>
      </c>
      <c r="G198" t="s">
        <v>28</v>
      </c>
      <c r="H198" s="1">
        <v>0.7</v>
      </c>
      <c r="I198" s="1"/>
      <c r="J198" s="1">
        <v>0.68</v>
      </c>
      <c r="K198" s="1">
        <v>0.68</v>
      </c>
      <c r="L198" s="1">
        <v>0.64</v>
      </c>
      <c r="M198" s="1">
        <v>0.59</v>
      </c>
      <c r="N198" s="1">
        <v>0.54</v>
      </c>
    </row>
    <row r="199" spans="1:14" x14ac:dyDescent="0.3">
      <c r="A199" t="s">
        <v>126</v>
      </c>
      <c r="B199" t="s">
        <v>237</v>
      </c>
      <c r="C199" t="s">
        <v>37</v>
      </c>
      <c r="D199" s="1">
        <v>0.15</v>
      </c>
      <c r="E199" t="s">
        <v>42</v>
      </c>
      <c r="F199" s="1">
        <v>0.2</v>
      </c>
      <c r="G199" t="s">
        <v>24</v>
      </c>
      <c r="H199" s="1">
        <v>0.95</v>
      </c>
      <c r="I199" s="1"/>
      <c r="J199" s="1">
        <v>0.68</v>
      </c>
      <c r="K199" s="1">
        <v>0.68</v>
      </c>
      <c r="L199" s="1">
        <v>0.64</v>
      </c>
      <c r="M199" s="1">
        <v>0.59</v>
      </c>
      <c r="N199" s="1">
        <v>0.54</v>
      </c>
    </row>
    <row r="200" spans="1:14" x14ac:dyDescent="0.3">
      <c r="A200" t="s">
        <v>126</v>
      </c>
      <c r="B200" t="s">
        <v>237</v>
      </c>
      <c r="C200" t="s">
        <v>151</v>
      </c>
      <c r="D200" s="1">
        <v>0.2</v>
      </c>
      <c r="E200" t="s">
        <v>94</v>
      </c>
      <c r="F200" s="1">
        <v>0.25</v>
      </c>
      <c r="G200" t="s">
        <v>40</v>
      </c>
      <c r="H200" s="1">
        <v>0.7</v>
      </c>
      <c r="I200" s="1">
        <f>SUMPRODUCT(H200:H203,F200:F203)*D200</f>
        <v>0.11749999999999999</v>
      </c>
      <c r="J200" s="1">
        <v>0.45</v>
      </c>
      <c r="K200" s="1">
        <v>0.45</v>
      </c>
      <c r="L200" s="1">
        <v>0.42</v>
      </c>
      <c r="M200" s="1">
        <v>0.38</v>
      </c>
      <c r="N200" s="1">
        <v>0.34</v>
      </c>
    </row>
    <row r="201" spans="1:14" x14ac:dyDescent="0.3">
      <c r="A201" t="s">
        <v>126</v>
      </c>
      <c r="B201" t="s">
        <v>237</v>
      </c>
      <c r="C201" t="s">
        <v>151</v>
      </c>
      <c r="D201" s="1">
        <v>0.2</v>
      </c>
      <c r="E201" t="s">
        <v>50</v>
      </c>
      <c r="F201" s="1">
        <v>0.25</v>
      </c>
      <c r="G201" t="s">
        <v>20</v>
      </c>
      <c r="H201" s="1">
        <v>0.6</v>
      </c>
      <c r="I201" s="1"/>
      <c r="J201" s="1">
        <v>0.45</v>
      </c>
      <c r="K201" s="1">
        <v>0.45</v>
      </c>
      <c r="L201" s="1">
        <v>0.42</v>
      </c>
      <c r="M201" s="1">
        <v>0.38</v>
      </c>
      <c r="N201" s="1">
        <v>0.34</v>
      </c>
    </row>
    <row r="202" spans="1:14" x14ac:dyDescent="0.3">
      <c r="A202" t="s">
        <v>126</v>
      </c>
      <c r="B202" t="s">
        <v>237</v>
      </c>
      <c r="C202" t="s">
        <v>151</v>
      </c>
      <c r="D202" s="1">
        <v>0.2</v>
      </c>
      <c r="E202" t="s">
        <v>210</v>
      </c>
      <c r="F202" s="1">
        <v>0.25</v>
      </c>
      <c r="G202" t="s">
        <v>30</v>
      </c>
      <c r="H202" s="1">
        <v>0.1</v>
      </c>
      <c r="I202" s="1"/>
      <c r="J202" s="1">
        <v>0.45</v>
      </c>
      <c r="K202" s="1">
        <v>0.45</v>
      </c>
      <c r="L202" s="1">
        <v>0.42</v>
      </c>
      <c r="M202" s="1">
        <v>0.38</v>
      </c>
      <c r="N202" s="1">
        <v>0.34</v>
      </c>
    </row>
    <row r="203" spans="1:14" x14ac:dyDescent="0.3">
      <c r="A203" t="s">
        <v>126</v>
      </c>
      <c r="B203" t="s">
        <v>237</v>
      </c>
      <c r="C203" t="s">
        <v>151</v>
      </c>
      <c r="D203" s="1">
        <v>0.2</v>
      </c>
      <c r="E203" t="s">
        <v>53</v>
      </c>
      <c r="F203" s="1">
        <v>0.25</v>
      </c>
      <c r="G203" t="s">
        <v>24</v>
      </c>
      <c r="H203" s="1">
        <v>0.95</v>
      </c>
      <c r="I203" s="1"/>
      <c r="J203" s="1">
        <v>0.45</v>
      </c>
      <c r="K203" s="1">
        <v>0.45</v>
      </c>
      <c r="L203" s="1">
        <v>0.42</v>
      </c>
      <c r="M203" s="1">
        <v>0.38</v>
      </c>
      <c r="N203" s="1">
        <v>0.34</v>
      </c>
    </row>
    <row r="204" spans="1:14" x14ac:dyDescent="0.3">
      <c r="D204" s="1"/>
      <c r="F204" s="1"/>
      <c r="H204" s="1"/>
      <c r="I204" s="2">
        <f>SUM(I180:I203)</f>
        <v>0.63874999999999993</v>
      </c>
      <c r="J204" s="2">
        <f>+J184*$D184+J188*$D188+J192*$D192+J196*$D196+J200*$D200+J180*$D180</f>
        <v>0.51</v>
      </c>
      <c r="K204" s="2">
        <f t="shared" ref="K204:N204" si="7">+K184*$D184+K188*$D188+K192*$D192+K196*$D196+K200*$D200+K180*$D180</f>
        <v>0.51</v>
      </c>
      <c r="L204" s="2">
        <f t="shared" si="7"/>
        <v>0.47450000000000003</v>
      </c>
      <c r="M204" s="2">
        <f t="shared" si="7"/>
        <v>0.4345</v>
      </c>
      <c r="N204" s="2">
        <f t="shared" si="7"/>
        <v>0.39050000000000001</v>
      </c>
    </row>
    <row r="205" spans="1:14" x14ac:dyDescent="0.3">
      <c r="D205" s="1"/>
      <c r="F205" s="1"/>
      <c r="H205" s="1"/>
      <c r="I205" s="1"/>
      <c r="J205" s="1"/>
      <c r="K205" s="1"/>
      <c r="L205" s="1"/>
      <c r="M205" s="1"/>
      <c r="N205" s="1"/>
    </row>
    <row r="206" spans="1:14" x14ac:dyDescent="0.3">
      <c r="D206" s="1"/>
      <c r="F206" s="1"/>
      <c r="H206" s="1"/>
      <c r="I206" s="1"/>
      <c r="J206" s="1"/>
      <c r="K206" s="1"/>
      <c r="L206" s="1"/>
      <c r="M206" s="1"/>
      <c r="N206" s="1"/>
    </row>
    <row r="207" spans="1:14" x14ac:dyDescent="0.3">
      <c r="D207" s="1"/>
      <c r="F207" s="1"/>
      <c r="H207" s="1"/>
      <c r="I207" s="1"/>
      <c r="J207" s="1"/>
      <c r="K207" s="1"/>
      <c r="L207" s="1"/>
      <c r="M207" s="1"/>
      <c r="N207" s="1"/>
    </row>
    <row r="208" spans="1:14" x14ac:dyDescent="0.3">
      <c r="D208" s="1"/>
      <c r="F208" s="1"/>
      <c r="H208" s="1"/>
      <c r="I208" s="1"/>
      <c r="J208" s="1"/>
      <c r="K208" s="1"/>
      <c r="L208" s="1"/>
      <c r="M208" s="1"/>
      <c r="N208" s="1"/>
    </row>
    <row r="209" spans="4:14" x14ac:dyDescent="0.3">
      <c r="D209" s="1"/>
      <c r="F209" s="1"/>
      <c r="H209" s="1"/>
      <c r="I209" s="1"/>
      <c r="J209" s="1"/>
      <c r="K209" s="1"/>
      <c r="L209" s="1"/>
      <c r="M209" s="1"/>
      <c r="N209" s="1"/>
    </row>
    <row r="210" spans="4:14" x14ac:dyDescent="0.3">
      <c r="D210" s="1"/>
      <c r="F210" s="1"/>
      <c r="H210" s="1"/>
      <c r="I210" s="1"/>
      <c r="J210" s="1"/>
      <c r="K210" s="1"/>
      <c r="L210" s="1"/>
      <c r="M210" s="1"/>
      <c r="N210" s="1"/>
    </row>
    <row r="211" spans="4:14" x14ac:dyDescent="0.3">
      <c r="D211" s="1"/>
      <c r="F211" s="1"/>
      <c r="H211" s="1"/>
      <c r="I211" s="1"/>
      <c r="J211" s="1"/>
      <c r="K211" s="1"/>
      <c r="L211" s="1"/>
      <c r="M211" s="1"/>
      <c r="N211" s="1"/>
    </row>
    <row r="212" spans="4:14" x14ac:dyDescent="0.3">
      <c r="D212" s="1"/>
      <c r="F212" s="1"/>
      <c r="H212" s="1"/>
      <c r="I212" s="1"/>
      <c r="J212" s="1"/>
      <c r="K212" s="1"/>
      <c r="L212" s="1"/>
      <c r="M212" s="1"/>
      <c r="N212" s="1"/>
    </row>
    <row r="213" spans="4:14" x14ac:dyDescent="0.3">
      <c r="D213" s="1"/>
      <c r="F213" s="1"/>
      <c r="H213" s="1"/>
      <c r="I213" s="1"/>
      <c r="J213" s="1"/>
      <c r="K213" s="1"/>
      <c r="L213" s="1"/>
      <c r="M213" s="1"/>
      <c r="N213" s="1"/>
    </row>
    <row r="214" spans="4:14" x14ac:dyDescent="0.3">
      <c r="D214" s="1"/>
      <c r="F214" s="1"/>
      <c r="H214" s="1"/>
      <c r="I214" s="1"/>
      <c r="J214" s="1"/>
      <c r="K214" s="1"/>
      <c r="L214" s="1"/>
      <c r="M214" s="1"/>
      <c r="N214" s="1"/>
    </row>
    <row r="215" spans="4:14" x14ac:dyDescent="0.3">
      <c r="D215" s="1"/>
      <c r="F215" s="1"/>
      <c r="H215" s="1"/>
      <c r="I215" s="1"/>
      <c r="J215" s="1"/>
      <c r="K215" s="1"/>
      <c r="L215" s="1"/>
      <c r="M215" s="1"/>
      <c r="N2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8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242</v>
      </c>
      <c r="B2" t="s">
        <v>243</v>
      </c>
      <c r="C2" t="s">
        <v>141</v>
      </c>
      <c r="D2" s="1">
        <v>0.3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0.156</v>
      </c>
      <c r="J2" s="1">
        <v>0.4</v>
      </c>
      <c r="K2" s="1">
        <v>0.4</v>
      </c>
      <c r="L2" s="1">
        <v>0.37</v>
      </c>
      <c r="M2" s="1">
        <v>0.32</v>
      </c>
      <c r="N2" s="1">
        <v>0.24</v>
      </c>
    </row>
    <row r="3" spans="1:14" x14ac:dyDescent="0.3">
      <c r="A3" t="s">
        <v>242</v>
      </c>
      <c r="B3" t="s">
        <v>243</v>
      </c>
      <c r="C3" t="s">
        <v>141</v>
      </c>
      <c r="D3" s="1">
        <v>0.3</v>
      </c>
      <c r="E3" t="s">
        <v>245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0.32</v>
      </c>
      <c r="N3" s="1">
        <v>0.24</v>
      </c>
    </row>
    <row r="4" spans="1:14" x14ac:dyDescent="0.3">
      <c r="A4" t="s">
        <v>242</v>
      </c>
      <c r="B4" t="s">
        <v>243</v>
      </c>
      <c r="C4" t="s">
        <v>141</v>
      </c>
      <c r="D4" s="1">
        <v>0.3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0.32</v>
      </c>
      <c r="N4" s="1">
        <v>0.24</v>
      </c>
    </row>
    <row r="5" spans="1:14" x14ac:dyDescent="0.3">
      <c r="A5" t="s">
        <v>242</v>
      </c>
      <c r="B5" t="s">
        <v>243</v>
      </c>
      <c r="C5" t="s">
        <v>141</v>
      </c>
      <c r="D5" s="1">
        <v>0.3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0.32</v>
      </c>
      <c r="N5" s="1">
        <v>0.24</v>
      </c>
    </row>
    <row r="6" spans="1:14" x14ac:dyDescent="0.3">
      <c r="A6" t="s">
        <v>242</v>
      </c>
      <c r="B6" t="s">
        <v>243</v>
      </c>
      <c r="C6" t="s">
        <v>82</v>
      </c>
      <c r="D6" s="1">
        <v>0.2</v>
      </c>
      <c r="E6" t="s">
        <v>72</v>
      </c>
      <c r="F6" s="1">
        <v>0.3</v>
      </c>
      <c r="G6" t="s">
        <v>73</v>
      </c>
      <c r="H6" s="1">
        <v>0.7</v>
      </c>
      <c r="I6" s="1">
        <f>SUMPRODUCT(H6:H9,F6:F9)*D6</f>
        <v>9.1000000000000011E-2</v>
      </c>
      <c r="J6" s="1">
        <v>0.34</v>
      </c>
      <c r="K6" s="1">
        <v>0.34</v>
      </c>
      <c r="L6" s="1">
        <v>0.31</v>
      </c>
      <c r="M6" s="1">
        <v>0.27</v>
      </c>
      <c r="N6" s="1">
        <v>0.18</v>
      </c>
    </row>
    <row r="7" spans="1:14" x14ac:dyDescent="0.3">
      <c r="A7" t="s">
        <v>242</v>
      </c>
      <c r="B7" t="s">
        <v>243</v>
      </c>
      <c r="C7" t="s">
        <v>82</v>
      </c>
      <c r="D7" s="1">
        <v>0.2</v>
      </c>
      <c r="E7" t="s">
        <v>246</v>
      </c>
      <c r="F7" s="1">
        <v>0.25</v>
      </c>
      <c r="G7" t="s">
        <v>20</v>
      </c>
      <c r="H7" s="1">
        <v>0.6</v>
      </c>
      <c r="I7" s="1"/>
      <c r="J7" s="1">
        <v>0.34</v>
      </c>
      <c r="K7" s="1">
        <v>0.34</v>
      </c>
      <c r="L7" s="1">
        <v>0.31</v>
      </c>
      <c r="M7" s="1">
        <v>0.27</v>
      </c>
      <c r="N7" s="1">
        <v>0.18</v>
      </c>
    </row>
    <row r="8" spans="1:14" x14ac:dyDescent="0.3">
      <c r="A8" t="s">
        <v>242</v>
      </c>
      <c r="B8" t="s">
        <v>243</v>
      </c>
      <c r="C8" t="s">
        <v>82</v>
      </c>
      <c r="D8" s="1">
        <v>0.2</v>
      </c>
      <c r="E8" t="s">
        <v>247</v>
      </c>
      <c r="F8" s="1">
        <v>0.25</v>
      </c>
      <c r="G8" t="s">
        <v>56</v>
      </c>
      <c r="H8" s="1">
        <v>0.3</v>
      </c>
      <c r="I8" s="1"/>
      <c r="J8" s="1">
        <v>0.34</v>
      </c>
      <c r="K8" s="1">
        <v>0.34</v>
      </c>
      <c r="L8" s="1">
        <v>0.31</v>
      </c>
      <c r="M8" s="1">
        <v>0.27</v>
      </c>
      <c r="N8" s="1">
        <v>0.18</v>
      </c>
    </row>
    <row r="9" spans="1:14" x14ac:dyDescent="0.3">
      <c r="A9" t="s">
        <v>242</v>
      </c>
      <c r="B9" t="s">
        <v>243</v>
      </c>
      <c r="C9" t="s">
        <v>82</v>
      </c>
      <c r="D9" s="1">
        <v>0.2</v>
      </c>
      <c r="E9" t="s">
        <v>248</v>
      </c>
      <c r="F9" s="1">
        <v>0.2</v>
      </c>
      <c r="G9" t="s">
        <v>30</v>
      </c>
      <c r="H9" s="1">
        <v>0.1</v>
      </c>
      <c r="I9" s="1"/>
      <c r="J9" s="1">
        <v>0.34</v>
      </c>
      <c r="K9" s="1">
        <v>0.34</v>
      </c>
      <c r="L9" s="1">
        <v>0.31</v>
      </c>
      <c r="M9" s="1">
        <v>0.27</v>
      </c>
      <c r="N9" s="1">
        <v>0.18</v>
      </c>
    </row>
    <row r="10" spans="1:14" x14ac:dyDescent="0.3">
      <c r="A10" t="s">
        <v>242</v>
      </c>
      <c r="B10" t="s">
        <v>243</v>
      </c>
      <c r="C10" t="s">
        <v>16</v>
      </c>
      <c r="D10" s="1">
        <v>0.2</v>
      </c>
      <c r="E10" t="s">
        <v>17</v>
      </c>
      <c r="F10" s="1">
        <v>0.3</v>
      </c>
      <c r="G10" t="s">
        <v>18</v>
      </c>
      <c r="H10" s="1">
        <v>0.9</v>
      </c>
      <c r="I10" s="1">
        <f>SUMPRODUCT(H10:H13,F10:F13)*D10</f>
        <v>0.16550000000000004</v>
      </c>
      <c r="J10" s="1">
        <v>0.64</v>
      </c>
      <c r="K10" s="1">
        <v>0.64</v>
      </c>
      <c r="L10" s="1">
        <v>0.59</v>
      </c>
      <c r="M10" s="1">
        <v>0.52</v>
      </c>
      <c r="N10" s="1">
        <v>0.4</v>
      </c>
    </row>
    <row r="11" spans="1:14" x14ac:dyDescent="0.3">
      <c r="A11" t="s">
        <v>242</v>
      </c>
      <c r="B11" t="s">
        <v>243</v>
      </c>
      <c r="C11" t="s">
        <v>16</v>
      </c>
      <c r="D11" s="1">
        <v>0.2</v>
      </c>
      <c r="E11" t="s">
        <v>19</v>
      </c>
      <c r="F11" s="1">
        <v>0.25</v>
      </c>
      <c r="G11" t="s">
        <v>20</v>
      </c>
      <c r="H11" s="1">
        <v>0.6</v>
      </c>
      <c r="I11" s="1"/>
      <c r="J11" s="1">
        <v>0.64</v>
      </c>
      <c r="K11" s="1">
        <v>0.64</v>
      </c>
      <c r="L11" s="1">
        <v>0.59</v>
      </c>
      <c r="M11" s="1">
        <v>0.52</v>
      </c>
      <c r="N11" s="1">
        <v>0.4</v>
      </c>
    </row>
    <row r="12" spans="1:14" x14ac:dyDescent="0.3">
      <c r="A12" t="s">
        <v>242</v>
      </c>
      <c r="B12" t="s">
        <v>243</v>
      </c>
      <c r="C12" t="s">
        <v>16</v>
      </c>
      <c r="D12" s="1">
        <v>0.2</v>
      </c>
      <c r="E12" t="s">
        <v>21</v>
      </c>
      <c r="F12" s="1">
        <v>0.2</v>
      </c>
      <c r="G12" t="s">
        <v>22</v>
      </c>
      <c r="H12" s="1">
        <v>0.85</v>
      </c>
      <c r="I12" s="1"/>
      <c r="J12" s="1">
        <v>0.64</v>
      </c>
      <c r="K12" s="1">
        <v>0.64</v>
      </c>
      <c r="L12" s="1">
        <v>0.59</v>
      </c>
      <c r="M12" s="1">
        <v>0.52</v>
      </c>
      <c r="N12" s="1">
        <v>0.4</v>
      </c>
    </row>
    <row r="13" spans="1:14" x14ac:dyDescent="0.3">
      <c r="A13" t="s">
        <v>242</v>
      </c>
      <c r="B13" t="s">
        <v>243</v>
      </c>
      <c r="C13" t="s">
        <v>16</v>
      </c>
      <c r="D13" s="1">
        <v>0.2</v>
      </c>
      <c r="E13" t="s">
        <v>23</v>
      </c>
      <c r="F13" s="1">
        <v>0.25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0.59</v>
      </c>
      <c r="M13" s="1">
        <v>0.52</v>
      </c>
      <c r="N13" s="1">
        <v>0.4</v>
      </c>
    </row>
    <row r="14" spans="1:14" x14ac:dyDescent="0.3">
      <c r="A14" t="s">
        <v>242</v>
      </c>
      <c r="B14" t="s">
        <v>243</v>
      </c>
      <c r="C14" t="s">
        <v>25</v>
      </c>
      <c r="D14" s="1">
        <v>0.1</v>
      </c>
      <c r="E14" t="s">
        <v>26</v>
      </c>
      <c r="F14" s="1">
        <v>0.25</v>
      </c>
      <c r="G14" t="s">
        <v>18</v>
      </c>
      <c r="H14" s="1">
        <v>0.9</v>
      </c>
      <c r="I14" s="1">
        <f>SUMPRODUCT(H14:H17,F14:F17)*D14</f>
        <v>6.2000000000000013E-2</v>
      </c>
      <c r="J14" s="1">
        <v>0.43</v>
      </c>
      <c r="K14" s="1">
        <v>0.43</v>
      </c>
      <c r="L14" s="1">
        <v>0.4</v>
      </c>
      <c r="M14" s="1">
        <v>0.35</v>
      </c>
      <c r="N14" s="1">
        <v>0.25</v>
      </c>
    </row>
    <row r="15" spans="1:14" x14ac:dyDescent="0.3">
      <c r="A15" t="s">
        <v>242</v>
      </c>
      <c r="B15" t="s">
        <v>243</v>
      </c>
      <c r="C15" t="s">
        <v>25</v>
      </c>
      <c r="D15" s="1">
        <v>0.1</v>
      </c>
      <c r="E15" t="s">
        <v>27</v>
      </c>
      <c r="F15" s="1">
        <v>0.25</v>
      </c>
      <c r="G15" t="s">
        <v>28</v>
      </c>
      <c r="H15" s="1">
        <v>0.7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0.25</v>
      </c>
    </row>
    <row r="16" spans="1:14" x14ac:dyDescent="0.3">
      <c r="A16" t="s">
        <v>242</v>
      </c>
      <c r="B16" t="s">
        <v>243</v>
      </c>
      <c r="C16" t="s">
        <v>25</v>
      </c>
      <c r="D16" s="1">
        <v>0.1</v>
      </c>
      <c r="E16" t="s">
        <v>29</v>
      </c>
      <c r="F16" s="1">
        <v>0.3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0.25</v>
      </c>
    </row>
    <row r="17" spans="1:14" x14ac:dyDescent="0.3">
      <c r="A17" t="s">
        <v>242</v>
      </c>
      <c r="B17" t="s">
        <v>243</v>
      </c>
      <c r="C17" t="s">
        <v>25</v>
      </c>
      <c r="D17" s="1">
        <v>0.1</v>
      </c>
      <c r="E17" t="s">
        <v>31</v>
      </c>
      <c r="F17" s="1">
        <v>0.2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0.25</v>
      </c>
    </row>
    <row r="18" spans="1:14" x14ac:dyDescent="0.3">
      <c r="A18" t="s">
        <v>242</v>
      </c>
      <c r="B18" t="s">
        <v>243</v>
      </c>
      <c r="C18" t="s">
        <v>37</v>
      </c>
      <c r="D18" s="1">
        <v>0.1</v>
      </c>
      <c r="E18" t="s">
        <v>38</v>
      </c>
      <c r="F18" s="1">
        <v>0.3</v>
      </c>
      <c r="G18" t="s">
        <v>18</v>
      </c>
      <c r="H18" s="1">
        <v>0.9</v>
      </c>
      <c r="I18" s="1">
        <f>SUMPRODUCT(H18:H21,F18:F21)*D18</f>
        <v>8.1000000000000016E-2</v>
      </c>
      <c r="J18" s="1">
        <v>0.63</v>
      </c>
      <c r="K18" s="1">
        <v>0.63</v>
      </c>
      <c r="L18" s="1">
        <v>0.59</v>
      </c>
      <c r="M18" s="1">
        <v>0.53</v>
      </c>
      <c r="N18" s="1">
        <v>0.41</v>
      </c>
    </row>
    <row r="19" spans="1:14" x14ac:dyDescent="0.3">
      <c r="A19" t="s">
        <v>242</v>
      </c>
      <c r="B19" t="s">
        <v>243</v>
      </c>
      <c r="C19" t="s">
        <v>37</v>
      </c>
      <c r="D19" s="1">
        <v>0.1</v>
      </c>
      <c r="E19" t="s">
        <v>39</v>
      </c>
      <c r="F19" s="1">
        <v>0.25</v>
      </c>
      <c r="G19" t="s">
        <v>40</v>
      </c>
      <c r="H19" s="1">
        <v>0.7</v>
      </c>
      <c r="I19" s="1"/>
      <c r="J19" s="1">
        <v>0.63</v>
      </c>
      <c r="K19" s="1">
        <v>0.63</v>
      </c>
      <c r="L19" s="1">
        <v>0.59</v>
      </c>
      <c r="M19" s="1">
        <v>0.53</v>
      </c>
      <c r="N19" s="1">
        <v>0.41</v>
      </c>
    </row>
    <row r="20" spans="1:14" x14ac:dyDescent="0.3">
      <c r="A20" t="s">
        <v>242</v>
      </c>
      <c r="B20" t="s">
        <v>243</v>
      </c>
      <c r="C20" t="s">
        <v>37</v>
      </c>
      <c r="D20" s="1">
        <v>0.1</v>
      </c>
      <c r="E20" t="s">
        <v>41</v>
      </c>
      <c r="F20" s="1">
        <v>0.25</v>
      </c>
      <c r="G20" t="s">
        <v>28</v>
      </c>
      <c r="H20" s="1">
        <v>0.7</v>
      </c>
      <c r="I20" s="1"/>
      <c r="J20" s="1">
        <v>0.63</v>
      </c>
      <c r="K20" s="1">
        <v>0.63</v>
      </c>
      <c r="L20" s="1">
        <v>0.59</v>
      </c>
      <c r="M20" s="1">
        <v>0.53</v>
      </c>
      <c r="N20" s="1">
        <v>0.41</v>
      </c>
    </row>
    <row r="21" spans="1:14" x14ac:dyDescent="0.3">
      <c r="A21" t="s">
        <v>242</v>
      </c>
      <c r="B21" t="s">
        <v>243</v>
      </c>
      <c r="C21" t="s">
        <v>37</v>
      </c>
      <c r="D21" s="1">
        <v>0.1</v>
      </c>
      <c r="E21" t="s">
        <v>42</v>
      </c>
      <c r="F21" s="1">
        <v>0.2</v>
      </c>
      <c r="G21" t="s">
        <v>24</v>
      </c>
      <c r="H21" s="1">
        <v>0.95</v>
      </c>
      <c r="I21" s="1"/>
      <c r="J21" s="1">
        <v>0.63</v>
      </c>
      <c r="K21" s="1">
        <v>0.63</v>
      </c>
      <c r="L21" s="1">
        <v>0.59</v>
      </c>
      <c r="M21" s="1">
        <v>0.53</v>
      </c>
      <c r="N21" s="1">
        <v>0.41</v>
      </c>
    </row>
    <row r="22" spans="1:14" x14ac:dyDescent="0.3">
      <c r="A22" t="s">
        <v>242</v>
      </c>
      <c r="B22" t="s">
        <v>243</v>
      </c>
      <c r="C22" t="s">
        <v>151</v>
      </c>
      <c r="D22" s="1">
        <v>0.1</v>
      </c>
      <c r="E22" t="s">
        <v>208</v>
      </c>
      <c r="F22" s="1">
        <v>0.25</v>
      </c>
      <c r="G22" t="s">
        <v>40</v>
      </c>
      <c r="H22" s="1">
        <v>0.7</v>
      </c>
      <c r="I22" s="1">
        <f>SUMPRODUCT(H22:H25,F22:F25)*D22</f>
        <v>5.8749999999999997E-2</v>
      </c>
      <c r="J22" s="1">
        <v>0.41</v>
      </c>
      <c r="K22" s="1">
        <v>0.41</v>
      </c>
      <c r="L22" s="1">
        <v>0.38</v>
      </c>
      <c r="M22" s="1">
        <v>0.33</v>
      </c>
      <c r="N22" s="1">
        <v>0.24</v>
      </c>
    </row>
    <row r="23" spans="1:14" x14ac:dyDescent="0.3">
      <c r="A23" t="s">
        <v>242</v>
      </c>
      <c r="B23" t="s">
        <v>243</v>
      </c>
      <c r="C23" t="s">
        <v>151</v>
      </c>
      <c r="D23" s="1">
        <v>0.1</v>
      </c>
      <c r="E23" t="s">
        <v>249</v>
      </c>
      <c r="F23" s="1">
        <v>0.25</v>
      </c>
      <c r="G23" t="s">
        <v>20</v>
      </c>
      <c r="H23" s="1">
        <v>0.6</v>
      </c>
      <c r="I23" s="1"/>
      <c r="J23" s="1">
        <v>0.41</v>
      </c>
      <c r="K23" s="1">
        <v>0.41</v>
      </c>
      <c r="L23" s="1">
        <v>0.38</v>
      </c>
      <c r="M23" s="1">
        <v>0.33</v>
      </c>
      <c r="N23" s="1">
        <v>0.24</v>
      </c>
    </row>
    <row r="24" spans="1:14" x14ac:dyDescent="0.3">
      <c r="A24" t="s">
        <v>242</v>
      </c>
      <c r="B24" t="s">
        <v>243</v>
      </c>
      <c r="C24" t="s">
        <v>151</v>
      </c>
      <c r="D24" s="1">
        <v>0.1</v>
      </c>
      <c r="E24" t="s">
        <v>210</v>
      </c>
      <c r="F24" s="1">
        <v>0.25</v>
      </c>
      <c r="G24" t="s">
        <v>30</v>
      </c>
      <c r="H24" s="1">
        <v>0.1</v>
      </c>
      <c r="I24" s="1"/>
      <c r="J24" s="1">
        <v>0.41</v>
      </c>
      <c r="K24" s="1">
        <v>0.41</v>
      </c>
      <c r="L24" s="1">
        <v>0.38</v>
      </c>
      <c r="M24" s="1">
        <v>0.33</v>
      </c>
      <c r="N24" s="1">
        <v>0.24</v>
      </c>
    </row>
    <row r="25" spans="1:14" x14ac:dyDescent="0.3">
      <c r="A25" t="s">
        <v>242</v>
      </c>
      <c r="B25" t="s">
        <v>243</v>
      </c>
      <c r="C25" t="s">
        <v>151</v>
      </c>
      <c r="D25" s="1">
        <v>0.1</v>
      </c>
      <c r="E25" t="s">
        <v>53</v>
      </c>
      <c r="F25" s="1">
        <v>0.25</v>
      </c>
      <c r="G25" t="s">
        <v>24</v>
      </c>
      <c r="H25" s="1">
        <v>0.95</v>
      </c>
      <c r="I25" s="1"/>
      <c r="J25" s="1">
        <v>0.41</v>
      </c>
      <c r="K25" s="1">
        <v>0.41</v>
      </c>
      <c r="L25" s="1">
        <v>0.38</v>
      </c>
      <c r="M25" s="1">
        <v>0.33</v>
      </c>
      <c r="N25" s="1">
        <v>0.24</v>
      </c>
    </row>
    <row r="26" spans="1:14" x14ac:dyDescent="0.3">
      <c r="D26" s="1"/>
      <c r="F26" s="1"/>
      <c r="H26" s="1"/>
      <c r="I26" s="2">
        <f>SUM(I2:I25)</f>
        <v>0.61425000000000007</v>
      </c>
      <c r="J26" s="2">
        <f>+J6*$D6+J10*$D10+J14*$D14+J18*$D18+J22*$D22+$D2*J2</f>
        <v>0.46300000000000002</v>
      </c>
      <c r="K26" s="2">
        <f t="shared" ref="K26:N26" si="0">+K6*$D6+K10*$D10+K14*$D14+K18*$D18+K22*$D22+$D2*K2</f>
        <v>0.46300000000000002</v>
      </c>
      <c r="L26" s="2">
        <f t="shared" si="0"/>
        <v>0.42800000000000005</v>
      </c>
      <c r="M26" s="2">
        <f t="shared" si="0"/>
        <v>0.375</v>
      </c>
      <c r="N26" s="2">
        <f t="shared" si="0"/>
        <v>0.27800000000000002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242</v>
      </c>
      <c r="B28" t="s">
        <v>250</v>
      </c>
      <c r="C28" t="s">
        <v>141</v>
      </c>
      <c r="D28" s="1">
        <v>0.25</v>
      </c>
      <c r="E28" t="s">
        <v>251</v>
      </c>
      <c r="F28" s="1">
        <v>0.25</v>
      </c>
      <c r="G28" t="s">
        <v>28</v>
      </c>
      <c r="H28" s="1">
        <v>0.7</v>
      </c>
      <c r="I28" s="1">
        <f>SUMPRODUCT(H28:H31,F28:F31)*D28</f>
        <v>0.13</v>
      </c>
      <c r="J28" s="1">
        <v>0.38</v>
      </c>
      <c r="K28" s="1">
        <v>0.38</v>
      </c>
      <c r="L28" s="1">
        <v>0.35</v>
      </c>
      <c r="M28" s="1">
        <v>0.3</v>
      </c>
      <c r="N28" s="1">
        <v>0.21</v>
      </c>
    </row>
    <row r="29" spans="1:14" x14ac:dyDescent="0.3">
      <c r="A29" t="s">
        <v>242</v>
      </c>
      <c r="B29" t="s">
        <v>250</v>
      </c>
      <c r="C29" t="s">
        <v>141</v>
      </c>
      <c r="D29" s="1">
        <v>0.25</v>
      </c>
      <c r="E29" t="s">
        <v>252</v>
      </c>
      <c r="F29" s="1">
        <v>0.35</v>
      </c>
      <c r="G29" t="s">
        <v>30</v>
      </c>
      <c r="H29" s="1">
        <v>0.1</v>
      </c>
      <c r="I29" s="1"/>
      <c r="J29" s="1">
        <v>0.38</v>
      </c>
      <c r="K29" s="1">
        <v>0.38</v>
      </c>
      <c r="L29" s="1">
        <v>0.35</v>
      </c>
      <c r="M29" s="1">
        <v>0.3</v>
      </c>
      <c r="N29" s="1">
        <v>0.21</v>
      </c>
    </row>
    <row r="30" spans="1:14" x14ac:dyDescent="0.3">
      <c r="A30" t="s">
        <v>242</v>
      </c>
      <c r="B30" t="s">
        <v>250</v>
      </c>
      <c r="C30" t="s">
        <v>141</v>
      </c>
      <c r="D30" s="1">
        <v>0.25</v>
      </c>
      <c r="E30" t="s">
        <v>144</v>
      </c>
      <c r="F30" s="1">
        <v>0.2</v>
      </c>
      <c r="G30" t="s">
        <v>20</v>
      </c>
      <c r="H30" s="1">
        <v>0.6</v>
      </c>
      <c r="I30" s="1"/>
      <c r="J30" s="1">
        <v>0.38</v>
      </c>
      <c r="K30" s="1">
        <v>0.38</v>
      </c>
      <c r="L30" s="1">
        <v>0.35</v>
      </c>
      <c r="M30" s="1">
        <v>0.3</v>
      </c>
      <c r="N30" s="1">
        <v>0.21</v>
      </c>
    </row>
    <row r="31" spans="1:14" x14ac:dyDescent="0.3">
      <c r="A31" t="s">
        <v>242</v>
      </c>
      <c r="B31" t="s">
        <v>250</v>
      </c>
      <c r="C31" t="s">
        <v>141</v>
      </c>
      <c r="D31" s="1">
        <v>0.25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0.38</v>
      </c>
      <c r="K31" s="1">
        <v>0.38</v>
      </c>
      <c r="L31" s="1">
        <v>0.35</v>
      </c>
      <c r="M31" s="1">
        <v>0.3</v>
      </c>
      <c r="N31" s="1">
        <v>0.21</v>
      </c>
    </row>
    <row r="32" spans="1:14" x14ac:dyDescent="0.3">
      <c r="A32" t="s">
        <v>242</v>
      </c>
      <c r="B32" t="s">
        <v>250</v>
      </c>
      <c r="C32" t="s">
        <v>82</v>
      </c>
      <c r="D32" s="1">
        <v>0.15</v>
      </c>
      <c r="E32" t="s">
        <v>253</v>
      </c>
      <c r="F32" s="1">
        <v>0.3</v>
      </c>
      <c r="G32" t="s">
        <v>73</v>
      </c>
      <c r="H32" s="1">
        <v>0.7</v>
      </c>
      <c r="I32" s="1">
        <f>SUMPRODUCT(H32:H35,F32:F35)*D32</f>
        <v>6.8250000000000005E-2</v>
      </c>
      <c r="J32" s="1">
        <v>0.32</v>
      </c>
      <c r="K32" s="1">
        <v>0.32</v>
      </c>
      <c r="L32" s="1">
        <v>0.28999999999999998</v>
      </c>
      <c r="M32" s="1">
        <v>0.25</v>
      </c>
      <c r="N32" s="1">
        <v>0.16</v>
      </c>
    </row>
    <row r="33" spans="1:14" x14ac:dyDescent="0.3">
      <c r="A33" t="s">
        <v>242</v>
      </c>
      <c r="B33" t="s">
        <v>250</v>
      </c>
      <c r="C33" t="s">
        <v>82</v>
      </c>
      <c r="D33" s="1">
        <v>0.15</v>
      </c>
      <c r="E33" t="s">
        <v>254</v>
      </c>
      <c r="F33" s="1">
        <v>0.25</v>
      </c>
      <c r="G33" t="s">
        <v>20</v>
      </c>
      <c r="H33" s="1">
        <v>0.6</v>
      </c>
      <c r="I33" s="1"/>
      <c r="J33" s="1">
        <v>0.32</v>
      </c>
      <c r="K33" s="1">
        <v>0.32</v>
      </c>
      <c r="L33" s="1">
        <v>0.28999999999999998</v>
      </c>
      <c r="M33" s="1">
        <v>0.25</v>
      </c>
      <c r="N33" s="1">
        <v>0.16</v>
      </c>
    </row>
    <row r="34" spans="1:14" x14ac:dyDescent="0.3">
      <c r="A34" t="s">
        <v>242</v>
      </c>
      <c r="B34" t="s">
        <v>250</v>
      </c>
      <c r="C34" t="s">
        <v>82</v>
      </c>
      <c r="D34" s="1">
        <v>0.15</v>
      </c>
      <c r="E34" t="s">
        <v>85</v>
      </c>
      <c r="F34" s="1">
        <v>0.25</v>
      </c>
      <c r="G34" t="s">
        <v>56</v>
      </c>
      <c r="H34" s="1">
        <v>0.3</v>
      </c>
      <c r="I34" s="1"/>
      <c r="J34" s="1">
        <v>0.32</v>
      </c>
      <c r="K34" s="1">
        <v>0.32</v>
      </c>
      <c r="L34" s="1">
        <v>0.28999999999999998</v>
      </c>
      <c r="M34" s="1">
        <v>0.25</v>
      </c>
      <c r="N34" s="1">
        <v>0.16</v>
      </c>
    </row>
    <row r="35" spans="1:14" x14ac:dyDescent="0.3">
      <c r="A35" t="s">
        <v>242</v>
      </c>
      <c r="B35" t="s">
        <v>250</v>
      </c>
      <c r="C35" t="s">
        <v>82</v>
      </c>
      <c r="D35" s="1">
        <v>0.15</v>
      </c>
      <c r="E35" t="s">
        <v>76</v>
      </c>
      <c r="F35" s="1">
        <v>0.2</v>
      </c>
      <c r="G35" t="s">
        <v>30</v>
      </c>
      <c r="H35" s="1">
        <v>0.1</v>
      </c>
      <c r="I35" s="1"/>
      <c r="J35" s="1">
        <v>0.32</v>
      </c>
      <c r="K35" s="1">
        <v>0.32</v>
      </c>
      <c r="L35" s="1">
        <v>0.28999999999999998</v>
      </c>
      <c r="M35" s="1">
        <v>0.25</v>
      </c>
      <c r="N35" s="1">
        <v>0.16</v>
      </c>
    </row>
    <row r="36" spans="1:14" x14ac:dyDescent="0.3">
      <c r="A36" t="s">
        <v>242</v>
      </c>
      <c r="B36" t="s">
        <v>250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0.61</v>
      </c>
      <c r="K36" s="1">
        <v>0.61</v>
      </c>
      <c r="L36" s="1">
        <v>0.56000000000000005</v>
      </c>
      <c r="M36" s="1">
        <v>0.49</v>
      </c>
      <c r="N36" s="1">
        <v>0.36</v>
      </c>
    </row>
    <row r="37" spans="1:14" x14ac:dyDescent="0.3">
      <c r="A37" t="s">
        <v>242</v>
      </c>
      <c r="B37" t="s">
        <v>250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0.61</v>
      </c>
      <c r="K37" s="1">
        <v>0.61</v>
      </c>
      <c r="L37" s="1">
        <v>0.56000000000000005</v>
      </c>
      <c r="M37" s="1">
        <v>0.49</v>
      </c>
      <c r="N37" s="1">
        <v>0.36</v>
      </c>
    </row>
    <row r="38" spans="1:14" x14ac:dyDescent="0.3">
      <c r="A38" t="s">
        <v>242</v>
      </c>
      <c r="B38" t="s">
        <v>250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0.61</v>
      </c>
      <c r="K38" s="1">
        <v>0.61</v>
      </c>
      <c r="L38" s="1">
        <v>0.56000000000000005</v>
      </c>
      <c r="M38" s="1">
        <v>0.49</v>
      </c>
      <c r="N38" s="1">
        <v>0.36</v>
      </c>
    </row>
    <row r="39" spans="1:14" x14ac:dyDescent="0.3">
      <c r="A39" t="s">
        <v>242</v>
      </c>
      <c r="B39" t="s">
        <v>250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0.61</v>
      </c>
      <c r="K39" s="1">
        <v>0.61</v>
      </c>
      <c r="L39" s="1">
        <v>0.56000000000000005</v>
      </c>
      <c r="M39" s="1">
        <v>0.49</v>
      </c>
      <c r="N39" s="1">
        <v>0.36</v>
      </c>
    </row>
    <row r="40" spans="1:14" x14ac:dyDescent="0.3">
      <c r="A40" t="s">
        <v>242</v>
      </c>
      <c r="B40" t="s">
        <v>250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</v>
      </c>
      <c r="K40" s="1">
        <v>0.4</v>
      </c>
      <c r="L40" s="1">
        <v>0.37</v>
      </c>
      <c r="M40" s="1">
        <v>0.32</v>
      </c>
      <c r="N40" s="1">
        <v>0.22</v>
      </c>
    </row>
    <row r="41" spans="1:14" x14ac:dyDescent="0.3">
      <c r="A41" t="s">
        <v>242</v>
      </c>
      <c r="B41" t="s">
        <v>250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</v>
      </c>
      <c r="K41" s="1">
        <v>0.4</v>
      </c>
      <c r="L41" s="1">
        <v>0.37</v>
      </c>
      <c r="M41" s="1">
        <v>0.32</v>
      </c>
      <c r="N41" s="1">
        <v>0.22</v>
      </c>
    </row>
    <row r="42" spans="1:14" x14ac:dyDescent="0.3">
      <c r="A42" t="s">
        <v>242</v>
      </c>
      <c r="B42" t="s">
        <v>250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</v>
      </c>
      <c r="K42" s="1">
        <v>0.4</v>
      </c>
      <c r="L42" s="1">
        <v>0.37</v>
      </c>
      <c r="M42" s="1">
        <v>0.32</v>
      </c>
      <c r="N42" s="1">
        <v>0.22</v>
      </c>
    </row>
    <row r="43" spans="1:14" x14ac:dyDescent="0.3">
      <c r="A43" t="s">
        <v>242</v>
      </c>
      <c r="B43" t="s">
        <v>250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</v>
      </c>
      <c r="K43" s="1">
        <v>0.4</v>
      </c>
      <c r="L43" s="1">
        <v>0.37</v>
      </c>
      <c r="M43" s="1">
        <v>0.32</v>
      </c>
      <c r="N43" s="1">
        <v>0.22</v>
      </c>
    </row>
    <row r="44" spans="1:14" x14ac:dyDescent="0.3">
      <c r="A44" t="s">
        <v>242</v>
      </c>
      <c r="B44" t="s">
        <v>250</v>
      </c>
      <c r="C44" t="s">
        <v>37</v>
      </c>
      <c r="D44" s="1">
        <v>0.1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8.1000000000000016E-2</v>
      </c>
      <c r="J44" s="1">
        <v>0.6</v>
      </c>
      <c r="K44" s="1">
        <v>0.6</v>
      </c>
      <c r="L44" s="1">
        <v>0.56000000000000005</v>
      </c>
      <c r="M44" s="1">
        <v>0.49</v>
      </c>
      <c r="N44" s="1">
        <v>0.37</v>
      </c>
    </row>
    <row r="45" spans="1:14" x14ac:dyDescent="0.3">
      <c r="A45" t="s">
        <v>242</v>
      </c>
      <c r="B45" t="s">
        <v>250</v>
      </c>
      <c r="C45" t="s">
        <v>37</v>
      </c>
      <c r="D45" s="1">
        <v>0.1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</v>
      </c>
      <c r="K45" s="1">
        <v>0.6</v>
      </c>
      <c r="L45" s="1">
        <v>0.56000000000000005</v>
      </c>
      <c r="M45" s="1">
        <v>0.49</v>
      </c>
      <c r="N45" s="1">
        <v>0.37</v>
      </c>
    </row>
    <row r="46" spans="1:14" x14ac:dyDescent="0.3">
      <c r="A46" t="s">
        <v>242</v>
      </c>
      <c r="B46" t="s">
        <v>250</v>
      </c>
      <c r="C46" t="s">
        <v>37</v>
      </c>
      <c r="D46" s="1">
        <v>0.1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</v>
      </c>
      <c r="K46" s="1">
        <v>0.6</v>
      </c>
      <c r="L46" s="1">
        <v>0.56000000000000005</v>
      </c>
      <c r="M46" s="1">
        <v>0.49</v>
      </c>
      <c r="N46" s="1">
        <v>0.37</v>
      </c>
    </row>
    <row r="47" spans="1:14" x14ac:dyDescent="0.3">
      <c r="A47" t="s">
        <v>242</v>
      </c>
      <c r="B47" t="s">
        <v>250</v>
      </c>
      <c r="C47" t="s">
        <v>37</v>
      </c>
      <c r="D47" s="1">
        <v>0.1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</v>
      </c>
      <c r="K47" s="1">
        <v>0.6</v>
      </c>
      <c r="L47" s="1">
        <v>0.56000000000000005</v>
      </c>
      <c r="M47" s="1">
        <v>0.49</v>
      </c>
      <c r="N47" s="1">
        <v>0.37</v>
      </c>
    </row>
    <row r="48" spans="1:14" x14ac:dyDescent="0.3">
      <c r="A48" t="s">
        <v>242</v>
      </c>
      <c r="B48" t="s">
        <v>250</v>
      </c>
      <c r="C48" t="s">
        <v>151</v>
      </c>
      <c r="D48" s="1">
        <v>0.15</v>
      </c>
      <c r="E48" t="s">
        <v>256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</v>
      </c>
      <c r="K48" s="1">
        <v>0.4</v>
      </c>
      <c r="L48" s="1">
        <v>0.37</v>
      </c>
      <c r="M48" s="1">
        <v>0.32</v>
      </c>
      <c r="N48" s="1">
        <v>0.22</v>
      </c>
    </row>
    <row r="49" spans="1:14" x14ac:dyDescent="0.3">
      <c r="A49" t="s">
        <v>242</v>
      </c>
      <c r="B49" t="s">
        <v>250</v>
      </c>
      <c r="C49" t="s">
        <v>151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</v>
      </c>
      <c r="K49" s="1">
        <v>0.4</v>
      </c>
      <c r="L49" s="1">
        <v>0.37</v>
      </c>
      <c r="M49" s="1">
        <v>0.32</v>
      </c>
      <c r="N49" s="1">
        <v>0.22</v>
      </c>
    </row>
    <row r="50" spans="1:14" x14ac:dyDescent="0.3">
      <c r="A50" t="s">
        <v>242</v>
      </c>
      <c r="B50" t="s">
        <v>250</v>
      </c>
      <c r="C50" t="s">
        <v>151</v>
      </c>
      <c r="D50" s="1">
        <v>0.15</v>
      </c>
      <c r="E50" t="s">
        <v>257</v>
      </c>
      <c r="F50" s="1">
        <v>0.25</v>
      </c>
      <c r="G50" t="s">
        <v>30</v>
      </c>
      <c r="H50" s="1">
        <v>0.1</v>
      </c>
      <c r="I50" s="1"/>
      <c r="J50" s="1">
        <v>0.4</v>
      </c>
      <c r="K50" s="1">
        <v>0.4</v>
      </c>
      <c r="L50" s="1">
        <v>0.37</v>
      </c>
      <c r="M50" s="1">
        <v>0.32</v>
      </c>
      <c r="N50" s="1">
        <v>0.22</v>
      </c>
    </row>
    <row r="51" spans="1:14" x14ac:dyDescent="0.3">
      <c r="A51" t="s">
        <v>242</v>
      </c>
      <c r="B51" t="s">
        <v>250</v>
      </c>
      <c r="C51" t="s">
        <v>151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</v>
      </c>
      <c r="K51" s="1">
        <v>0.4</v>
      </c>
      <c r="L51" s="1">
        <v>0.37</v>
      </c>
      <c r="M51" s="1">
        <v>0.32</v>
      </c>
      <c r="N51" s="1">
        <v>0.22</v>
      </c>
    </row>
    <row r="52" spans="1:14" x14ac:dyDescent="0.3">
      <c r="D52" s="1"/>
      <c r="F52" s="1"/>
      <c r="H52" s="1"/>
      <c r="I52" s="2">
        <f>SUM(I28:I51)</f>
        <v>0.62587500000000007</v>
      </c>
      <c r="J52" s="2">
        <f>+J32*$D32+J36*$D36+J40*$D40+J44*$D44+J48*$D48+$D28*J28</f>
        <v>0.44499999999999995</v>
      </c>
      <c r="K52" s="2">
        <f t="shared" ref="K52:N52" si="1">+K32*$D32+K36*$D36+K40*$D40+K44*$D44+K48*$D48+$D28*K28</f>
        <v>0.44499999999999995</v>
      </c>
      <c r="L52" s="2">
        <f t="shared" si="1"/>
        <v>0.41000000000000003</v>
      </c>
      <c r="M52" s="2">
        <f t="shared" si="1"/>
        <v>0.35549999999999998</v>
      </c>
      <c r="N52" s="2">
        <f t="shared" si="1"/>
        <v>0.2515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242</v>
      </c>
      <c r="B54" t="s">
        <v>258</v>
      </c>
      <c r="C54" t="s">
        <v>141</v>
      </c>
      <c r="D54" s="1">
        <v>0.25</v>
      </c>
      <c r="E54" t="s">
        <v>244</v>
      </c>
      <c r="F54" s="1">
        <v>0.25</v>
      </c>
      <c r="G54" t="s">
        <v>28</v>
      </c>
      <c r="H54" s="1">
        <v>0.7</v>
      </c>
      <c r="I54" s="1">
        <f>SUMPRODUCT(H54:H57,F54:F57)*D54</f>
        <v>0.13</v>
      </c>
      <c r="J54" s="1">
        <v>0.4</v>
      </c>
      <c r="K54" s="1">
        <v>0.4</v>
      </c>
      <c r="L54" s="1">
        <v>0.37</v>
      </c>
      <c r="M54" s="1">
        <v>0.32</v>
      </c>
      <c r="N54" s="1">
        <v>0.23</v>
      </c>
    </row>
    <row r="55" spans="1:14" x14ac:dyDescent="0.3">
      <c r="A55" t="s">
        <v>242</v>
      </c>
      <c r="B55" t="s">
        <v>258</v>
      </c>
      <c r="C55" t="s">
        <v>141</v>
      </c>
      <c r="D55" s="1">
        <v>0.25</v>
      </c>
      <c r="E55" t="s">
        <v>252</v>
      </c>
      <c r="F55" s="1">
        <v>0.35</v>
      </c>
      <c r="G55" t="s">
        <v>30</v>
      </c>
      <c r="H55" s="1">
        <v>0.1</v>
      </c>
      <c r="I55" s="1"/>
      <c r="J55" s="1">
        <v>0.4</v>
      </c>
      <c r="K55" s="1">
        <v>0.4</v>
      </c>
      <c r="L55" s="1">
        <v>0.37</v>
      </c>
      <c r="M55" s="1">
        <v>0.32</v>
      </c>
      <c r="N55" s="1">
        <v>0.23</v>
      </c>
    </row>
    <row r="56" spans="1:14" x14ac:dyDescent="0.3">
      <c r="A56" t="s">
        <v>242</v>
      </c>
      <c r="B56" t="s">
        <v>258</v>
      </c>
      <c r="C56" t="s">
        <v>141</v>
      </c>
      <c r="D56" s="1">
        <v>0.25</v>
      </c>
      <c r="E56" t="s">
        <v>144</v>
      </c>
      <c r="F56" s="1">
        <v>0.2</v>
      </c>
      <c r="G56" t="s">
        <v>20</v>
      </c>
      <c r="H56" s="1">
        <v>0.6</v>
      </c>
      <c r="I56" s="1"/>
      <c r="J56" s="1">
        <v>0.4</v>
      </c>
      <c r="K56" s="1">
        <v>0.4</v>
      </c>
      <c r="L56" s="1">
        <v>0.37</v>
      </c>
      <c r="M56" s="1">
        <v>0.32</v>
      </c>
      <c r="N56" s="1">
        <v>0.23</v>
      </c>
    </row>
    <row r="57" spans="1:14" x14ac:dyDescent="0.3">
      <c r="A57" t="s">
        <v>242</v>
      </c>
      <c r="B57" t="s">
        <v>258</v>
      </c>
      <c r="C57" t="s">
        <v>141</v>
      </c>
      <c r="D57" s="1">
        <v>0.25</v>
      </c>
      <c r="E57" t="s">
        <v>108</v>
      </c>
      <c r="F57" s="1">
        <v>0.2</v>
      </c>
      <c r="G57" t="s">
        <v>24</v>
      </c>
      <c r="H57" s="1">
        <v>0.95</v>
      </c>
      <c r="I57" s="1"/>
      <c r="J57" s="1">
        <v>0.4</v>
      </c>
      <c r="K57" s="1">
        <v>0.4</v>
      </c>
      <c r="L57" s="1">
        <v>0.37</v>
      </c>
      <c r="M57" s="1">
        <v>0.32</v>
      </c>
      <c r="N57" s="1">
        <v>0.23</v>
      </c>
    </row>
    <row r="58" spans="1:14" x14ac:dyDescent="0.3">
      <c r="A58" t="s">
        <v>242</v>
      </c>
      <c r="B58" t="s">
        <v>258</v>
      </c>
      <c r="C58" t="s">
        <v>82</v>
      </c>
      <c r="D58" s="1">
        <v>0.25</v>
      </c>
      <c r="E58" t="s">
        <v>72</v>
      </c>
      <c r="F58" s="1">
        <v>0.3</v>
      </c>
      <c r="G58" t="s">
        <v>73</v>
      </c>
      <c r="H58" s="1">
        <v>0.7</v>
      </c>
      <c r="I58" s="1">
        <f>SUMPRODUCT(H58:H61,F58:F61)*D58</f>
        <v>0.11375</v>
      </c>
      <c r="J58" s="1">
        <v>0.35</v>
      </c>
      <c r="K58" s="1">
        <v>0.35</v>
      </c>
      <c r="L58" s="1">
        <v>0.32</v>
      </c>
      <c r="M58" s="1">
        <v>0.28000000000000003</v>
      </c>
      <c r="N58" s="1">
        <v>0.18</v>
      </c>
    </row>
    <row r="59" spans="1:14" x14ac:dyDescent="0.3">
      <c r="A59" t="s">
        <v>242</v>
      </c>
      <c r="B59" t="s">
        <v>258</v>
      </c>
      <c r="C59" t="s">
        <v>82</v>
      </c>
      <c r="D59" s="1">
        <v>0.25</v>
      </c>
      <c r="E59" t="s">
        <v>259</v>
      </c>
      <c r="F59" s="1">
        <v>0.25</v>
      </c>
      <c r="G59" t="s">
        <v>20</v>
      </c>
      <c r="H59" s="1">
        <v>0.6</v>
      </c>
      <c r="I59" s="1"/>
      <c r="J59" s="1">
        <v>0.35</v>
      </c>
      <c r="K59" s="1">
        <v>0.35</v>
      </c>
      <c r="L59" s="1">
        <v>0.32</v>
      </c>
      <c r="M59" s="1">
        <v>0.28000000000000003</v>
      </c>
      <c r="N59" s="1">
        <v>0.18</v>
      </c>
    </row>
    <row r="60" spans="1:14" x14ac:dyDescent="0.3">
      <c r="A60" t="s">
        <v>242</v>
      </c>
      <c r="B60" t="s">
        <v>258</v>
      </c>
      <c r="C60" t="s">
        <v>82</v>
      </c>
      <c r="D60" s="1">
        <v>0.25</v>
      </c>
      <c r="E60" t="s">
        <v>247</v>
      </c>
      <c r="F60" s="1">
        <v>0.25</v>
      </c>
      <c r="G60" t="s">
        <v>56</v>
      </c>
      <c r="H60" s="1">
        <v>0.3</v>
      </c>
      <c r="I60" s="1"/>
      <c r="J60" s="1">
        <v>0.35</v>
      </c>
      <c r="K60" s="1">
        <v>0.35</v>
      </c>
      <c r="L60" s="1">
        <v>0.32</v>
      </c>
      <c r="M60" s="1">
        <v>0.28000000000000003</v>
      </c>
      <c r="N60" s="1">
        <v>0.18</v>
      </c>
    </row>
    <row r="61" spans="1:14" x14ac:dyDescent="0.3">
      <c r="A61" t="s">
        <v>242</v>
      </c>
      <c r="B61" t="s">
        <v>258</v>
      </c>
      <c r="C61" t="s">
        <v>82</v>
      </c>
      <c r="D61" s="1">
        <v>0.25</v>
      </c>
      <c r="E61" t="s">
        <v>260</v>
      </c>
      <c r="F61" s="1">
        <v>0.2</v>
      </c>
      <c r="G61" t="s">
        <v>30</v>
      </c>
      <c r="H61" s="1">
        <v>0.1</v>
      </c>
      <c r="I61" s="1"/>
      <c r="J61" s="1">
        <v>0.35</v>
      </c>
      <c r="K61" s="1">
        <v>0.35</v>
      </c>
      <c r="L61" s="1">
        <v>0.32</v>
      </c>
      <c r="M61" s="1">
        <v>0.28000000000000003</v>
      </c>
      <c r="N61" s="1">
        <v>0.18</v>
      </c>
    </row>
    <row r="62" spans="1:14" x14ac:dyDescent="0.3">
      <c r="A62" t="s">
        <v>242</v>
      </c>
      <c r="B62" t="s">
        <v>258</v>
      </c>
      <c r="C62" t="s">
        <v>16</v>
      </c>
      <c r="D62" s="1">
        <v>0.15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0.12412500000000001</v>
      </c>
      <c r="J62" s="1">
        <v>0.64</v>
      </c>
      <c r="K62" s="1">
        <v>0.64</v>
      </c>
      <c r="L62" s="1">
        <v>0.59</v>
      </c>
      <c r="M62" s="1">
        <v>0.52</v>
      </c>
      <c r="N62" s="1">
        <v>0.4</v>
      </c>
    </row>
    <row r="63" spans="1:14" x14ac:dyDescent="0.3">
      <c r="A63" t="s">
        <v>242</v>
      </c>
      <c r="B63" t="s">
        <v>258</v>
      </c>
      <c r="C63" t="s">
        <v>16</v>
      </c>
      <c r="D63" s="1">
        <v>0.15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0.64</v>
      </c>
      <c r="K63" s="1">
        <v>0.64</v>
      </c>
      <c r="L63" s="1">
        <v>0.59</v>
      </c>
      <c r="M63" s="1">
        <v>0.52</v>
      </c>
      <c r="N63" s="1">
        <v>0.4</v>
      </c>
    </row>
    <row r="64" spans="1:14" x14ac:dyDescent="0.3">
      <c r="A64" t="s">
        <v>242</v>
      </c>
      <c r="B64" t="s">
        <v>258</v>
      </c>
      <c r="C64" t="s">
        <v>16</v>
      </c>
      <c r="D64" s="1">
        <v>0.15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0.64</v>
      </c>
      <c r="K64" s="1">
        <v>0.64</v>
      </c>
      <c r="L64" s="1">
        <v>0.59</v>
      </c>
      <c r="M64" s="1">
        <v>0.52</v>
      </c>
      <c r="N64" s="1">
        <v>0.4</v>
      </c>
    </row>
    <row r="65" spans="1:14" x14ac:dyDescent="0.3">
      <c r="A65" t="s">
        <v>242</v>
      </c>
      <c r="B65" t="s">
        <v>258</v>
      </c>
      <c r="C65" t="s">
        <v>16</v>
      </c>
      <c r="D65" s="1">
        <v>0.15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0.64</v>
      </c>
      <c r="K65" s="1">
        <v>0.64</v>
      </c>
      <c r="L65" s="1">
        <v>0.59</v>
      </c>
      <c r="M65" s="1">
        <v>0.52</v>
      </c>
      <c r="N65" s="1">
        <v>0.4</v>
      </c>
    </row>
    <row r="66" spans="1:14" x14ac:dyDescent="0.3">
      <c r="A66" t="s">
        <v>242</v>
      </c>
      <c r="B66" t="s">
        <v>258</v>
      </c>
      <c r="C66" t="s">
        <v>25</v>
      </c>
      <c r="D66" s="1">
        <v>0.1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6.2000000000000013E-2</v>
      </c>
      <c r="J66" s="1">
        <v>0.43</v>
      </c>
      <c r="K66" s="1">
        <v>0.43</v>
      </c>
      <c r="L66" s="1">
        <v>0.4</v>
      </c>
      <c r="M66" s="1">
        <v>0.35</v>
      </c>
      <c r="N66" s="1">
        <v>0.25</v>
      </c>
    </row>
    <row r="67" spans="1:14" x14ac:dyDescent="0.3">
      <c r="A67" t="s">
        <v>242</v>
      </c>
      <c r="B67" t="s">
        <v>258</v>
      </c>
      <c r="C67" t="s">
        <v>25</v>
      </c>
      <c r="D67" s="1">
        <v>0.1</v>
      </c>
      <c r="E67" t="s">
        <v>27</v>
      </c>
      <c r="F67" s="1">
        <v>0.25</v>
      </c>
      <c r="G67" t="s">
        <v>28</v>
      </c>
      <c r="H67" s="1">
        <v>0.7</v>
      </c>
      <c r="I67" s="1"/>
      <c r="J67" s="1">
        <v>0.43</v>
      </c>
      <c r="K67" s="1">
        <v>0.43</v>
      </c>
      <c r="L67" s="1">
        <v>0.4</v>
      </c>
      <c r="M67" s="1">
        <v>0.35</v>
      </c>
      <c r="N67" s="1">
        <v>0.25</v>
      </c>
    </row>
    <row r="68" spans="1:14" x14ac:dyDescent="0.3">
      <c r="A68" t="s">
        <v>242</v>
      </c>
      <c r="B68" t="s">
        <v>258</v>
      </c>
      <c r="C68" t="s">
        <v>25</v>
      </c>
      <c r="D68" s="1">
        <v>0.1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0.43</v>
      </c>
      <c r="K68" s="1">
        <v>0.43</v>
      </c>
      <c r="L68" s="1">
        <v>0.4</v>
      </c>
      <c r="M68" s="1">
        <v>0.35</v>
      </c>
      <c r="N68" s="1">
        <v>0.25</v>
      </c>
    </row>
    <row r="69" spans="1:14" x14ac:dyDescent="0.3">
      <c r="A69" t="s">
        <v>242</v>
      </c>
      <c r="B69" t="s">
        <v>258</v>
      </c>
      <c r="C69" t="s">
        <v>25</v>
      </c>
      <c r="D69" s="1">
        <v>0.1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0.43</v>
      </c>
      <c r="K69" s="1">
        <v>0.43</v>
      </c>
      <c r="L69" s="1">
        <v>0.4</v>
      </c>
      <c r="M69" s="1">
        <v>0.35</v>
      </c>
      <c r="N69" s="1">
        <v>0.25</v>
      </c>
    </row>
    <row r="70" spans="1:14" x14ac:dyDescent="0.3">
      <c r="A70" t="s">
        <v>242</v>
      </c>
      <c r="B70" t="s">
        <v>258</v>
      </c>
      <c r="C70" t="s">
        <v>37</v>
      </c>
      <c r="D70" s="1">
        <v>0.1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8.1000000000000016E-2</v>
      </c>
      <c r="J70" s="1">
        <v>0.63</v>
      </c>
      <c r="K70" s="1">
        <v>0.63</v>
      </c>
      <c r="L70" s="1">
        <v>0.59</v>
      </c>
      <c r="M70" s="1">
        <v>0.53</v>
      </c>
      <c r="N70" s="1">
        <v>0.41</v>
      </c>
    </row>
    <row r="71" spans="1:14" x14ac:dyDescent="0.3">
      <c r="A71" t="s">
        <v>242</v>
      </c>
      <c r="B71" t="s">
        <v>258</v>
      </c>
      <c r="C71" t="s">
        <v>37</v>
      </c>
      <c r="D71" s="1">
        <v>0.1</v>
      </c>
      <c r="E71" t="s">
        <v>39</v>
      </c>
      <c r="F71" s="1">
        <v>0.25</v>
      </c>
      <c r="G71" t="s">
        <v>40</v>
      </c>
      <c r="H71" s="1">
        <v>0.7</v>
      </c>
      <c r="I71" s="1"/>
      <c r="J71" s="1">
        <v>0.63</v>
      </c>
      <c r="K71" s="1">
        <v>0.63</v>
      </c>
      <c r="L71" s="1">
        <v>0.59</v>
      </c>
      <c r="M71" s="1">
        <v>0.53</v>
      </c>
      <c r="N71" s="1">
        <v>0.41</v>
      </c>
    </row>
    <row r="72" spans="1:14" x14ac:dyDescent="0.3">
      <c r="A72" t="s">
        <v>242</v>
      </c>
      <c r="B72" t="s">
        <v>258</v>
      </c>
      <c r="C72" t="s">
        <v>37</v>
      </c>
      <c r="D72" s="1">
        <v>0.1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0.63</v>
      </c>
      <c r="K72" s="1">
        <v>0.63</v>
      </c>
      <c r="L72" s="1">
        <v>0.59</v>
      </c>
      <c r="M72" s="1">
        <v>0.53</v>
      </c>
      <c r="N72" s="1">
        <v>0.41</v>
      </c>
    </row>
    <row r="73" spans="1:14" x14ac:dyDescent="0.3">
      <c r="A73" t="s">
        <v>242</v>
      </c>
      <c r="B73" t="s">
        <v>258</v>
      </c>
      <c r="C73" t="s">
        <v>37</v>
      </c>
      <c r="D73" s="1">
        <v>0.1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0.63</v>
      </c>
      <c r="K73" s="1">
        <v>0.63</v>
      </c>
      <c r="L73" s="1">
        <v>0.59</v>
      </c>
      <c r="M73" s="1">
        <v>0.53</v>
      </c>
      <c r="N73" s="1">
        <v>0.41</v>
      </c>
    </row>
    <row r="74" spans="1:14" x14ac:dyDescent="0.3">
      <c r="A74" t="s">
        <v>242</v>
      </c>
      <c r="B74" t="s">
        <v>258</v>
      </c>
      <c r="C74" t="s">
        <v>151</v>
      </c>
      <c r="D74" s="1">
        <v>0.15</v>
      </c>
      <c r="E74" t="s">
        <v>261</v>
      </c>
      <c r="F74" s="1">
        <v>0.25</v>
      </c>
      <c r="G74" t="s">
        <v>40</v>
      </c>
      <c r="H74" s="1">
        <v>0.7</v>
      </c>
      <c r="I74" s="1">
        <f>SUMPRODUCT(H74:H77,F74:F77)*D74</f>
        <v>8.8124999999999981E-2</v>
      </c>
      <c r="J74" s="1">
        <v>0.41</v>
      </c>
      <c r="K74" s="1">
        <v>0.41</v>
      </c>
      <c r="L74" s="1">
        <v>0.38</v>
      </c>
      <c r="M74" s="1">
        <v>0.33</v>
      </c>
      <c r="N74" s="1">
        <v>0.23</v>
      </c>
    </row>
    <row r="75" spans="1:14" x14ac:dyDescent="0.3">
      <c r="A75" t="s">
        <v>242</v>
      </c>
      <c r="B75" t="s">
        <v>258</v>
      </c>
      <c r="C75" t="s">
        <v>151</v>
      </c>
      <c r="D75" s="1">
        <v>0.15</v>
      </c>
      <c r="E75" t="s">
        <v>262</v>
      </c>
      <c r="F75" s="1">
        <v>0.25</v>
      </c>
      <c r="G75" t="s">
        <v>20</v>
      </c>
      <c r="H75" s="1">
        <v>0.6</v>
      </c>
      <c r="I75" s="1"/>
      <c r="J75" s="1">
        <v>0.41</v>
      </c>
      <c r="K75" s="1">
        <v>0.41</v>
      </c>
      <c r="L75" s="1">
        <v>0.38</v>
      </c>
      <c r="M75" s="1">
        <v>0.33</v>
      </c>
      <c r="N75" s="1">
        <v>0.23</v>
      </c>
    </row>
    <row r="76" spans="1:14" x14ac:dyDescent="0.3">
      <c r="A76" t="s">
        <v>242</v>
      </c>
      <c r="B76" t="s">
        <v>258</v>
      </c>
      <c r="C76" t="s">
        <v>151</v>
      </c>
      <c r="D76" s="1">
        <v>0.15</v>
      </c>
      <c r="E76" t="s">
        <v>210</v>
      </c>
      <c r="F76" s="1">
        <v>0.25</v>
      </c>
      <c r="G76" t="s">
        <v>30</v>
      </c>
      <c r="H76" s="1">
        <v>0.1</v>
      </c>
      <c r="I76" s="1"/>
      <c r="J76" s="1">
        <v>0.41</v>
      </c>
      <c r="K76" s="1">
        <v>0.41</v>
      </c>
      <c r="L76" s="1">
        <v>0.38</v>
      </c>
      <c r="M76" s="1">
        <v>0.33</v>
      </c>
      <c r="N76" s="1">
        <v>0.23</v>
      </c>
    </row>
    <row r="77" spans="1:14" x14ac:dyDescent="0.3">
      <c r="A77" t="s">
        <v>242</v>
      </c>
      <c r="B77" t="s">
        <v>258</v>
      </c>
      <c r="C77" t="s">
        <v>151</v>
      </c>
      <c r="D77" s="1">
        <v>0.15</v>
      </c>
      <c r="E77" t="s">
        <v>53</v>
      </c>
      <c r="F77" s="1">
        <v>0.25</v>
      </c>
      <c r="G77" t="s">
        <v>24</v>
      </c>
      <c r="H77" s="1">
        <v>0.95</v>
      </c>
      <c r="I77" s="1"/>
      <c r="J77" s="1">
        <v>0.41</v>
      </c>
      <c r="K77" s="1">
        <v>0.41</v>
      </c>
      <c r="L77" s="1">
        <v>0.38</v>
      </c>
      <c r="M77" s="1">
        <v>0.33</v>
      </c>
      <c r="N77" s="1">
        <v>0.23</v>
      </c>
    </row>
    <row r="78" spans="1:14" x14ac:dyDescent="0.3">
      <c r="D78" s="1"/>
      <c r="F78" s="1"/>
      <c r="H78" s="1"/>
      <c r="I78" s="2">
        <f>SUM(I54:I77)</f>
        <v>0.59900000000000009</v>
      </c>
      <c r="J78" s="2">
        <f>+J58*$D58+J62*$D62+J66*$D66+J70*$D70+J74*$D74+$D54*J54</f>
        <v>0.45099999999999996</v>
      </c>
      <c r="K78" s="2">
        <f t="shared" ref="K78:N78" si="2">+K58*$D58+K62*$D62+K66*$D66+K70*$D70+K74*$D74+$D54*K54</f>
        <v>0.45099999999999996</v>
      </c>
      <c r="L78" s="2">
        <f t="shared" si="2"/>
        <v>0.41699999999999993</v>
      </c>
      <c r="M78" s="2">
        <f t="shared" si="2"/>
        <v>0.36550000000000005</v>
      </c>
      <c r="N78" s="2">
        <f t="shared" si="2"/>
        <v>0.26300000000000001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242</v>
      </c>
      <c r="B80" t="s">
        <v>263</v>
      </c>
      <c r="C80" t="s">
        <v>141</v>
      </c>
      <c r="D80" s="1">
        <v>0.25</v>
      </c>
      <c r="E80" t="s">
        <v>251</v>
      </c>
      <c r="F80" s="1">
        <v>0.25</v>
      </c>
      <c r="G80" t="s">
        <v>28</v>
      </c>
      <c r="H80" s="1">
        <v>0.7</v>
      </c>
      <c r="I80" s="1">
        <f>SUMPRODUCT(H80:H83,F80:F83)*D80</f>
        <v>0.13</v>
      </c>
      <c r="J80" s="1">
        <v>0.38</v>
      </c>
      <c r="K80" s="1">
        <v>0.38</v>
      </c>
      <c r="L80" s="1">
        <v>0.35</v>
      </c>
      <c r="M80" s="1">
        <v>0.3</v>
      </c>
      <c r="N80" s="1">
        <v>0.21</v>
      </c>
    </row>
    <row r="81" spans="1:14" x14ac:dyDescent="0.3">
      <c r="A81" t="s">
        <v>242</v>
      </c>
      <c r="B81" t="s">
        <v>263</v>
      </c>
      <c r="C81" t="s">
        <v>141</v>
      </c>
      <c r="D81" s="1">
        <v>0.25</v>
      </c>
      <c r="E81" t="s">
        <v>245</v>
      </c>
      <c r="F81" s="1">
        <v>0.35</v>
      </c>
      <c r="G81" t="s">
        <v>30</v>
      </c>
      <c r="H81" s="1">
        <v>0.1</v>
      </c>
      <c r="I81" s="1"/>
      <c r="J81" s="1">
        <v>0.38</v>
      </c>
      <c r="K81" s="1">
        <v>0.38</v>
      </c>
      <c r="L81" s="1">
        <v>0.35</v>
      </c>
      <c r="M81" s="1">
        <v>0.3</v>
      </c>
      <c r="N81" s="1">
        <v>0.21</v>
      </c>
    </row>
    <row r="82" spans="1:14" x14ac:dyDescent="0.3">
      <c r="A82" t="s">
        <v>242</v>
      </c>
      <c r="B82" t="s">
        <v>263</v>
      </c>
      <c r="C82" t="s">
        <v>141</v>
      </c>
      <c r="D82" s="1">
        <v>0.25</v>
      </c>
      <c r="E82" t="s">
        <v>264</v>
      </c>
      <c r="F82" s="1">
        <v>0.2</v>
      </c>
      <c r="G82" t="s">
        <v>20</v>
      </c>
      <c r="H82" s="1">
        <v>0.6</v>
      </c>
      <c r="I82" s="1"/>
      <c r="J82" s="1">
        <v>0.38</v>
      </c>
      <c r="K82" s="1">
        <v>0.38</v>
      </c>
      <c r="L82" s="1">
        <v>0.35</v>
      </c>
      <c r="M82" s="1">
        <v>0.3</v>
      </c>
      <c r="N82" s="1">
        <v>0.21</v>
      </c>
    </row>
    <row r="83" spans="1:14" x14ac:dyDescent="0.3">
      <c r="A83" t="s">
        <v>242</v>
      </c>
      <c r="B83" t="s">
        <v>263</v>
      </c>
      <c r="C83" t="s">
        <v>141</v>
      </c>
      <c r="D83" s="1">
        <v>0.25</v>
      </c>
      <c r="E83" t="s">
        <v>108</v>
      </c>
      <c r="F83" s="1">
        <v>0.2</v>
      </c>
      <c r="G83" t="s">
        <v>24</v>
      </c>
      <c r="H83" s="1">
        <v>0.95</v>
      </c>
      <c r="I83" s="1"/>
      <c r="J83" s="1">
        <v>0.38</v>
      </c>
      <c r="K83" s="1">
        <v>0.38</v>
      </c>
      <c r="L83" s="1">
        <v>0.35</v>
      </c>
      <c r="M83" s="1">
        <v>0.3</v>
      </c>
      <c r="N83" s="1">
        <v>0.21</v>
      </c>
    </row>
    <row r="84" spans="1:14" x14ac:dyDescent="0.3">
      <c r="A84" t="s">
        <v>242</v>
      </c>
      <c r="B84" t="s">
        <v>263</v>
      </c>
      <c r="C84" t="s">
        <v>265</v>
      </c>
      <c r="D84" s="1">
        <v>0.1</v>
      </c>
      <c r="E84" t="s">
        <v>266</v>
      </c>
      <c r="F84" s="1">
        <v>0.3</v>
      </c>
      <c r="G84" t="s">
        <v>73</v>
      </c>
      <c r="H84" s="1">
        <v>0.7</v>
      </c>
      <c r="I84" s="1">
        <f>SUMPRODUCT(H84:H87,F84:F87)*D84</f>
        <v>4.7000000000000007E-2</v>
      </c>
      <c r="J84" s="1">
        <v>0.3</v>
      </c>
      <c r="K84" s="1">
        <v>0.3</v>
      </c>
      <c r="L84" s="1">
        <v>0.27</v>
      </c>
      <c r="M84" s="1">
        <v>0.23</v>
      </c>
      <c r="N84" s="1">
        <v>0.15</v>
      </c>
    </row>
    <row r="85" spans="1:14" x14ac:dyDescent="0.3">
      <c r="A85" t="s">
        <v>242</v>
      </c>
      <c r="B85" t="s">
        <v>263</v>
      </c>
      <c r="C85" t="s">
        <v>265</v>
      </c>
      <c r="D85" s="1">
        <v>0.1</v>
      </c>
      <c r="E85" t="s">
        <v>254</v>
      </c>
      <c r="F85" s="1">
        <v>0.3</v>
      </c>
      <c r="G85" t="s">
        <v>20</v>
      </c>
      <c r="H85" s="1">
        <v>0.6</v>
      </c>
      <c r="I85" s="1"/>
      <c r="J85" s="1">
        <v>0.3</v>
      </c>
      <c r="K85" s="1">
        <v>0.3</v>
      </c>
      <c r="L85" s="1">
        <v>0.27</v>
      </c>
      <c r="M85" s="1">
        <v>0.23</v>
      </c>
      <c r="N85" s="1">
        <v>0.15</v>
      </c>
    </row>
    <row r="86" spans="1:14" x14ac:dyDescent="0.3">
      <c r="A86" t="s">
        <v>242</v>
      </c>
      <c r="B86" t="s">
        <v>263</v>
      </c>
      <c r="C86" t="s">
        <v>265</v>
      </c>
      <c r="D86" s="1">
        <v>0.1</v>
      </c>
      <c r="E86" t="s">
        <v>267</v>
      </c>
      <c r="F86" s="1">
        <v>0.2</v>
      </c>
      <c r="G86" t="s">
        <v>56</v>
      </c>
      <c r="H86" s="1">
        <v>0.3</v>
      </c>
      <c r="I86" s="1"/>
      <c r="J86" s="1">
        <v>0.3</v>
      </c>
      <c r="K86" s="1">
        <v>0.3</v>
      </c>
      <c r="L86" s="1">
        <v>0.27</v>
      </c>
      <c r="M86" s="1">
        <v>0.23</v>
      </c>
      <c r="N86" s="1">
        <v>0.15</v>
      </c>
    </row>
    <row r="87" spans="1:14" x14ac:dyDescent="0.3">
      <c r="A87" t="s">
        <v>242</v>
      </c>
      <c r="B87" t="s">
        <v>263</v>
      </c>
      <c r="C87" t="s">
        <v>265</v>
      </c>
      <c r="D87" s="1">
        <v>0.1</v>
      </c>
      <c r="E87" t="s">
        <v>268</v>
      </c>
      <c r="F87" s="1">
        <v>0.2</v>
      </c>
      <c r="G87" t="s">
        <v>30</v>
      </c>
      <c r="H87" s="1">
        <v>0.1</v>
      </c>
      <c r="I87" s="1"/>
      <c r="J87" s="1">
        <v>0.3</v>
      </c>
      <c r="K87" s="1">
        <v>0.3</v>
      </c>
      <c r="L87" s="1">
        <v>0.27</v>
      </c>
      <c r="M87" s="1">
        <v>0.23</v>
      </c>
      <c r="N87" s="1">
        <v>0.15</v>
      </c>
    </row>
    <row r="88" spans="1:14" x14ac:dyDescent="0.3">
      <c r="A88" t="s">
        <v>242</v>
      </c>
      <c r="B88" t="s">
        <v>263</v>
      </c>
      <c r="C88" t="s">
        <v>16</v>
      </c>
      <c r="D88" s="1">
        <v>0.15</v>
      </c>
      <c r="E88" t="s">
        <v>17</v>
      </c>
      <c r="F88" s="1">
        <v>0.3</v>
      </c>
      <c r="G88" t="s">
        <v>18</v>
      </c>
      <c r="H88" s="1">
        <v>0.9</v>
      </c>
      <c r="I88" s="1">
        <f>SUMPRODUCT(H88:H91,F88:F91)*D88</f>
        <v>0.12412500000000001</v>
      </c>
      <c r="J88" s="1">
        <v>0.62</v>
      </c>
      <c r="K88" s="1">
        <v>0.62</v>
      </c>
      <c r="L88" s="1">
        <v>0.56999999999999995</v>
      </c>
      <c r="M88" s="1">
        <v>0.5</v>
      </c>
      <c r="N88" s="1">
        <v>0.37</v>
      </c>
    </row>
    <row r="89" spans="1:14" x14ac:dyDescent="0.3">
      <c r="A89" t="s">
        <v>242</v>
      </c>
      <c r="B89" t="s">
        <v>263</v>
      </c>
      <c r="C89" t="s">
        <v>16</v>
      </c>
      <c r="D89" s="1">
        <v>0.15</v>
      </c>
      <c r="E89" t="s">
        <v>19</v>
      </c>
      <c r="F89" s="1">
        <v>0.25</v>
      </c>
      <c r="G89" t="s">
        <v>20</v>
      </c>
      <c r="H89" s="1">
        <v>0.6</v>
      </c>
      <c r="I89" s="1"/>
      <c r="J89" s="1">
        <v>0.62</v>
      </c>
      <c r="K89" s="1">
        <v>0.62</v>
      </c>
      <c r="L89" s="1">
        <v>0.56999999999999995</v>
      </c>
      <c r="M89" s="1">
        <v>0.5</v>
      </c>
      <c r="N89" s="1">
        <v>0.37</v>
      </c>
    </row>
    <row r="90" spans="1:14" x14ac:dyDescent="0.3">
      <c r="A90" t="s">
        <v>242</v>
      </c>
      <c r="B90" t="s">
        <v>263</v>
      </c>
      <c r="C90" t="s">
        <v>16</v>
      </c>
      <c r="D90" s="1">
        <v>0.15</v>
      </c>
      <c r="E90" t="s">
        <v>21</v>
      </c>
      <c r="F90" s="1">
        <v>0.2</v>
      </c>
      <c r="G90" t="s">
        <v>22</v>
      </c>
      <c r="H90" s="1">
        <v>0.85</v>
      </c>
      <c r="I90" s="1"/>
      <c r="J90" s="1">
        <v>0.62</v>
      </c>
      <c r="K90" s="1">
        <v>0.62</v>
      </c>
      <c r="L90" s="1">
        <v>0.56999999999999995</v>
      </c>
      <c r="M90" s="1">
        <v>0.5</v>
      </c>
      <c r="N90" s="1">
        <v>0.37</v>
      </c>
    </row>
    <row r="91" spans="1:14" x14ac:dyDescent="0.3">
      <c r="A91" t="s">
        <v>242</v>
      </c>
      <c r="B91" t="s">
        <v>263</v>
      </c>
      <c r="C91" t="s">
        <v>16</v>
      </c>
      <c r="D91" s="1">
        <v>0.15</v>
      </c>
      <c r="E91" t="s">
        <v>23</v>
      </c>
      <c r="F91" s="1">
        <v>0.25</v>
      </c>
      <c r="G91" t="s">
        <v>24</v>
      </c>
      <c r="H91" s="1">
        <v>0.95</v>
      </c>
      <c r="I91" s="1"/>
      <c r="J91" s="1">
        <v>0.62</v>
      </c>
      <c r="K91" s="1">
        <v>0.62</v>
      </c>
      <c r="L91" s="1">
        <v>0.56999999999999995</v>
      </c>
      <c r="M91" s="1">
        <v>0.5</v>
      </c>
      <c r="N91" s="1">
        <v>0.37</v>
      </c>
    </row>
    <row r="92" spans="1:14" x14ac:dyDescent="0.3">
      <c r="A92" t="s">
        <v>242</v>
      </c>
      <c r="B92" t="s">
        <v>263</v>
      </c>
      <c r="C92" t="s">
        <v>25</v>
      </c>
      <c r="D92" s="1">
        <v>0.1</v>
      </c>
      <c r="E92" t="s">
        <v>26</v>
      </c>
      <c r="F92" s="1">
        <v>0.25</v>
      </c>
      <c r="G92" t="s">
        <v>18</v>
      </c>
      <c r="H92" s="1">
        <v>0.9</v>
      </c>
      <c r="I92" s="1">
        <f>SUMPRODUCT(H92:H95,F92:F95)*D92</f>
        <v>6.2000000000000013E-2</v>
      </c>
      <c r="J92" s="1">
        <v>0.42</v>
      </c>
      <c r="K92" s="1">
        <v>0.42</v>
      </c>
      <c r="L92" s="1">
        <v>0.39</v>
      </c>
      <c r="M92" s="1">
        <v>0.34</v>
      </c>
      <c r="N92" s="1">
        <v>0.24</v>
      </c>
    </row>
    <row r="93" spans="1:14" x14ac:dyDescent="0.3">
      <c r="A93" t="s">
        <v>242</v>
      </c>
      <c r="B93" t="s">
        <v>263</v>
      </c>
      <c r="C93" t="s">
        <v>25</v>
      </c>
      <c r="D93" s="1">
        <v>0.1</v>
      </c>
      <c r="E93" t="s">
        <v>27</v>
      </c>
      <c r="F93" s="1">
        <v>0.25</v>
      </c>
      <c r="G93" t="s">
        <v>28</v>
      </c>
      <c r="H93" s="1">
        <v>0.7</v>
      </c>
      <c r="I93" s="1"/>
      <c r="J93" s="1">
        <v>0.42</v>
      </c>
      <c r="K93" s="1">
        <v>0.42</v>
      </c>
      <c r="L93" s="1">
        <v>0.39</v>
      </c>
      <c r="M93" s="1">
        <v>0.34</v>
      </c>
      <c r="N93" s="1">
        <v>0.24</v>
      </c>
    </row>
    <row r="94" spans="1:14" x14ac:dyDescent="0.3">
      <c r="A94" t="s">
        <v>242</v>
      </c>
      <c r="B94" t="s">
        <v>263</v>
      </c>
      <c r="C94" t="s">
        <v>25</v>
      </c>
      <c r="D94" s="1">
        <v>0.1</v>
      </c>
      <c r="E94" t="s">
        <v>29</v>
      </c>
      <c r="F94" s="1">
        <v>0.3</v>
      </c>
      <c r="G94" t="s">
        <v>30</v>
      </c>
      <c r="H94" s="1">
        <v>0.1</v>
      </c>
      <c r="I94" s="1"/>
      <c r="J94" s="1">
        <v>0.42</v>
      </c>
      <c r="K94" s="1">
        <v>0.42</v>
      </c>
      <c r="L94" s="1">
        <v>0.39</v>
      </c>
      <c r="M94" s="1">
        <v>0.34</v>
      </c>
      <c r="N94" s="1">
        <v>0.24</v>
      </c>
    </row>
    <row r="95" spans="1:14" x14ac:dyDescent="0.3">
      <c r="A95" t="s">
        <v>242</v>
      </c>
      <c r="B95" t="s">
        <v>263</v>
      </c>
      <c r="C95" t="s">
        <v>25</v>
      </c>
      <c r="D95" s="1">
        <v>0.1</v>
      </c>
      <c r="E95" t="s">
        <v>31</v>
      </c>
      <c r="F95" s="1">
        <v>0.2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0.34</v>
      </c>
      <c r="N95" s="1">
        <v>0.24</v>
      </c>
    </row>
    <row r="96" spans="1:14" x14ac:dyDescent="0.3">
      <c r="A96" t="s">
        <v>242</v>
      </c>
      <c r="B96" t="s">
        <v>263</v>
      </c>
      <c r="C96" t="s">
        <v>37</v>
      </c>
      <c r="D96" s="1">
        <v>0.1</v>
      </c>
      <c r="E96" t="s">
        <v>38</v>
      </c>
      <c r="F96" s="1">
        <v>0.3</v>
      </c>
      <c r="G96" t="s">
        <v>18</v>
      </c>
      <c r="H96" s="1">
        <v>0.9</v>
      </c>
      <c r="I96" s="1">
        <f>SUMPRODUCT(H96:H99,F96:F99)*D96</f>
        <v>8.1000000000000016E-2</v>
      </c>
      <c r="J96" s="1">
        <v>0.62</v>
      </c>
      <c r="K96" s="1">
        <v>0.62</v>
      </c>
      <c r="L96" s="1">
        <v>0.57999999999999996</v>
      </c>
      <c r="M96" s="1">
        <v>0.51</v>
      </c>
      <c r="N96" s="1">
        <v>0.38</v>
      </c>
    </row>
    <row r="97" spans="1:14" x14ac:dyDescent="0.3">
      <c r="A97" t="s">
        <v>242</v>
      </c>
      <c r="B97" t="s">
        <v>263</v>
      </c>
      <c r="C97" t="s">
        <v>37</v>
      </c>
      <c r="D97" s="1">
        <v>0.1</v>
      </c>
      <c r="E97" t="s">
        <v>39</v>
      </c>
      <c r="F97" s="1">
        <v>0.25</v>
      </c>
      <c r="G97" t="s">
        <v>40</v>
      </c>
      <c r="H97" s="1">
        <v>0.7</v>
      </c>
      <c r="I97" s="1"/>
      <c r="J97" s="1">
        <v>0.62</v>
      </c>
      <c r="K97" s="1">
        <v>0.62</v>
      </c>
      <c r="L97" s="1">
        <v>0.57999999999999996</v>
      </c>
      <c r="M97" s="1">
        <v>0.51</v>
      </c>
      <c r="N97" s="1">
        <v>0.38</v>
      </c>
    </row>
    <row r="98" spans="1:14" x14ac:dyDescent="0.3">
      <c r="A98" t="s">
        <v>242</v>
      </c>
      <c r="B98" t="s">
        <v>263</v>
      </c>
      <c r="C98" t="s">
        <v>37</v>
      </c>
      <c r="D98" s="1">
        <v>0.1</v>
      </c>
      <c r="E98" t="s">
        <v>41</v>
      </c>
      <c r="F98" s="1">
        <v>0.25</v>
      </c>
      <c r="G98" t="s">
        <v>28</v>
      </c>
      <c r="H98" s="1">
        <v>0.7</v>
      </c>
      <c r="I98" s="1"/>
      <c r="J98" s="1">
        <v>0.62</v>
      </c>
      <c r="K98" s="1">
        <v>0.62</v>
      </c>
      <c r="L98" s="1">
        <v>0.57999999999999996</v>
      </c>
      <c r="M98" s="1">
        <v>0.51</v>
      </c>
      <c r="N98" s="1">
        <v>0.38</v>
      </c>
    </row>
    <row r="99" spans="1:14" x14ac:dyDescent="0.3">
      <c r="A99" t="s">
        <v>242</v>
      </c>
      <c r="B99" t="s">
        <v>263</v>
      </c>
      <c r="C99" t="s">
        <v>37</v>
      </c>
      <c r="D99" s="1">
        <v>0.1</v>
      </c>
      <c r="E99" t="s">
        <v>42</v>
      </c>
      <c r="F99" s="1">
        <v>0.2</v>
      </c>
      <c r="G99" t="s">
        <v>24</v>
      </c>
      <c r="H99" s="1">
        <v>0.95</v>
      </c>
      <c r="I99" s="1"/>
      <c r="J99" s="1">
        <v>0.62</v>
      </c>
      <c r="K99" s="1">
        <v>0.62</v>
      </c>
      <c r="L99" s="1">
        <v>0.57999999999999996</v>
      </c>
      <c r="M99" s="1">
        <v>0.51</v>
      </c>
      <c r="N99" s="1">
        <v>0.38</v>
      </c>
    </row>
    <row r="100" spans="1:14" x14ac:dyDescent="0.3">
      <c r="A100" t="s">
        <v>242</v>
      </c>
      <c r="B100" t="s">
        <v>263</v>
      </c>
      <c r="C100" t="s">
        <v>151</v>
      </c>
      <c r="D100" s="1">
        <v>0.3</v>
      </c>
      <c r="E100" t="s">
        <v>123</v>
      </c>
      <c r="F100" s="1">
        <v>0.25</v>
      </c>
      <c r="G100" t="s">
        <v>40</v>
      </c>
      <c r="H100" s="1">
        <v>0.7</v>
      </c>
      <c r="I100" s="1">
        <f>SUMPRODUCT(H100:H103,F100:F103)*D100</f>
        <v>0.17624999999999996</v>
      </c>
      <c r="J100" s="1">
        <v>0.42</v>
      </c>
      <c r="K100" s="1">
        <v>0.42</v>
      </c>
      <c r="L100" s="1">
        <v>0.39</v>
      </c>
      <c r="M100" s="1">
        <v>0.34</v>
      </c>
      <c r="N100" s="1">
        <v>0.24</v>
      </c>
    </row>
    <row r="101" spans="1:14" x14ac:dyDescent="0.3">
      <c r="A101" t="s">
        <v>242</v>
      </c>
      <c r="B101" t="s">
        <v>263</v>
      </c>
      <c r="C101" t="s">
        <v>151</v>
      </c>
      <c r="D101" s="1">
        <v>0.3</v>
      </c>
      <c r="E101" t="s">
        <v>269</v>
      </c>
      <c r="F101" s="1">
        <v>0.25</v>
      </c>
      <c r="G101" t="s">
        <v>20</v>
      </c>
      <c r="H101" s="1">
        <v>0.6</v>
      </c>
      <c r="I101" s="1"/>
      <c r="J101" s="1">
        <v>0.42</v>
      </c>
      <c r="K101" s="1">
        <v>0.42</v>
      </c>
      <c r="L101" s="1">
        <v>0.39</v>
      </c>
      <c r="M101" s="1">
        <v>0.34</v>
      </c>
      <c r="N101" s="1">
        <v>0.24</v>
      </c>
    </row>
    <row r="102" spans="1:14" x14ac:dyDescent="0.3">
      <c r="A102" t="s">
        <v>242</v>
      </c>
      <c r="B102" t="s">
        <v>263</v>
      </c>
      <c r="C102" t="s">
        <v>151</v>
      </c>
      <c r="D102" s="1">
        <v>0.3</v>
      </c>
      <c r="E102" t="s">
        <v>210</v>
      </c>
      <c r="F102" s="1">
        <v>0.25</v>
      </c>
      <c r="G102" t="s">
        <v>30</v>
      </c>
      <c r="H102" s="1">
        <v>0.1</v>
      </c>
      <c r="I102" s="1"/>
      <c r="J102" s="1">
        <v>0.42</v>
      </c>
      <c r="K102" s="1">
        <v>0.42</v>
      </c>
      <c r="L102" s="1">
        <v>0.39</v>
      </c>
      <c r="M102" s="1">
        <v>0.34</v>
      </c>
      <c r="N102" s="1">
        <v>0.24</v>
      </c>
    </row>
    <row r="103" spans="1:14" x14ac:dyDescent="0.3">
      <c r="A103" t="s">
        <v>242</v>
      </c>
      <c r="B103" t="s">
        <v>263</v>
      </c>
      <c r="C103" t="s">
        <v>151</v>
      </c>
      <c r="D103" s="1">
        <v>0.3</v>
      </c>
      <c r="E103" t="s">
        <v>270</v>
      </c>
      <c r="F103" s="1">
        <v>0.25</v>
      </c>
      <c r="G103" t="s">
        <v>24</v>
      </c>
      <c r="H103" s="1">
        <v>0.95</v>
      </c>
      <c r="I103" s="1"/>
      <c r="J103" s="1">
        <v>0.42</v>
      </c>
      <c r="K103" s="1">
        <v>0.42</v>
      </c>
      <c r="L103" s="1">
        <v>0.39</v>
      </c>
      <c r="M103" s="1">
        <v>0.34</v>
      </c>
      <c r="N103" s="1">
        <v>0.24</v>
      </c>
    </row>
    <row r="104" spans="1:14" x14ac:dyDescent="0.3">
      <c r="A104" t="s">
        <v>242</v>
      </c>
      <c r="B104" t="s">
        <v>263</v>
      </c>
      <c r="C104" t="s">
        <v>271</v>
      </c>
      <c r="D104" s="1">
        <v>0.1</v>
      </c>
      <c r="E104" t="s">
        <v>272</v>
      </c>
      <c r="F104" s="1">
        <v>0.3</v>
      </c>
      <c r="G104" t="s">
        <v>56</v>
      </c>
      <c r="H104" s="1">
        <v>0.3</v>
      </c>
      <c r="I104" s="1">
        <f>SUMPRODUCT(H104:H107,F104:F107)*D104</f>
        <v>4.5500000000000006E-2</v>
      </c>
      <c r="J104" s="1">
        <v>0.34</v>
      </c>
      <c r="K104" s="1">
        <v>0.34</v>
      </c>
      <c r="L104" s="1">
        <v>0.31</v>
      </c>
      <c r="M104" s="1">
        <v>0.27</v>
      </c>
      <c r="N104" s="1">
        <v>0.19</v>
      </c>
    </row>
    <row r="105" spans="1:14" x14ac:dyDescent="0.3">
      <c r="A105" t="s">
        <v>242</v>
      </c>
      <c r="B105" t="s">
        <v>263</v>
      </c>
      <c r="C105" t="s">
        <v>271</v>
      </c>
      <c r="D105" s="1">
        <v>0.1</v>
      </c>
      <c r="E105" t="s">
        <v>273</v>
      </c>
      <c r="F105" s="1">
        <v>0.25</v>
      </c>
      <c r="G105" t="s">
        <v>20</v>
      </c>
      <c r="H105" s="1">
        <v>0.6</v>
      </c>
      <c r="I105" s="1"/>
      <c r="J105" s="1">
        <v>0.34</v>
      </c>
      <c r="K105" s="1">
        <v>0.34</v>
      </c>
      <c r="L105" s="1">
        <v>0.31</v>
      </c>
      <c r="M105" s="1">
        <v>0.27</v>
      </c>
      <c r="N105" s="1">
        <v>0.19</v>
      </c>
    </row>
    <row r="106" spans="1:14" x14ac:dyDescent="0.3">
      <c r="A106" t="s">
        <v>242</v>
      </c>
      <c r="B106" t="s">
        <v>263</v>
      </c>
      <c r="C106" t="s">
        <v>271</v>
      </c>
      <c r="D106" s="1">
        <v>0.1</v>
      </c>
      <c r="E106" t="s">
        <v>274</v>
      </c>
      <c r="F106" s="1">
        <v>0.25</v>
      </c>
      <c r="G106" t="s">
        <v>30</v>
      </c>
      <c r="H106" s="1">
        <v>0.1</v>
      </c>
      <c r="I106" s="1"/>
      <c r="J106" s="1">
        <v>0.34</v>
      </c>
      <c r="K106" s="1">
        <v>0.34</v>
      </c>
      <c r="L106" s="1">
        <v>0.31</v>
      </c>
      <c r="M106" s="1">
        <v>0.27</v>
      </c>
      <c r="N106" s="1">
        <v>0.19</v>
      </c>
    </row>
    <row r="107" spans="1:14" x14ac:dyDescent="0.3">
      <c r="A107" t="s">
        <v>242</v>
      </c>
      <c r="B107" t="s">
        <v>263</v>
      </c>
      <c r="C107" t="s">
        <v>271</v>
      </c>
      <c r="D107" s="1">
        <v>0.1</v>
      </c>
      <c r="E107" t="s">
        <v>59</v>
      </c>
      <c r="F107" s="1">
        <v>0.2</v>
      </c>
      <c r="G107" t="s">
        <v>24</v>
      </c>
      <c r="H107" s="1">
        <v>0.95</v>
      </c>
      <c r="I107" s="1"/>
      <c r="J107" s="1">
        <v>0.34</v>
      </c>
      <c r="K107" s="1">
        <v>0.34</v>
      </c>
      <c r="L107" s="1">
        <v>0.31</v>
      </c>
      <c r="M107" s="1">
        <v>0.27</v>
      </c>
      <c r="N107" s="1">
        <v>0.19</v>
      </c>
    </row>
    <row r="108" spans="1:14" x14ac:dyDescent="0.3">
      <c r="D108" s="1"/>
      <c r="F108" s="1"/>
      <c r="H108" s="1"/>
      <c r="I108" s="2">
        <f>SUM(I80:I104)</f>
        <v>0.66587499999999999</v>
      </c>
      <c r="J108" s="2">
        <f>+J88*$D88+J92*$D92+J96*$D96+J100*$D100+J104*$D104+$D84*J84</f>
        <v>0.38700000000000001</v>
      </c>
      <c r="K108" s="2">
        <f t="shared" ref="K108:N108" si="3">+K88*$D88+K92*$D92+K96*$D96+K100*$D100+K104*$D104+$D84*K84</f>
        <v>0.38700000000000001</v>
      </c>
      <c r="L108" s="2">
        <f t="shared" si="3"/>
        <v>0.35750000000000004</v>
      </c>
      <c r="M108" s="2">
        <f t="shared" si="3"/>
        <v>0.31200000000000006</v>
      </c>
      <c r="N108" s="2">
        <f t="shared" si="3"/>
        <v>0.22350000000000003</v>
      </c>
    </row>
    <row r="109" spans="1:14" x14ac:dyDescent="0.3">
      <c r="D109" s="1"/>
      <c r="F109" s="1"/>
      <c r="H109" s="1"/>
      <c r="I109" s="1"/>
      <c r="J109" s="1"/>
      <c r="K109" s="1"/>
      <c r="L109" s="1"/>
      <c r="M109" s="1"/>
      <c r="N109" s="1"/>
    </row>
    <row r="110" spans="1:14" x14ac:dyDescent="0.3">
      <c r="A110" t="s">
        <v>242</v>
      </c>
      <c r="B110" t="s">
        <v>275</v>
      </c>
      <c r="C110" t="s">
        <v>276</v>
      </c>
      <c r="D110" s="1">
        <v>0.3</v>
      </c>
      <c r="E110" t="s">
        <v>277</v>
      </c>
      <c r="F110" s="1">
        <v>0.25</v>
      </c>
      <c r="G110" t="s">
        <v>28</v>
      </c>
      <c r="H110" s="1">
        <v>0.7</v>
      </c>
      <c r="I110" s="1">
        <f>SUMPRODUCT(H110:H113,F110:F113)*D110</f>
        <v>0.18375</v>
      </c>
      <c r="J110" s="1">
        <v>0.52</v>
      </c>
      <c r="K110" s="1">
        <v>0.52</v>
      </c>
      <c r="L110" s="1">
        <v>0.48</v>
      </c>
      <c r="M110" s="1">
        <v>0.42</v>
      </c>
      <c r="N110" s="1">
        <v>0.32</v>
      </c>
    </row>
    <row r="111" spans="1:14" x14ac:dyDescent="0.3">
      <c r="A111" t="s">
        <v>242</v>
      </c>
      <c r="B111" t="s">
        <v>275</v>
      </c>
      <c r="C111" t="s">
        <v>276</v>
      </c>
      <c r="D111" s="1">
        <v>0.3</v>
      </c>
      <c r="E111" t="s">
        <v>278</v>
      </c>
      <c r="F111" s="1">
        <v>0.2</v>
      </c>
      <c r="G111" t="s">
        <v>30</v>
      </c>
      <c r="H111" s="1">
        <v>0.1</v>
      </c>
      <c r="I111" s="1"/>
      <c r="J111" s="1">
        <v>0.52</v>
      </c>
      <c r="K111" s="1">
        <v>0.52</v>
      </c>
      <c r="L111" s="1">
        <v>0.48</v>
      </c>
      <c r="M111" s="1">
        <v>0.42</v>
      </c>
      <c r="N111" s="1">
        <v>0.32</v>
      </c>
    </row>
    <row r="112" spans="1:14" x14ac:dyDescent="0.3">
      <c r="A112" t="s">
        <v>242</v>
      </c>
      <c r="B112" t="s">
        <v>275</v>
      </c>
      <c r="C112" t="s">
        <v>276</v>
      </c>
      <c r="D112" s="1">
        <v>0.3</v>
      </c>
      <c r="E112" t="s">
        <v>279</v>
      </c>
      <c r="F112" s="1">
        <v>0.3</v>
      </c>
      <c r="G112" t="s">
        <v>20</v>
      </c>
      <c r="H112" s="1">
        <v>0.6</v>
      </c>
      <c r="I112" s="1"/>
      <c r="J112" s="1">
        <v>0.52</v>
      </c>
      <c r="K112" s="1">
        <v>0.52</v>
      </c>
      <c r="L112" s="1">
        <v>0.48</v>
      </c>
      <c r="M112" s="1">
        <v>0.42</v>
      </c>
      <c r="N112" s="1">
        <v>0.32</v>
      </c>
    </row>
    <row r="113" spans="1:14" x14ac:dyDescent="0.3">
      <c r="A113" t="s">
        <v>242</v>
      </c>
      <c r="B113" t="s">
        <v>275</v>
      </c>
      <c r="C113" t="s">
        <v>276</v>
      </c>
      <c r="D113" s="1">
        <v>0.3</v>
      </c>
      <c r="E113" t="s">
        <v>280</v>
      </c>
      <c r="F113" s="1">
        <v>0.25</v>
      </c>
      <c r="G113" t="s">
        <v>24</v>
      </c>
      <c r="H113" s="1">
        <v>0.95</v>
      </c>
      <c r="I113" s="1"/>
      <c r="J113" s="1">
        <v>0.52</v>
      </c>
      <c r="K113" s="1">
        <v>0.52</v>
      </c>
      <c r="L113" s="1">
        <v>0.48</v>
      </c>
      <c r="M113" s="1">
        <v>0.42</v>
      </c>
      <c r="N113" s="1">
        <v>0.32</v>
      </c>
    </row>
    <row r="114" spans="1:14" x14ac:dyDescent="0.3">
      <c r="A114" t="s">
        <v>242</v>
      </c>
      <c r="B114" t="s">
        <v>275</v>
      </c>
      <c r="C114" t="s">
        <v>281</v>
      </c>
      <c r="D114" s="1">
        <v>0.2</v>
      </c>
      <c r="E114" t="s">
        <v>72</v>
      </c>
      <c r="F114" s="1">
        <v>0.3</v>
      </c>
      <c r="G114" t="s">
        <v>73</v>
      </c>
      <c r="H114" s="1">
        <v>0.7</v>
      </c>
      <c r="I114" s="1">
        <f>SUMPRODUCT(H114:H117,F114:F117)*D114</f>
        <v>0.14399999999999999</v>
      </c>
      <c r="J114" s="1">
        <v>0.45</v>
      </c>
      <c r="K114" s="1">
        <v>0.45</v>
      </c>
      <c r="L114" s="1">
        <v>0.41</v>
      </c>
      <c r="M114" s="1">
        <v>0.36</v>
      </c>
      <c r="N114" s="1">
        <v>0.26</v>
      </c>
    </row>
    <row r="115" spans="1:14" x14ac:dyDescent="0.3">
      <c r="A115" t="s">
        <v>242</v>
      </c>
      <c r="B115" t="s">
        <v>275</v>
      </c>
      <c r="C115" t="s">
        <v>281</v>
      </c>
      <c r="D115" s="1">
        <v>0.2</v>
      </c>
      <c r="E115" t="s">
        <v>282</v>
      </c>
      <c r="F115" s="1">
        <v>0.3</v>
      </c>
      <c r="G115" t="s">
        <v>20</v>
      </c>
      <c r="H115" s="1">
        <v>0.6</v>
      </c>
      <c r="I115" s="1"/>
      <c r="J115" s="1">
        <v>0.45</v>
      </c>
      <c r="K115" s="1">
        <v>0.45</v>
      </c>
      <c r="L115" s="1">
        <v>0.41</v>
      </c>
      <c r="M115" s="1">
        <v>0.36</v>
      </c>
      <c r="N115" s="1">
        <v>0.26</v>
      </c>
    </row>
    <row r="116" spans="1:14" x14ac:dyDescent="0.3">
      <c r="A116" t="s">
        <v>242</v>
      </c>
      <c r="B116" t="s">
        <v>275</v>
      </c>
      <c r="C116" t="s">
        <v>281</v>
      </c>
      <c r="D116" s="1">
        <v>0.2</v>
      </c>
      <c r="E116" t="s">
        <v>283</v>
      </c>
      <c r="F116" s="1">
        <v>0.2</v>
      </c>
      <c r="G116" t="s">
        <v>28</v>
      </c>
      <c r="H116" s="1">
        <v>0.7</v>
      </c>
      <c r="I116" s="1"/>
      <c r="J116" s="1">
        <v>0.45</v>
      </c>
      <c r="K116" s="1">
        <v>0.45</v>
      </c>
      <c r="L116" s="1">
        <v>0.41</v>
      </c>
      <c r="M116" s="1">
        <v>0.36</v>
      </c>
      <c r="N116" s="1">
        <v>0.26</v>
      </c>
    </row>
    <row r="117" spans="1:14" x14ac:dyDescent="0.3">
      <c r="A117" t="s">
        <v>242</v>
      </c>
      <c r="B117" t="s">
        <v>275</v>
      </c>
      <c r="C117" t="s">
        <v>281</v>
      </c>
      <c r="D117" s="1">
        <v>0.2</v>
      </c>
      <c r="E117" t="s">
        <v>284</v>
      </c>
      <c r="F117" s="1">
        <v>0.2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0.41</v>
      </c>
      <c r="M117" s="1">
        <v>0.36</v>
      </c>
      <c r="N117" s="1">
        <v>0.26</v>
      </c>
    </row>
    <row r="118" spans="1:14" x14ac:dyDescent="0.3">
      <c r="A118" t="s">
        <v>242</v>
      </c>
      <c r="B118" t="s">
        <v>275</v>
      </c>
      <c r="C118" t="s">
        <v>16</v>
      </c>
      <c r="D118" s="1">
        <v>0.15</v>
      </c>
      <c r="E118" t="s">
        <v>17</v>
      </c>
      <c r="F118" s="1">
        <v>0.3</v>
      </c>
      <c r="G118" t="s">
        <v>18</v>
      </c>
      <c r="H118" s="1">
        <v>0.9</v>
      </c>
      <c r="I118" s="1">
        <f>SUMPRODUCT(H118:H121,F118:F121)*D118</f>
        <v>0.12412500000000001</v>
      </c>
      <c r="J118" s="1">
        <v>0.63</v>
      </c>
      <c r="K118" s="1">
        <v>0.63</v>
      </c>
      <c r="L118" s="1">
        <v>0.57999999999999996</v>
      </c>
      <c r="M118" s="1">
        <v>0.52</v>
      </c>
      <c r="N118" s="1">
        <v>0.41</v>
      </c>
    </row>
    <row r="119" spans="1:14" x14ac:dyDescent="0.3">
      <c r="A119" t="s">
        <v>242</v>
      </c>
      <c r="B119" t="s">
        <v>275</v>
      </c>
      <c r="C119" t="s">
        <v>16</v>
      </c>
      <c r="D119" s="1">
        <v>0.15</v>
      </c>
      <c r="E119" t="s">
        <v>19</v>
      </c>
      <c r="F119" s="1">
        <v>0.25</v>
      </c>
      <c r="G119" t="s">
        <v>20</v>
      </c>
      <c r="H119" s="1">
        <v>0.6</v>
      </c>
      <c r="I119" s="1"/>
      <c r="J119" s="1">
        <v>0.63</v>
      </c>
      <c r="K119" s="1">
        <v>0.63</v>
      </c>
      <c r="L119" s="1">
        <v>0.57999999999999996</v>
      </c>
      <c r="M119" s="1">
        <v>0.52</v>
      </c>
      <c r="N119" s="1">
        <v>0.41</v>
      </c>
    </row>
    <row r="120" spans="1:14" x14ac:dyDescent="0.3">
      <c r="A120" t="s">
        <v>242</v>
      </c>
      <c r="B120" t="s">
        <v>275</v>
      </c>
      <c r="C120" t="s">
        <v>16</v>
      </c>
      <c r="D120" s="1">
        <v>0.15</v>
      </c>
      <c r="E120" t="s">
        <v>21</v>
      </c>
      <c r="F120" s="1">
        <v>0.2</v>
      </c>
      <c r="G120" t="s">
        <v>22</v>
      </c>
      <c r="H120" s="1">
        <v>0.85</v>
      </c>
      <c r="I120" s="1"/>
      <c r="J120" s="1">
        <v>0.63</v>
      </c>
      <c r="K120" s="1">
        <v>0.63</v>
      </c>
      <c r="L120" s="1">
        <v>0.57999999999999996</v>
      </c>
      <c r="M120" s="1">
        <v>0.52</v>
      </c>
      <c r="N120" s="1">
        <v>0.41</v>
      </c>
    </row>
    <row r="121" spans="1:14" x14ac:dyDescent="0.3">
      <c r="A121" t="s">
        <v>242</v>
      </c>
      <c r="B121" t="s">
        <v>275</v>
      </c>
      <c r="C121" t="s">
        <v>16</v>
      </c>
      <c r="D121" s="1">
        <v>0.15</v>
      </c>
      <c r="E121" t="s">
        <v>23</v>
      </c>
      <c r="F121" s="1">
        <v>0.25</v>
      </c>
      <c r="G121" t="s">
        <v>24</v>
      </c>
      <c r="H121" s="1">
        <v>0.95</v>
      </c>
      <c r="I121" s="1"/>
      <c r="J121" s="1">
        <v>0.63</v>
      </c>
      <c r="K121" s="1">
        <v>0.63</v>
      </c>
      <c r="L121" s="1">
        <v>0.57999999999999996</v>
      </c>
      <c r="M121" s="1">
        <v>0.52</v>
      </c>
      <c r="N121" s="1">
        <v>0.41</v>
      </c>
    </row>
    <row r="122" spans="1:14" x14ac:dyDescent="0.3">
      <c r="A122" t="s">
        <v>242</v>
      </c>
      <c r="B122" t="s">
        <v>275</v>
      </c>
      <c r="C122" t="s">
        <v>25</v>
      </c>
      <c r="D122" s="1">
        <v>0.15</v>
      </c>
      <c r="E122" t="s">
        <v>26</v>
      </c>
      <c r="F122" s="1">
        <v>0.25</v>
      </c>
      <c r="G122" t="s">
        <v>18</v>
      </c>
      <c r="H122" s="1">
        <v>0.9</v>
      </c>
      <c r="I122" s="1">
        <f>SUMPRODUCT(H122:H125,F122:F125)*D122</f>
        <v>9.3000000000000013E-2</v>
      </c>
      <c r="J122" s="1">
        <v>0.41</v>
      </c>
      <c r="K122" s="1">
        <v>0.41</v>
      </c>
      <c r="L122" s="1">
        <v>0.38</v>
      </c>
      <c r="M122" s="1">
        <v>0.33</v>
      </c>
      <c r="N122" s="1">
        <v>0.24</v>
      </c>
    </row>
    <row r="123" spans="1:14" x14ac:dyDescent="0.3">
      <c r="A123" t="s">
        <v>242</v>
      </c>
      <c r="B123" t="s">
        <v>275</v>
      </c>
      <c r="C123" t="s">
        <v>25</v>
      </c>
      <c r="D123" s="1">
        <v>0.15</v>
      </c>
      <c r="E123" t="s">
        <v>285</v>
      </c>
      <c r="F123" s="1">
        <v>0.25</v>
      </c>
      <c r="G123" t="s">
        <v>28</v>
      </c>
      <c r="H123" s="1">
        <v>0.7</v>
      </c>
      <c r="I123" s="1"/>
      <c r="J123" s="1">
        <v>0.41</v>
      </c>
      <c r="K123" s="1">
        <v>0.41</v>
      </c>
      <c r="L123" s="1">
        <v>0.38</v>
      </c>
      <c r="M123" s="1">
        <v>0.33</v>
      </c>
      <c r="N123" s="1">
        <v>0.24</v>
      </c>
    </row>
    <row r="124" spans="1:14" x14ac:dyDescent="0.3">
      <c r="A124" t="s">
        <v>242</v>
      </c>
      <c r="B124" t="s">
        <v>275</v>
      </c>
      <c r="C124" t="s">
        <v>25</v>
      </c>
      <c r="D124" s="1">
        <v>0.15</v>
      </c>
      <c r="E124" t="s">
        <v>29</v>
      </c>
      <c r="F124" s="1">
        <v>0.3</v>
      </c>
      <c r="G124" t="s">
        <v>30</v>
      </c>
      <c r="H124" s="1">
        <v>0.1</v>
      </c>
      <c r="I124" s="1"/>
      <c r="J124" s="1">
        <v>0.41</v>
      </c>
      <c r="K124" s="1">
        <v>0.41</v>
      </c>
      <c r="L124" s="1">
        <v>0.38</v>
      </c>
      <c r="M124" s="1">
        <v>0.33</v>
      </c>
      <c r="N124" s="1">
        <v>0.24</v>
      </c>
    </row>
    <row r="125" spans="1:14" x14ac:dyDescent="0.3">
      <c r="A125" t="s">
        <v>242</v>
      </c>
      <c r="B125" t="s">
        <v>275</v>
      </c>
      <c r="C125" t="s">
        <v>25</v>
      </c>
      <c r="D125" s="1">
        <v>0.15</v>
      </c>
      <c r="E125" t="s">
        <v>31</v>
      </c>
      <c r="F125" s="1">
        <v>0.2</v>
      </c>
      <c r="G125" t="s">
        <v>24</v>
      </c>
      <c r="H125" s="1">
        <v>0.95</v>
      </c>
      <c r="I125" s="1"/>
      <c r="J125" s="1">
        <v>0.41</v>
      </c>
      <c r="K125" s="1">
        <v>0.41</v>
      </c>
      <c r="L125" s="1">
        <v>0.38</v>
      </c>
      <c r="M125" s="1">
        <v>0.33</v>
      </c>
      <c r="N125" s="1">
        <v>0.24</v>
      </c>
    </row>
    <row r="126" spans="1:14" x14ac:dyDescent="0.3">
      <c r="A126" t="s">
        <v>242</v>
      </c>
      <c r="B126" t="s">
        <v>275</v>
      </c>
      <c r="C126" t="s">
        <v>37</v>
      </c>
      <c r="D126" s="1">
        <v>0.1</v>
      </c>
      <c r="E126" t="s">
        <v>286</v>
      </c>
      <c r="F126" s="1">
        <v>0.3</v>
      </c>
      <c r="G126" t="s">
        <v>18</v>
      </c>
      <c r="H126" s="1">
        <v>0.9</v>
      </c>
      <c r="I126" s="1">
        <f>SUMPRODUCT(H126:H129,F126:F129)*D126</f>
        <v>8.1000000000000016E-2</v>
      </c>
      <c r="J126" s="1">
        <v>0.64</v>
      </c>
      <c r="K126" s="1">
        <v>0.64</v>
      </c>
      <c r="L126" s="1">
        <v>0.6</v>
      </c>
      <c r="M126" s="1">
        <v>0.54</v>
      </c>
      <c r="N126" s="1">
        <v>0.43</v>
      </c>
    </row>
    <row r="127" spans="1:14" x14ac:dyDescent="0.3">
      <c r="A127" t="s">
        <v>242</v>
      </c>
      <c r="B127" t="s">
        <v>275</v>
      </c>
      <c r="C127" t="s">
        <v>37</v>
      </c>
      <c r="D127" s="1">
        <v>0.1</v>
      </c>
      <c r="E127" t="s">
        <v>207</v>
      </c>
      <c r="F127" s="1">
        <v>0.25</v>
      </c>
      <c r="G127" t="s">
        <v>40</v>
      </c>
      <c r="H127" s="1">
        <v>0.7</v>
      </c>
      <c r="I127" s="1"/>
      <c r="J127" s="1">
        <v>0.64</v>
      </c>
      <c r="K127" s="1">
        <v>0.64</v>
      </c>
      <c r="L127" s="1">
        <v>0.6</v>
      </c>
      <c r="M127" s="1">
        <v>0.54</v>
      </c>
      <c r="N127" s="1">
        <v>0.43</v>
      </c>
    </row>
    <row r="128" spans="1:14" x14ac:dyDescent="0.3">
      <c r="A128" t="s">
        <v>242</v>
      </c>
      <c r="B128" t="s">
        <v>275</v>
      </c>
      <c r="C128" t="s">
        <v>37</v>
      </c>
      <c r="D128" s="1">
        <v>0.1</v>
      </c>
      <c r="E128" t="s">
        <v>41</v>
      </c>
      <c r="F128" s="1">
        <v>0.25</v>
      </c>
      <c r="G128" t="s">
        <v>28</v>
      </c>
      <c r="H128" s="1">
        <v>0.7</v>
      </c>
      <c r="I128" s="1"/>
      <c r="J128" s="1">
        <v>0.64</v>
      </c>
      <c r="K128" s="1">
        <v>0.64</v>
      </c>
      <c r="L128" s="1">
        <v>0.6</v>
      </c>
      <c r="M128" s="1">
        <v>0.54</v>
      </c>
      <c r="N128" s="1">
        <v>0.43</v>
      </c>
    </row>
    <row r="129" spans="1:14" x14ac:dyDescent="0.3">
      <c r="A129" t="s">
        <v>242</v>
      </c>
      <c r="B129" t="s">
        <v>275</v>
      </c>
      <c r="C129" t="s">
        <v>37</v>
      </c>
      <c r="D129" s="1">
        <v>0.1</v>
      </c>
      <c r="E129" t="s">
        <v>42</v>
      </c>
      <c r="F129" s="1">
        <v>0.2</v>
      </c>
      <c r="G129" t="s">
        <v>24</v>
      </c>
      <c r="H129" s="1">
        <v>0.95</v>
      </c>
      <c r="I129" s="1"/>
      <c r="J129" s="1">
        <v>0.64</v>
      </c>
      <c r="K129" s="1">
        <v>0.64</v>
      </c>
      <c r="L129" s="1">
        <v>0.6</v>
      </c>
      <c r="M129" s="1">
        <v>0.54</v>
      </c>
      <c r="N129" s="1">
        <v>0.43</v>
      </c>
    </row>
    <row r="130" spans="1:14" x14ac:dyDescent="0.3">
      <c r="A130" t="s">
        <v>242</v>
      </c>
      <c r="B130" t="s">
        <v>275</v>
      </c>
      <c r="C130" t="s">
        <v>136</v>
      </c>
      <c r="D130" s="1">
        <v>0.1</v>
      </c>
      <c r="E130" t="s">
        <v>287</v>
      </c>
      <c r="F130" s="1">
        <v>0.25</v>
      </c>
      <c r="G130" t="s">
        <v>40</v>
      </c>
      <c r="H130" s="1">
        <v>0.7</v>
      </c>
      <c r="I130" s="1">
        <f>SUMPRODUCT(H130:H133,F130:F133)*D130</f>
        <v>5.8749999999999997E-2</v>
      </c>
      <c r="J130" s="1">
        <v>0.41</v>
      </c>
      <c r="K130" s="1">
        <v>0.41</v>
      </c>
      <c r="L130" s="1">
        <v>0.38</v>
      </c>
      <c r="M130" s="1">
        <v>0.33</v>
      </c>
      <c r="N130" s="1">
        <v>0.24</v>
      </c>
    </row>
    <row r="131" spans="1:14" x14ac:dyDescent="0.3">
      <c r="A131" t="s">
        <v>242</v>
      </c>
      <c r="B131" t="s">
        <v>275</v>
      </c>
      <c r="C131" t="s">
        <v>136</v>
      </c>
      <c r="D131" s="1">
        <v>0.1</v>
      </c>
      <c r="E131" t="s">
        <v>249</v>
      </c>
      <c r="F131" s="1">
        <v>0.25</v>
      </c>
      <c r="G131" t="s">
        <v>20</v>
      </c>
      <c r="H131" s="1">
        <v>0.6</v>
      </c>
      <c r="I131" s="1"/>
      <c r="J131" s="1">
        <v>0.41</v>
      </c>
      <c r="K131" s="1">
        <v>0.41</v>
      </c>
      <c r="L131" s="1">
        <v>0.38</v>
      </c>
      <c r="M131" s="1">
        <v>0.33</v>
      </c>
      <c r="N131" s="1">
        <v>0.24</v>
      </c>
    </row>
    <row r="132" spans="1:14" x14ac:dyDescent="0.3">
      <c r="A132" t="s">
        <v>242</v>
      </c>
      <c r="B132" t="s">
        <v>275</v>
      </c>
      <c r="C132" t="s">
        <v>136</v>
      </c>
      <c r="D132" s="1">
        <v>0.1</v>
      </c>
      <c r="E132" t="s">
        <v>124</v>
      </c>
      <c r="F132" s="1">
        <v>0.25</v>
      </c>
      <c r="G132" t="s">
        <v>30</v>
      </c>
      <c r="H132" s="1">
        <v>0.1</v>
      </c>
      <c r="I132" s="1"/>
      <c r="J132" s="1">
        <v>0.41</v>
      </c>
      <c r="K132" s="1">
        <v>0.41</v>
      </c>
      <c r="L132" s="1">
        <v>0.38</v>
      </c>
      <c r="M132" s="1">
        <v>0.33</v>
      </c>
      <c r="N132" s="1">
        <v>0.24</v>
      </c>
    </row>
    <row r="133" spans="1:14" x14ac:dyDescent="0.3">
      <c r="A133" t="s">
        <v>242</v>
      </c>
      <c r="B133" t="s">
        <v>275</v>
      </c>
      <c r="C133" t="s">
        <v>136</v>
      </c>
      <c r="D133" s="1">
        <v>0.1</v>
      </c>
      <c r="E133" t="s">
        <v>53</v>
      </c>
      <c r="F133" s="1">
        <v>0.25</v>
      </c>
      <c r="G133" t="s">
        <v>24</v>
      </c>
      <c r="H133" s="1">
        <v>0.95</v>
      </c>
      <c r="I133" s="1"/>
      <c r="J133" s="1">
        <v>0.41</v>
      </c>
      <c r="K133" s="1">
        <v>0.41</v>
      </c>
      <c r="L133" s="1">
        <v>0.38</v>
      </c>
      <c r="M133" s="1">
        <v>0.33</v>
      </c>
      <c r="N133" s="1">
        <v>0.24</v>
      </c>
    </row>
    <row r="134" spans="1:14" x14ac:dyDescent="0.3">
      <c r="A134" t="s">
        <v>242</v>
      </c>
      <c r="B134" t="s">
        <v>275</v>
      </c>
      <c r="C134" t="s">
        <v>271</v>
      </c>
      <c r="D134" s="1">
        <v>0.1</v>
      </c>
      <c r="E134" t="s">
        <v>288</v>
      </c>
      <c r="F134" s="1">
        <v>0.3</v>
      </c>
      <c r="G134" t="s">
        <v>56</v>
      </c>
      <c r="H134" s="1">
        <v>0.3</v>
      </c>
      <c r="I134" s="1">
        <f>SUMPRODUCT(H134:H137,F134:F137)*D134</f>
        <v>4.5500000000000006E-2</v>
      </c>
      <c r="J134" s="1">
        <v>0.34</v>
      </c>
      <c r="K134" s="1">
        <v>0.34</v>
      </c>
      <c r="L134" s="1">
        <v>0.31</v>
      </c>
      <c r="M134" s="1">
        <v>0.27</v>
      </c>
      <c r="N134" s="1">
        <v>0.2</v>
      </c>
    </row>
    <row r="135" spans="1:14" x14ac:dyDescent="0.3">
      <c r="A135" t="s">
        <v>242</v>
      </c>
      <c r="B135" t="s">
        <v>275</v>
      </c>
      <c r="C135" t="s">
        <v>271</v>
      </c>
      <c r="D135" s="1">
        <v>0.1</v>
      </c>
      <c r="E135" t="s">
        <v>289</v>
      </c>
      <c r="F135" s="1">
        <v>0.25</v>
      </c>
      <c r="G135" t="s">
        <v>20</v>
      </c>
      <c r="H135" s="1">
        <v>0.6</v>
      </c>
      <c r="I135" s="1"/>
      <c r="J135" s="1">
        <v>0.34</v>
      </c>
      <c r="K135" s="1">
        <v>0.34</v>
      </c>
      <c r="L135" s="1">
        <v>0.31</v>
      </c>
      <c r="M135" s="1">
        <v>0.27</v>
      </c>
      <c r="N135" s="1">
        <v>0.2</v>
      </c>
    </row>
    <row r="136" spans="1:14" x14ac:dyDescent="0.3">
      <c r="A136" t="s">
        <v>242</v>
      </c>
      <c r="B136" t="s">
        <v>275</v>
      </c>
      <c r="C136" t="s">
        <v>271</v>
      </c>
      <c r="D136" s="1">
        <v>0.1</v>
      </c>
      <c r="E136" t="s">
        <v>290</v>
      </c>
      <c r="F136" s="1">
        <v>0.25</v>
      </c>
      <c r="G136" t="s">
        <v>30</v>
      </c>
      <c r="H136" s="1">
        <v>0.1</v>
      </c>
      <c r="I136" s="1"/>
      <c r="J136" s="1">
        <v>0.34</v>
      </c>
      <c r="K136" s="1">
        <v>0.34</v>
      </c>
      <c r="L136" s="1">
        <v>0.31</v>
      </c>
      <c r="M136" s="1">
        <v>0.27</v>
      </c>
      <c r="N136" s="1">
        <v>0.2</v>
      </c>
    </row>
    <row r="137" spans="1:14" x14ac:dyDescent="0.3">
      <c r="A137" t="s">
        <v>242</v>
      </c>
      <c r="B137" t="s">
        <v>275</v>
      </c>
      <c r="C137" t="s">
        <v>271</v>
      </c>
      <c r="D137" s="1">
        <v>0.1</v>
      </c>
      <c r="E137" t="s">
        <v>59</v>
      </c>
      <c r="F137" s="1">
        <v>0.2</v>
      </c>
      <c r="G137" t="s">
        <v>24</v>
      </c>
      <c r="H137" s="1">
        <v>0.95</v>
      </c>
      <c r="I137" s="1"/>
      <c r="J137" s="1">
        <v>0.34</v>
      </c>
      <c r="K137" s="1">
        <v>0.34</v>
      </c>
      <c r="L137" s="1">
        <v>0.31</v>
      </c>
      <c r="M137" s="1">
        <v>0.27</v>
      </c>
      <c r="N137" s="1">
        <v>0.2</v>
      </c>
    </row>
    <row r="138" spans="1:14" x14ac:dyDescent="0.3">
      <c r="D138" s="1"/>
      <c r="F138" s="1"/>
      <c r="H138" s="1"/>
      <c r="I138" s="2">
        <f>SUM(I110:I134)</f>
        <v>0.73012499999999991</v>
      </c>
      <c r="J138" s="2">
        <f>+J118*$D118+J122*$D122+J126*$D126+J130*$D130+J134*$D134+$D114*J114</f>
        <v>0.38500000000000006</v>
      </c>
      <c r="K138" s="2">
        <f t="shared" ref="K138:N138" si="4">+K118*$D118+K122*$D122+K126*$D126+K130*$D130+K134*$D134+$D114*K114</f>
        <v>0.38500000000000006</v>
      </c>
      <c r="L138" s="2">
        <f t="shared" si="4"/>
        <v>0.35500000000000004</v>
      </c>
      <c r="M138" s="2">
        <f t="shared" si="4"/>
        <v>0.3135</v>
      </c>
      <c r="N138" s="2">
        <f t="shared" si="4"/>
        <v>0.23649999999999999</v>
      </c>
    </row>
    <row r="139" spans="1:14" x14ac:dyDescent="0.3">
      <c r="D139" s="1"/>
      <c r="F139" s="1"/>
      <c r="H139" s="1"/>
      <c r="I139" s="1"/>
      <c r="J139" s="1"/>
      <c r="K139" s="1"/>
      <c r="L139" s="1"/>
      <c r="M139" s="1"/>
      <c r="N139" s="1"/>
    </row>
    <row r="140" spans="1:14" x14ac:dyDescent="0.3">
      <c r="A140" t="s">
        <v>242</v>
      </c>
      <c r="B140" t="s">
        <v>291</v>
      </c>
      <c r="C140" t="s">
        <v>105</v>
      </c>
      <c r="D140" s="1">
        <v>0.3</v>
      </c>
      <c r="E140" t="s">
        <v>292</v>
      </c>
      <c r="F140" s="1">
        <v>0.25</v>
      </c>
      <c r="G140" t="s">
        <v>28</v>
      </c>
      <c r="H140" s="1">
        <v>0.7</v>
      </c>
      <c r="I140" s="1">
        <f>SUMPRODUCT(H140:H143,F140:F143)*D140</f>
        <v>0.156</v>
      </c>
      <c r="J140" s="1">
        <v>0.39</v>
      </c>
      <c r="K140" s="1">
        <v>0.39</v>
      </c>
      <c r="L140" s="1">
        <v>0.36</v>
      </c>
      <c r="M140" s="1">
        <v>0.31</v>
      </c>
      <c r="N140" s="1">
        <v>0.23</v>
      </c>
    </row>
    <row r="141" spans="1:14" x14ac:dyDescent="0.3">
      <c r="A141" t="s">
        <v>242</v>
      </c>
      <c r="B141" t="s">
        <v>291</v>
      </c>
      <c r="C141" t="s">
        <v>105</v>
      </c>
      <c r="D141" s="1">
        <v>0.3</v>
      </c>
      <c r="E141" t="s">
        <v>293</v>
      </c>
      <c r="F141" s="1">
        <v>0.35</v>
      </c>
      <c r="G141" t="s">
        <v>30</v>
      </c>
      <c r="H141" s="1">
        <v>0.1</v>
      </c>
      <c r="I141" s="1"/>
      <c r="J141" s="1">
        <v>0.39</v>
      </c>
      <c r="K141" s="1">
        <v>0.39</v>
      </c>
      <c r="L141" s="1">
        <v>0.36</v>
      </c>
      <c r="M141" s="1">
        <v>0.31</v>
      </c>
      <c r="N141" s="1">
        <v>0.23</v>
      </c>
    </row>
    <row r="142" spans="1:14" x14ac:dyDescent="0.3">
      <c r="A142" t="s">
        <v>242</v>
      </c>
      <c r="B142" t="s">
        <v>291</v>
      </c>
      <c r="C142" t="s">
        <v>105</v>
      </c>
      <c r="D142" s="1">
        <v>0.3</v>
      </c>
      <c r="E142" t="s">
        <v>144</v>
      </c>
      <c r="F142" s="1">
        <v>0.2</v>
      </c>
      <c r="G142" t="s">
        <v>20</v>
      </c>
      <c r="H142" s="1">
        <v>0.6</v>
      </c>
      <c r="I142" s="1"/>
      <c r="J142" s="1">
        <v>0.39</v>
      </c>
      <c r="K142" s="1">
        <v>0.39</v>
      </c>
      <c r="L142" s="1">
        <v>0.36</v>
      </c>
      <c r="M142" s="1">
        <v>0.31</v>
      </c>
      <c r="N142" s="1">
        <v>0.23</v>
      </c>
    </row>
    <row r="143" spans="1:14" x14ac:dyDescent="0.3">
      <c r="A143" t="s">
        <v>242</v>
      </c>
      <c r="B143" t="s">
        <v>291</v>
      </c>
      <c r="C143" t="s">
        <v>105</v>
      </c>
      <c r="D143" s="1">
        <v>0.3</v>
      </c>
      <c r="E143" t="s">
        <v>108</v>
      </c>
      <c r="F143" s="1">
        <v>0.2</v>
      </c>
      <c r="G143" t="s">
        <v>24</v>
      </c>
      <c r="H143" s="1">
        <v>0.95</v>
      </c>
      <c r="I143" s="1"/>
      <c r="J143" s="1">
        <v>0.39</v>
      </c>
      <c r="K143" s="1">
        <v>0.39</v>
      </c>
      <c r="L143" s="1">
        <v>0.36</v>
      </c>
      <c r="M143" s="1">
        <v>0.31</v>
      </c>
      <c r="N143" s="1">
        <v>0.23</v>
      </c>
    </row>
    <row r="144" spans="1:14" x14ac:dyDescent="0.3">
      <c r="A144" t="s">
        <v>242</v>
      </c>
      <c r="B144" t="s">
        <v>291</v>
      </c>
      <c r="C144" t="s">
        <v>294</v>
      </c>
      <c r="D144" s="1">
        <v>0.2</v>
      </c>
      <c r="E144" t="s">
        <v>295</v>
      </c>
      <c r="F144" s="1">
        <v>0.35</v>
      </c>
      <c r="G144" t="s">
        <v>18</v>
      </c>
      <c r="H144" s="1">
        <v>0.9</v>
      </c>
      <c r="I144" s="1">
        <f>SUMPRODUCT(H144:H147,F144:F147)*D144</f>
        <v>0.17000000000000004</v>
      </c>
      <c r="J144" s="1">
        <v>0.61</v>
      </c>
      <c r="K144" s="1">
        <v>0.61</v>
      </c>
      <c r="L144" s="1">
        <v>0.56000000000000005</v>
      </c>
      <c r="M144" s="1">
        <v>0.49</v>
      </c>
      <c r="N144" s="1">
        <v>0.37</v>
      </c>
    </row>
    <row r="145" spans="1:14" x14ac:dyDescent="0.3">
      <c r="A145" t="s">
        <v>242</v>
      </c>
      <c r="B145" t="s">
        <v>291</v>
      </c>
      <c r="C145" t="s">
        <v>294</v>
      </c>
      <c r="D145" s="1">
        <v>0.2</v>
      </c>
      <c r="E145" t="s">
        <v>296</v>
      </c>
      <c r="F145" s="1">
        <v>0.25</v>
      </c>
      <c r="G145" t="s">
        <v>18</v>
      </c>
      <c r="H145" s="1">
        <v>0.9</v>
      </c>
      <c r="I145" s="1"/>
      <c r="J145" s="1">
        <v>0.61</v>
      </c>
      <c r="K145" s="1">
        <v>0.61</v>
      </c>
      <c r="L145" s="1">
        <v>0.56000000000000005</v>
      </c>
      <c r="M145" s="1">
        <v>0.49</v>
      </c>
      <c r="N145" s="1">
        <v>0.37</v>
      </c>
    </row>
    <row r="146" spans="1:14" x14ac:dyDescent="0.3">
      <c r="A146" t="s">
        <v>242</v>
      </c>
      <c r="B146" t="s">
        <v>291</v>
      </c>
      <c r="C146" t="s">
        <v>294</v>
      </c>
      <c r="D146" s="1">
        <v>0.2</v>
      </c>
      <c r="E146" t="s">
        <v>112</v>
      </c>
      <c r="F146" s="1">
        <v>0.2</v>
      </c>
      <c r="G146" t="s">
        <v>20</v>
      </c>
      <c r="H146" s="1">
        <v>0.6</v>
      </c>
      <c r="I146" s="1"/>
      <c r="J146" s="1">
        <v>0.61</v>
      </c>
      <c r="K146" s="1">
        <v>0.61</v>
      </c>
      <c r="L146" s="1">
        <v>0.56000000000000005</v>
      </c>
      <c r="M146" s="1">
        <v>0.49</v>
      </c>
      <c r="N146" s="1">
        <v>0.37</v>
      </c>
    </row>
    <row r="147" spans="1:14" x14ac:dyDescent="0.3">
      <c r="A147" t="s">
        <v>242</v>
      </c>
      <c r="B147" t="s">
        <v>291</v>
      </c>
      <c r="C147" t="s">
        <v>294</v>
      </c>
      <c r="D147" s="1">
        <v>0.2</v>
      </c>
      <c r="E147" t="s">
        <v>113</v>
      </c>
      <c r="F147" s="1">
        <v>0.2</v>
      </c>
      <c r="G147" t="s">
        <v>24</v>
      </c>
      <c r="H147" s="1">
        <v>0.95</v>
      </c>
      <c r="I147" s="1"/>
      <c r="J147" s="1">
        <v>0.61</v>
      </c>
      <c r="K147" s="1">
        <v>0.61</v>
      </c>
      <c r="L147" s="1">
        <v>0.56000000000000005</v>
      </c>
      <c r="M147" s="1">
        <v>0.49</v>
      </c>
      <c r="N147" s="1">
        <v>0.37</v>
      </c>
    </row>
    <row r="148" spans="1:14" x14ac:dyDescent="0.3">
      <c r="A148" t="s">
        <v>242</v>
      </c>
      <c r="B148" t="s">
        <v>291</v>
      </c>
      <c r="C148" t="s">
        <v>16</v>
      </c>
      <c r="D148" s="1">
        <v>0.2</v>
      </c>
      <c r="E148" t="s">
        <v>17</v>
      </c>
      <c r="F148" s="1">
        <v>0.3</v>
      </c>
      <c r="G148" t="s">
        <v>18</v>
      </c>
      <c r="H148" s="1">
        <v>0.9</v>
      </c>
      <c r="I148" s="1">
        <f>SUMPRODUCT(H148:H151,F148:F151)*D148</f>
        <v>0.16550000000000004</v>
      </c>
      <c r="J148" s="1">
        <v>0.62</v>
      </c>
      <c r="K148" s="1">
        <v>0.62</v>
      </c>
      <c r="L148" s="1">
        <v>0.56999999999999995</v>
      </c>
      <c r="M148" s="1">
        <v>0.5</v>
      </c>
      <c r="N148" s="1">
        <v>0.38</v>
      </c>
    </row>
    <row r="149" spans="1:14" x14ac:dyDescent="0.3">
      <c r="A149" t="s">
        <v>242</v>
      </c>
      <c r="B149" t="s">
        <v>291</v>
      </c>
      <c r="C149" t="s">
        <v>16</v>
      </c>
      <c r="D149" s="1">
        <v>0.2</v>
      </c>
      <c r="E149" t="s">
        <v>19</v>
      </c>
      <c r="F149" s="1">
        <v>0.25</v>
      </c>
      <c r="G149" t="s">
        <v>20</v>
      </c>
      <c r="H149" s="1">
        <v>0.6</v>
      </c>
      <c r="I149" s="1"/>
      <c r="J149" s="1">
        <v>0.62</v>
      </c>
      <c r="K149" s="1">
        <v>0.62</v>
      </c>
      <c r="L149" s="1">
        <v>0.56999999999999995</v>
      </c>
      <c r="M149" s="1">
        <v>0.5</v>
      </c>
      <c r="N149" s="1">
        <v>0.38</v>
      </c>
    </row>
    <row r="150" spans="1:14" x14ac:dyDescent="0.3">
      <c r="A150" t="s">
        <v>242</v>
      </c>
      <c r="B150" t="s">
        <v>291</v>
      </c>
      <c r="C150" t="s">
        <v>16</v>
      </c>
      <c r="D150" s="1">
        <v>0.2</v>
      </c>
      <c r="E150" t="s">
        <v>21</v>
      </c>
      <c r="F150" s="1">
        <v>0.2</v>
      </c>
      <c r="G150" t="s">
        <v>22</v>
      </c>
      <c r="H150" s="1">
        <v>0.85</v>
      </c>
      <c r="I150" s="1"/>
      <c r="J150" s="1">
        <v>0.62</v>
      </c>
      <c r="K150" s="1">
        <v>0.62</v>
      </c>
      <c r="L150" s="1">
        <v>0.56999999999999995</v>
      </c>
      <c r="M150" s="1">
        <v>0.5</v>
      </c>
      <c r="N150" s="1">
        <v>0.38</v>
      </c>
    </row>
    <row r="151" spans="1:14" x14ac:dyDescent="0.3">
      <c r="A151" t="s">
        <v>242</v>
      </c>
      <c r="B151" t="s">
        <v>291</v>
      </c>
      <c r="C151" t="s">
        <v>16</v>
      </c>
      <c r="D151" s="1">
        <v>0.2</v>
      </c>
      <c r="E151" t="s">
        <v>23</v>
      </c>
      <c r="F151" s="1">
        <v>0.25</v>
      </c>
      <c r="G151" t="s">
        <v>24</v>
      </c>
      <c r="H151" s="1">
        <v>0.95</v>
      </c>
      <c r="I151" s="1"/>
      <c r="J151" s="1">
        <v>0.62</v>
      </c>
      <c r="K151" s="1">
        <v>0.62</v>
      </c>
      <c r="L151" s="1">
        <v>0.56999999999999995</v>
      </c>
      <c r="M151" s="1">
        <v>0.5</v>
      </c>
      <c r="N151" s="1">
        <v>0.38</v>
      </c>
    </row>
    <row r="152" spans="1:14" x14ac:dyDescent="0.3">
      <c r="A152" t="s">
        <v>242</v>
      </c>
      <c r="B152" t="s">
        <v>291</v>
      </c>
      <c r="C152" t="s">
        <v>25</v>
      </c>
      <c r="D152" s="1">
        <v>0.1</v>
      </c>
      <c r="E152" t="s">
        <v>26</v>
      </c>
      <c r="F152" s="1">
        <v>0.25</v>
      </c>
      <c r="G152" t="s">
        <v>18</v>
      </c>
      <c r="H152" s="1">
        <v>0.9</v>
      </c>
      <c r="I152" s="1">
        <f>SUMPRODUCT(H152:H155,F152:F155)*D152</f>
        <v>6.2000000000000013E-2</v>
      </c>
      <c r="J152" s="1">
        <v>0.41</v>
      </c>
      <c r="K152" s="1">
        <v>0.41</v>
      </c>
      <c r="L152" s="1">
        <v>0.38</v>
      </c>
      <c r="M152" s="1">
        <v>0.33</v>
      </c>
      <c r="N152" s="1">
        <v>0.24</v>
      </c>
    </row>
    <row r="153" spans="1:14" x14ac:dyDescent="0.3">
      <c r="A153" t="s">
        <v>242</v>
      </c>
      <c r="B153" t="s">
        <v>291</v>
      </c>
      <c r="C153" t="s">
        <v>25</v>
      </c>
      <c r="D153" s="1">
        <v>0.1</v>
      </c>
      <c r="E153" t="s">
        <v>27</v>
      </c>
      <c r="F153" s="1">
        <v>0.25</v>
      </c>
      <c r="G153" t="s">
        <v>28</v>
      </c>
      <c r="H153" s="1">
        <v>0.7</v>
      </c>
      <c r="I153" s="1"/>
      <c r="J153" s="1">
        <v>0.41</v>
      </c>
      <c r="K153" s="1">
        <v>0.41</v>
      </c>
      <c r="L153" s="1">
        <v>0.38</v>
      </c>
      <c r="M153" s="1">
        <v>0.33</v>
      </c>
      <c r="N153" s="1">
        <v>0.24</v>
      </c>
    </row>
    <row r="154" spans="1:14" x14ac:dyDescent="0.3">
      <c r="A154" t="s">
        <v>242</v>
      </c>
      <c r="B154" t="s">
        <v>291</v>
      </c>
      <c r="C154" t="s">
        <v>25</v>
      </c>
      <c r="D154" s="1">
        <v>0.1</v>
      </c>
      <c r="E154" t="s">
        <v>29</v>
      </c>
      <c r="F154" s="1">
        <v>0.3</v>
      </c>
      <c r="G154" t="s">
        <v>30</v>
      </c>
      <c r="H154" s="1">
        <v>0.1</v>
      </c>
      <c r="I154" s="1"/>
      <c r="J154" s="1">
        <v>0.41</v>
      </c>
      <c r="K154" s="1">
        <v>0.41</v>
      </c>
      <c r="L154" s="1">
        <v>0.38</v>
      </c>
      <c r="M154" s="1">
        <v>0.33</v>
      </c>
      <c r="N154" s="1">
        <v>0.24</v>
      </c>
    </row>
    <row r="155" spans="1:14" x14ac:dyDescent="0.3">
      <c r="A155" t="s">
        <v>242</v>
      </c>
      <c r="B155" t="s">
        <v>291</v>
      </c>
      <c r="C155" t="s">
        <v>25</v>
      </c>
      <c r="D155" s="1">
        <v>0.1</v>
      </c>
      <c r="E155" t="s">
        <v>31</v>
      </c>
      <c r="F155" s="1">
        <v>0.2</v>
      </c>
      <c r="G155" t="s">
        <v>24</v>
      </c>
      <c r="H155" s="1">
        <v>0.95</v>
      </c>
      <c r="I155" s="1"/>
      <c r="J155" s="1">
        <v>0.41</v>
      </c>
      <c r="K155" s="1">
        <v>0.41</v>
      </c>
      <c r="L155" s="1">
        <v>0.38</v>
      </c>
      <c r="M155" s="1">
        <v>0.33</v>
      </c>
      <c r="N155" s="1">
        <v>0.24</v>
      </c>
    </row>
    <row r="156" spans="1:14" x14ac:dyDescent="0.3">
      <c r="A156" t="s">
        <v>242</v>
      </c>
      <c r="B156" t="s">
        <v>291</v>
      </c>
      <c r="C156" t="s">
        <v>37</v>
      </c>
      <c r="D156" s="1">
        <v>0.1</v>
      </c>
      <c r="E156" t="s">
        <v>38</v>
      </c>
      <c r="F156" s="1">
        <v>0.3</v>
      </c>
      <c r="G156" t="s">
        <v>18</v>
      </c>
      <c r="H156" s="1">
        <v>0.9</v>
      </c>
      <c r="I156" s="1">
        <f>SUMPRODUCT(H156:H159,F156:F159)*D156</f>
        <v>8.1000000000000016E-2</v>
      </c>
      <c r="J156" s="1">
        <v>0.62</v>
      </c>
      <c r="K156" s="1">
        <v>0.62</v>
      </c>
      <c r="L156" s="1">
        <v>0.57999999999999996</v>
      </c>
      <c r="M156" s="1">
        <v>0.51</v>
      </c>
      <c r="N156" s="1">
        <v>0.39</v>
      </c>
    </row>
    <row r="157" spans="1:14" x14ac:dyDescent="0.3">
      <c r="A157" t="s">
        <v>242</v>
      </c>
      <c r="B157" t="s">
        <v>291</v>
      </c>
      <c r="C157" t="s">
        <v>37</v>
      </c>
      <c r="D157" s="1">
        <v>0.1</v>
      </c>
      <c r="E157" t="s">
        <v>39</v>
      </c>
      <c r="F157" s="1">
        <v>0.25</v>
      </c>
      <c r="G157" t="s">
        <v>40</v>
      </c>
      <c r="H157" s="1">
        <v>0.7</v>
      </c>
      <c r="I157" s="1"/>
      <c r="J157" s="1">
        <v>0.62</v>
      </c>
      <c r="K157" s="1">
        <v>0.62</v>
      </c>
      <c r="L157" s="1">
        <v>0.57999999999999996</v>
      </c>
      <c r="M157" s="1">
        <v>0.51</v>
      </c>
      <c r="N157" s="1">
        <v>0.39</v>
      </c>
    </row>
    <row r="158" spans="1:14" x14ac:dyDescent="0.3">
      <c r="A158" t="s">
        <v>242</v>
      </c>
      <c r="B158" t="s">
        <v>291</v>
      </c>
      <c r="C158" t="s">
        <v>37</v>
      </c>
      <c r="D158" s="1">
        <v>0.1</v>
      </c>
      <c r="E158" t="s">
        <v>41</v>
      </c>
      <c r="F158" s="1">
        <v>0.25</v>
      </c>
      <c r="G158" t="s">
        <v>28</v>
      </c>
      <c r="H158" s="1">
        <v>0.7</v>
      </c>
      <c r="I158" s="1"/>
      <c r="J158" s="1">
        <v>0.62</v>
      </c>
      <c r="K158" s="1">
        <v>0.62</v>
      </c>
      <c r="L158" s="1">
        <v>0.57999999999999996</v>
      </c>
      <c r="M158" s="1">
        <v>0.51</v>
      </c>
      <c r="N158" s="1">
        <v>0.39</v>
      </c>
    </row>
    <row r="159" spans="1:14" x14ac:dyDescent="0.3">
      <c r="A159" t="s">
        <v>242</v>
      </c>
      <c r="B159" t="s">
        <v>291</v>
      </c>
      <c r="C159" t="s">
        <v>37</v>
      </c>
      <c r="D159" s="1">
        <v>0.1</v>
      </c>
      <c r="E159" t="s">
        <v>42</v>
      </c>
      <c r="F159" s="1">
        <v>0.2</v>
      </c>
      <c r="G159" t="s">
        <v>24</v>
      </c>
      <c r="H159" s="1">
        <v>0.95</v>
      </c>
      <c r="I159" s="1"/>
      <c r="J159" s="1">
        <v>0.62</v>
      </c>
      <c r="K159" s="1">
        <v>0.62</v>
      </c>
      <c r="L159" s="1">
        <v>0.57999999999999996</v>
      </c>
      <c r="M159" s="1">
        <v>0.51</v>
      </c>
      <c r="N159" s="1">
        <v>0.39</v>
      </c>
    </row>
    <row r="160" spans="1:14" x14ac:dyDescent="0.3">
      <c r="A160" t="s">
        <v>242</v>
      </c>
      <c r="B160" t="s">
        <v>291</v>
      </c>
      <c r="C160" t="s">
        <v>136</v>
      </c>
      <c r="D160" s="1">
        <v>0.1</v>
      </c>
      <c r="E160" t="s">
        <v>287</v>
      </c>
      <c r="F160" s="1">
        <v>0.25</v>
      </c>
      <c r="G160" t="s">
        <v>40</v>
      </c>
      <c r="H160" s="1">
        <v>0.7</v>
      </c>
      <c r="I160" s="1">
        <f>SUMPRODUCT(H160:H163,F160:F163)*D160</f>
        <v>5.8749999999999997E-2</v>
      </c>
      <c r="J160" s="1">
        <v>0.4</v>
      </c>
      <c r="K160" s="1">
        <v>0.4</v>
      </c>
      <c r="L160" s="1">
        <v>0.37</v>
      </c>
      <c r="M160" s="1">
        <v>0.32</v>
      </c>
      <c r="N160" s="1">
        <v>0.23</v>
      </c>
    </row>
    <row r="161" spans="1:14" x14ac:dyDescent="0.3">
      <c r="A161" t="s">
        <v>242</v>
      </c>
      <c r="B161" t="s">
        <v>291</v>
      </c>
      <c r="C161" t="s">
        <v>136</v>
      </c>
      <c r="D161" s="1">
        <v>0.1</v>
      </c>
      <c r="E161" t="s">
        <v>50</v>
      </c>
      <c r="F161" s="1">
        <v>0.25</v>
      </c>
      <c r="G161" t="s">
        <v>20</v>
      </c>
      <c r="H161" s="1">
        <v>0.6</v>
      </c>
      <c r="I161" s="1"/>
      <c r="J161" s="1">
        <v>0.4</v>
      </c>
      <c r="K161" s="1">
        <v>0.4</v>
      </c>
      <c r="L161" s="1">
        <v>0.37</v>
      </c>
      <c r="M161" s="1">
        <v>0.32</v>
      </c>
      <c r="N161" s="1">
        <v>0.23</v>
      </c>
    </row>
    <row r="162" spans="1:14" x14ac:dyDescent="0.3">
      <c r="A162" t="s">
        <v>242</v>
      </c>
      <c r="B162" t="s">
        <v>291</v>
      </c>
      <c r="C162" t="s">
        <v>136</v>
      </c>
      <c r="D162" s="1">
        <v>0.1</v>
      </c>
      <c r="E162" t="s">
        <v>124</v>
      </c>
      <c r="F162" s="1">
        <v>0.25</v>
      </c>
      <c r="G162" t="s">
        <v>30</v>
      </c>
      <c r="H162" s="1">
        <v>0.1</v>
      </c>
      <c r="I162" s="1"/>
      <c r="J162" s="1">
        <v>0.4</v>
      </c>
      <c r="K162" s="1">
        <v>0.4</v>
      </c>
      <c r="L162" s="1">
        <v>0.37</v>
      </c>
      <c r="M162" s="1">
        <v>0.32</v>
      </c>
      <c r="N162" s="1">
        <v>0.23</v>
      </c>
    </row>
    <row r="163" spans="1:14" x14ac:dyDescent="0.3">
      <c r="A163" t="s">
        <v>242</v>
      </c>
      <c r="B163" t="s">
        <v>291</v>
      </c>
      <c r="C163" t="s">
        <v>136</v>
      </c>
      <c r="D163" s="1">
        <v>0.1</v>
      </c>
      <c r="E163" t="s">
        <v>53</v>
      </c>
      <c r="F163" s="1">
        <v>0.25</v>
      </c>
      <c r="G163" t="s">
        <v>24</v>
      </c>
      <c r="H163" s="1">
        <v>0.95</v>
      </c>
      <c r="I163" s="1"/>
      <c r="J163" s="1">
        <v>0.4</v>
      </c>
      <c r="K163" s="1">
        <v>0.4</v>
      </c>
      <c r="L163" s="1">
        <v>0.37</v>
      </c>
      <c r="M163" s="1">
        <v>0.32</v>
      </c>
      <c r="N163" s="1">
        <v>0.23</v>
      </c>
    </row>
    <row r="164" spans="1:14" x14ac:dyDescent="0.3">
      <c r="A164" t="s">
        <v>242</v>
      </c>
      <c r="B164" t="s">
        <v>291</v>
      </c>
      <c r="C164" t="s">
        <v>271</v>
      </c>
      <c r="D164" s="1">
        <v>0.1</v>
      </c>
      <c r="E164" t="s">
        <v>297</v>
      </c>
      <c r="F164" s="1">
        <v>0.3</v>
      </c>
      <c r="G164" t="s">
        <v>56</v>
      </c>
      <c r="H164" s="1">
        <v>0.3</v>
      </c>
      <c r="I164" s="1">
        <f>SUMPRODUCT(H164:H167,F164:F167)*D164</f>
        <v>4.5500000000000006E-2</v>
      </c>
      <c r="J164" s="1">
        <v>0.33</v>
      </c>
      <c r="K164" s="1">
        <v>0.33</v>
      </c>
      <c r="L164" s="1">
        <v>0.3</v>
      </c>
      <c r="M164" s="1">
        <v>0.26</v>
      </c>
      <c r="N164" s="1">
        <v>0.19</v>
      </c>
    </row>
    <row r="165" spans="1:14" x14ac:dyDescent="0.3">
      <c r="A165" t="s">
        <v>242</v>
      </c>
      <c r="B165" t="s">
        <v>291</v>
      </c>
      <c r="C165" t="s">
        <v>271</v>
      </c>
      <c r="D165" s="1">
        <v>0.1</v>
      </c>
      <c r="E165" t="s">
        <v>289</v>
      </c>
      <c r="F165" s="1">
        <v>0.25</v>
      </c>
      <c r="G165" t="s">
        <v>20</v>
      </c>
      <c r="H165" s="1">
        <v>0.6</v>
      </c>
      <c r="I165" s="1"/>
      <c r="J165" s="1">
        <v>0.33</v>
      </c>
      <c r="K165" s="1">
        <v>0.33</v>
      </c>
      <c r="L165" s="1">
        <v>0.3</v>
      </c>
      <c r="M165" s="1">
        <v>0.26</v>
      </c>
      <c r="N165" s="1">
        <v>0.19</v>
      </c>
    </row>
    <row r="166" spans="1:14" x14ac:dyDescent="0.3">
      <c r="A166" t="s">
        <v>242</v>
      </c>
      <c r="B166" t="s">
        <v>291</v>
      </c>
      <c r="C166" t="s">
        <v>271</v>
      </c>
      <c r="D166" s="1">
        <v>0.1</v>
      </c>
      <c r="E166" t="s">
        <v>298</v>
      </c>
      <c r="F166" s="1">
        <v>0.25</v>
      </c>
      <c r="G166" t="s">
        <v>30</v>
      </c>
      <c r="H166" s="1">
        <v>0.1</v>
      </c>
      <c r="I166" s="1"/>
      <c r="J166" s="1">
        <v>0.33</v>
      </c>
      <c r="K166" s="1">
        <v>0.33</v>
      </c>
      <c r="L166" s="1">
        <v>0.3</v>
      </c>
      <c r="M166" s="1">
        <v>0.26</v>
      </c>
      <c r="N166" s="1">
        <v>0.19</v>
      </c>
    </row>
    <row r="167" spans="1:14" x14ac:dyDescent="0.3">
      <c r="A167" t="s">
        <v>242</v>
      </c>
      <c r="B167" t="s">
        <v>291</v>
      </c>
      <c r="C167" t="s">
        <v>271</v>
      </c>
      <c r="D167" s="1">
        <v>0.1</v>
      </c>
      <c r="E167" t="s">
        <v>59</v>
      </c>
      <c r="F167" s="1">
        <v>0.2</v>
      </c>
      <c r="G167" t="s">
        <v>24</v>
      </c>
      <c r="H167" s="1">
        <v>0.95</v>
      </c>
      <c r="I167" s="1"/>
      <c r="J167" s="1">
        <v>0.33</v>
      </c>
      <c r="K167" s="1">
        <v>0.33</v>
      </c>
      <c r="L167" s="1">
        <v>0.3</v>
      </c>
      <c r="M167" s="1">
        <v>0.26</v>
      </c>
      <c r="N167" s="1">
        <v>0.19</v>
      </c>
    </row>
    <row r="168" spans="1:14" x14ac:dyDescent="0.3">
      <c r="I168" s="2">
        <f>SUM(I140:I164)</f>
        <v>0.73875000000000002</v>
      </c>
      <c r="J168" s="2">
        <f>+J148*$D148+J152*$D152+J156*$D156+J160*$D160+J164*$D164+$D144*J144</f>
        <v>0.42200000000000004</v>
      </c>
      <c r="K168" s="2">
        <f t="shared" ref="K168:N168" si="5">+K148*$D148+K152*$D152+K156*$D156+K160*$D160+K164*$D164+$D144*K144</f>
        <v>0.42200000000000004</v>
      </c>
      <c r="L168" s="2">
        <f t="shared" si="5"/>
        <v>0.38900000000000001</v>
      </c>
      <c r="M168" s="2">
        <f t="shared" si="5"/>
        <v>0.33999999999999997</v>
      </c>
      <c r="N168" s="2">
        <f t="shared" si="5"/>
        <v>0.255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30"/>
  <sheetViews>
    <sheetView workbookViewId="0"/>
  </sheetViews>
  <sheetFormatPr defaultRowHeight="14.4" x14ac:dyDescent="0.3"/>
  <cols>
    <col min="2" max="2" width="11.6640625" customWidth="1"/>
    <col min="3" max="3" width="14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299</v>
      </c>
      <c r="B2" t="s">
        <v>300</v>
      </c>
      <c r="C2" t="s">
        <v>301</v>
      </c>
      <c r="D2" s="1">
        <v>0.15</v>
      </c>
      <c r="E2" t="s">
        <v>72</v>
      </c>
      <c r="F2" s="1">
        <v>0.3</v>
      </c>
      <c r="G2" t="s">
        <v>73</v>
      </c>
      <c r="H2" s="1">
        <v>0.7</v>
      </c>
      <c r="I2" s="1">
        <f>SUMPRODUCT(H2:H5,F2:F5)*D2</f>
        <v>6.8250000000000005E-2</v>
      </c>
      <c r="J2" s="1">
        <v>0.36</v>
      </c>
      <c r="K2" s="1">
        <v>0.36</v>
      </c>
      <c r="L2" s="1">
        <v>0.32</v>
      </c>
      <c r="M2" s="1">
        <v>0.28999999999999998</v>
      </c>
      <c r="N2" s="1">
        <v>0.31</v>
      </c>
    </row>
    <row r="3" spans="1:14" x14ac:dyDescent="0.3">
      <c r="A3" t="s">
        <v>299</v>
      </c>
      <c r="B3" t="s">
        <v>300</v>
      </c>
      <c r="C3" t="s">
        <v>301</v>
      </c>
      <c r="D3" s="1">
        <v>0.15</v>
      </c>
      <c r="E3" t="s">
        <v>302</v>
      </c>
      <c r="F3" s="1">
        <v>0.25</v>
      </c>
      <c r="G3" t="s">
        <v>20</v>
      </c>
      <c r="H3" s="1">
        <v>0.6</v>
      </c>
      <c r="I3" s="1"/>
      <c r="J3" s="1">
        <v>0.36</v>
      </c>
      <c r="K3" s="1">
        <v>0.36</v>
      </c>
      <c r="L3" s="1">
        <v>0.32</v>
      </c>
      <c r="M3" s="1">
        <v>0.28999999999999998</v>
      </c>
      <c r="N3" s="1">
        <v>0.31</v>
      </c>
    </row>
    <row r="4" spans="1:14" x14ac:dyDescent="0.3">
      <c r="A4" t="s">
        <v>299</v>
      </c>
      <c r="B4" t="s">
        <v>300</v>
      </c>
      <c r="C4" t="s">
        <v>301</v>
      </c>
      <c r="D4" s="1">
        <v>0.15</v>
      </c>
      <c r="E4" t="s">
        <v>147</v>
      </c>
      <c r="F4" s="1">
        <v>0.25</v>
      </c>
      <c r="G4" t="s">
        <v>56</v>
      </c>
      <c r="H4" s="1">
        <v>0.3</v>
      </c>
      <c r="I4" s="1"/>
      <c r="J4" s="1">
        <v>0.36</v>
      </c>
      <c r="K4" s="1">
        <v>0.36</v>
      </c>
      <c r="L4" s="1">
        <v>0.32</v>
      </c>
      <c r="M4" s="1">
        <v>0.28999999999999998</v>
      </c>
      <c r="N4" s="1">
        <v>0.31</v>
      </c>
    </row>
    <row r="5" spans="1:14" x14ac:dyDescent="0.3">
      <c r="A5" t="s">
        <v>299</v>
      </c>
      <c r="B5" t="s">
        <v>300</v>
      </c>
      <c r="C5" t="s">
        <v>301</v>
      </c>
      <c r="D5" s="1">
        <v>0.15</v>
      </c>
      <c r="E5" t="s">
        <v>303</v>
      </c>
      <c r="F5" s="1">
        <v>0.2</v>
      </c>
      <c r="G5" t="s">
        <v>30</v>
      </c>
      <c r="H5" s="1">
        <v>0.1</v>
      </c>
      <c r="I5" s="1"/>
      <c r="J5" s="1">
        <v>0.36</v>
      </c>
      <c r="K5" s="1">
        <v>0.36</v>
      </c>
      <c r="L5" s="1">
        <v>0.32</v>
      </c>
      <c r="M5" s="1">
        <v>0.28999999999999998</v>
      </c>
      <c r="N5" s="1">
        <v>0.31</v>
      </c>
    </row>
    <row r="6" spans="1:14" x14ac:dyDescent="0.3">
      <c r="A6" t="s">
        <v>299</v>
      </c>
      <c r="B6" t="s">
        <v>300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0.68</v>
      </c>
      <c r="K6" s="1">
        <v>0.68</v>
      </c>
      <c r="L6" s="1">
        <v>0.64</v>
      </c>
      <c r="M6" s="1">
        <v>0.61</v>
      </c>
      <c r="N6" s="1">
        <v>0.63</v>
      </c>
    </row>
    <row r="7" spans="1:14" x14ac:dyDescent="0.3">
      <c r="A7" t="s">
        <v>299</v>
      </c>
      <c r="B7" t="s">
        <v>300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0.68</v>
      </c>
      <c r="K7" s="1">
        <v>0.68</v>
      </c>
      <c r="L7" s="1">
        <v>0.64</v>
      </c>
      <c r="M7" s="1">
        <v>0.61</v>
      </c>
      <c r="N7" s="1">
        <v>0.63</v>
      </c>
    </row>
    <row r="8" spans="1:14" x14ac:dyDescent="0.3">
      <c r="A8" t="s">
        <v>299</v>
      </c>
      <c r="B8" t="s">
        <v>300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>
        <v>0.68</v>
      </c>
      <c r="K8" s="1">
        <v>0.68</v>
      </c>
      <c r="L8" s="1">
        <v>0.64</v>
      </c>
      <c r="M8" s="1">
        <v>0.61</v>
      </c>
      <c r="N8" s="1">
        <v>0.63</v>
      </c>
    </row>
    <row r="9" spans="1:14" x14ac:dyDescent="0.3">
      <c r="A9" t="s">
        <v>299</v>
      </c>
      <c r="B9" t="s">
        <v>300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0.64</v>
      </c>
      <c r="M9" s="1">
        <v>0.61</v>
      </c>
      <c r="N9" s="1">
        <v>0.63</v>
      </c>
    </row>
    <row r="10" spans="1:14" x14ac:dyDescent="0.3">
      <c r="A10" t="s">
        <v>299</v>
      </c>
      <c r="B10" t="s">
        <v>300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0.44</v>
      </c>
      <c r="M10" s="1">
        <v>0.41</v>
      </c>
      <c r="N10" s="1">
        <v>0.43</v>
      </c>
    </row>
    <row r="11" spans="1:14" x14ac:dyDescent="0.3">
      <c r="A11" t="s">
        <v>299</v>
      </c>
      <c r="B11" t="s">
        <v>300</v>
      </c>
      <c r="C11" t="s">
        <v>25</v>
      </c>
      <c r="D11" s="1">
        <v>0.15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0.48</v>
      </c>
      <c r="K11" s="1">
        <v>0.48</v>
      </c>
      <c r="L11" s="1">
        <v>0.44</v>
      </c>
      <c r="M11" s="1">
        <v>0.41</v>
      </c>
      <c r="N11" s="1">
        <v>0.43</v>
      </c>
    </row>
    <row r="12" spans="1:14" x14ac:dyDescent="0.3">
      <c r="A12" t="s">
        <v>299</v>
      </c>
      <c r="B12" t="s">
        <v>300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0.48</v>
      </c>
      <c r="K12" s="1">
        <v>0.48</v>
      </c>
      <c r="L12" s="1">
        <v>0.44</v>
      </c>
      <c r="M12" s="1">
        <v>0.41</v>
      </c>
      <c r="N12" s="1">
        <v>0.43</v>
      </c>
    </row>
    <row r="13" spans="1:14" x14ac:dyDescent="0.3">
      <c r="A13" t="s">
        <v>299</v>
      </c>
      <c r="B13" t="s">
        <v>300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0.48</v>
      </c>
      <c r="K13" s="1">
        <v>0.48</v>
      </c>
      <c r="L13" s="1">
        <v>0.44</v>
      </c>
      <c r="M13" s="1">
        <v>0.41</v>
      </c>
      <c r="N13" s="1">
        <v>0.43</v>
      </c>
    </row>
    <row r="14" spans="1:14" x14ac:dyDescent="0.3">
      <c r="A14" t="s">
        <v>299</v>
      </c>
      <c r="B14" t="s">
        <v>300</v>
      </c>
      <c r="C14" t="s">
        <v>37</v>
      </c>
      <c r="D14" s="1">
        <v>0.2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0.16200000000000003</v>
      </c>
      <c r="J14" s="1">
        <v>0.68</v>
      </c>
      <c r="K14" s="1">
        <v>0.68</v>
      </c>
      <c r="L14" s="1">
        <v>0.64</v>
      </c>
      <c r="M14" s="1">
        <v>0.61</v>
      </c>
      <c r="N14" s="1">
        <v>0.63</v>
      </c>
    </row>
    <row r="15" spans="1:14" x14ac:dyDescent="0.3">
      <c r="A15" t="s">
        <v>299</v>
      </c>
      <c r="B15" t="s">
        <v>300</v>
      </c>
      <c r="C15" t="s">
        <v>37</v>
      </c>
      <c r="D15" s="1">
        <v>0.2</v>
      </c>
      <c r="E15" t="s">
        <v>304</v>
      </c>
      <c r="F15" s="1">
        <v>0.25</v>
      </c>
      <c r="G15" t="s">
        <v>40</v>
      </c>
      <c r="H15" s="1">
        <v>0.7</v>
      </c>
      <c r="I15" s="1"/>
      <c r="J15" s="1">
        <v>0.68</v>
      </c>
      <c r="K15" s="1">
        <v>0.68</v>
      </c>
      <c r="L15" s="1">
        <v>0.64</v>
      </c>
      <c r="M15" s="1">
        <v>0.61</v>
      </c>
      <c r="N15" s="1">
        <v>0.63</v>
      </c>
    </row>
    <row r="16" spans="1:14" x14ac:dyDescent="0.3">
      <c r="A16" t="s">
        <v>299</v>
      </c>
      <c r="B16" t="s">
        <v>300</v>
      </c>
      <c r="C16" t="s">
        <v>37</v>
      </c>
      <c r="D16" s="1">
        <v>0.2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0.68</v>
      </c>
      <c r="K16" s="1">
        <v>0.68</v>
      </c>
      <c r="L16" s="1">
        <v>0.64</v>
      </c>
      <c r="M16" s="1">
        <v>0.61</v>
      </c>
      <c r="N16" s="1">
        <v>0.63</v>
      </c>
    </row>
    <row r="17" spans="1:14" x14ac:dyDescent="0.3">
      <c r="A17" t="s">
        <v>299</v>
      </c>
      <c r="B17" t="s">
        <v>300</v>
      </c>
      <c r="C17" t="s">
        <v>37</v>
      </c>
      <c r="D17" s="1">
        <v>0.2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0.68</v>
      </c>
      <c r="K17" s="1">
        <v>0.68</v>
      </c>
      <c r="L17" s="1">
        <v>0.64</v>
      </c>
      <c r="M17" s="1">
        <v>0.61</v>
      </c>
      <c r="N17" s="1">
        <v>0.63</v>
      </c>
    </row>
    <row r="18" spans="1:14" x14ac:dyDescent="0.3">
      <c r="A18" t="s">
        <v>299</v>
      </c>
      <c r="B18" t="s">
        <v>300</v>
      </c>
      <c r="C18" t="s">
        <v>151</v>
      </c>
      <c r="D18" s="1">
        <v>0.2</v>
      </c>
      <c r="E18" t="s">
        <v>208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0.45</v>
      </c>
      <c r="K18" s="1">
        <v>0.45</v>
      </c>
      <c r="L18" s="1">
        <v>0.41</v>
      </c>
      <c r="M18" s="1">
        <v>0.38</v>
      </c>
      <c r="N18" s="1">
        <v>0.4</v>
      </c>
    </row>
    <row r="19" spans="1:14" x14ac:dyDescent="0.3">
      <c r="A19" t="s">
        <v>299</v>
      </c>
      <c r="B19" t="s">
        <v>300</v>
      </c>
      <c r="C19" t="s">
        <v>151</v>
      </c>
      <c r="D19" s="1">
        <v>0.2</v>
      </c>
      <c r="E19" t="s">
        <v>50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0.41</v>
      </c>
      <c r="M19" s="1">
        <v>0.38</v>
      </c>
      <c r="N19" s="1">
        <v>0.4</v>
      </c>
    </row>
    <row r="20" spans="1:14" x14ac:dyDescent="0.3">
      <c r="A20" t="s">
        <v>299</v>
      </c>
      <c r="B20" t="s">
        <v>300</v>
      </c>
      <c r="C20" t="s">
        <v>151</v>
      </c>
      <c r="D20" s="1">
        <v>0.2</v>
      </c>
      <c r="E20" t="s">
        <v>210</v>
      </c>
      <c r="F20" s="1">
        <v>0.25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0.41</v>
      </c>
      <c r="M20" s="1">
        <v>0.38</v>
      </c>
      <c r="N20" s="1">
        <v>0.4</v>
      </c>
    </row>
    <row r="21" spans="1:14" x14ac:dyDescent="0.3">
      <c r="A21" t="s">
        <v>299</v>
      </c>
      <c r="B21" t="s">
        <v>300</v>
      </c>
      <c r="C21" t="s">
        <v>151</v>
      </c>
      <c r="D21" s="1">
        <v>0.2</v>
      </c>
      <c r="E21" t="s">
        <v>305</v>
      </c>
      <c r="F21" s="1">
        <v>0.25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0.41</v>
      </c>
      <c r="M21" s="1">
        <v>0.38</v>
      </c>
      <c r="N21" s="1">
        <v>0.4</v>
      </c>
    </row>
    <row r="22" spans="1:14" x14ac:dyDescent="0.3">
      <c r="A22" t="s">
        <v>299</v>
      </c>
      <c r="B22" t="s">
        <v>300</v>
      </c>
      <c r="C22" t="s">
        <v>306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0.35</v>
      </c>
      <c r="K22" s="1">
        <v>0.35</v>
      </c>
      <c r="L22" s="1">
        <v>0.31</v>
      </c>
      <c r="M22" s="1">
        <v>0.28000000000000003</v>
      </c>
      <c r="N22" s="1">
        <v>0.3</v>
      </c>
    </row>
    <row r="23" spans="1:14" x14ac:dyDescent="0.3">
      <c r="A23" t="s">
        <v>299</v>
      </c>
      <c r="B23" t="s">
        <v>300</v>
      </c>
      <c r="C23" t="s">
        <v>306</v>
      </c>
      <c r="D23" s="1">
        <v>0.1</v>
      </c>
      <c r="E23" t="s">
        <v>273</v>
      </c>
      <c r="F23" s="1">
        <v>0.25</v>
      </c>
      <c r="G23" t="s">
        <v>20</v>
      </c>
      <c r="H23" s="1">
        <v>0.6</v>
      </c>
      <c r="I23" s="1"/>
      <c r="J23" s="1">
        <v>0.35</v>
      </c>
      <c r="K23" s="1">
        <v>0.35</v>
      </c>
      <c r="L23" s="1">
        <v>0.31</v>
      </c>
      <c r="M23" s="1">
        <v>0.28000000000000003</v>
      </c>
      <c r="N23" s="1">
        <v>0.3</v>
      </c>
    </row>
    <row r="24" spans="1:14" x14ac:dyDescent="0.3">
      <c r="A24" t="s">
        <v>299</v>
      </c>
      <c r="B24" t="s">
        <v>300</v>
      </c>
      <c r="C24" t="s">
        <v>306</v>
      </c>
      <c r="D24" s="1">
        <v>0.1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0.35</v>
      </c>
      <c r="K24" s="1">
        <v>0.35</v>
      </c>
      <c r="L24" s="1">
        <v>0.31</v>
      </c>
      <c r="M24" s="1">
        <v>0.28000000000000003</v>
      </c>
      <c r="N24" s="1">
        <v>0.3</v>
      </c>
    </row>
    <row r="25" spans="1:14" x14ac:dyDescent="0.3">
      <c r="A25" t="s">
        <v>299</v>
      </c>
      <c r="B25" t="s">
        <v>300</v>
      </c>
      <c r="C25" t="s">
        <v>306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0.35</v>
      </c>
      <c r="K25" s="1">
        <v>0.35</v>
      </c>
      <c r="L25" s="1">
        <v>0.31</v>
      </c>
      <c r="M25" s="1">
        <v>0.28000000000000003</v>
      </c>
      <c r="N25" s="1">
        <v>0.3</v>
      </c>
    </row>
    <row r="26" spans="1:14" x14ac:dyDescent="0.3">
      <c r="D26" s="1"/>
      <c r="F26" s="1"/>
      <c r="H26" s="1"/>
      <c r="I26" s="2">
        <f>SUM(I2:I25)</f>
        <v>0.65175000000000005</v>
      </c>
      <c r="J26" s="2">
        <f>+J6*$D6+J10*$D10+J14*$D14+J18*$D18+J22*$D22+$D2*J2</f>
        <v>0.52300000000000002</v>
      </c>
      <c r="K26" s="2">
        <f t="shared" ref="K26:N26" si="0">+K6*$D6+K10*$D10+K14*$D14+K18*$D18+K22*$D22+$D2*K2</f>
        <v>0.52300000000000002</v>
      </c>
      <c r="L26" s="2">
        <f t="shared" si="0"/>
        <v>0.48300000000000004</v>
      </c>
      <c r="M26" s="2">
        <f t="shared" si="0"/>
        <v>0.45300000000000001</v>
      </c>
      <c r="N26" s="2">
        <f t="shared" si="0"/>
        <v>0.47299999999999998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299</v>
      </c>
      <c r="B28" t="s">
        <v>307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0.68</v>
      </c>
      <c r="K28" s="1">
        <v>0.68</v>
      </c>
      <c r="L28" s="1">
        <v>0.65</v>
      </c>
      <c r="M28" s="1">
        <v>0.61</v>
      </c>
      <c r="N28" s="1">
        <v>0.57999999999999996</v>
      </c>
    </row>
    <row r="29" spans="1:14" x14ac:dyDescent="0.3">
      <c r="A29" t="s">
        <v>299</v>
      </c>
      <c r="B29" t="s">
        <v>307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0.68</v>
      </c>
      <c r="K29" s="1">
        <v>0.68</v>
      </c>
      <c r="L29" s="1">
        <v>0.65</v>
      </c>
      <c r="M29" s="1">
        <v>0.61</v>
      </c>
      <c r="N29" s="1">
        <v>0.57999999999999996</v>
      </c>
    </row>
    <row r="30" spans="1:14" x14ac:dyDescent="0.3">
      <c r="A30" t="s">
        <v>299</v>
      </c>
      <c r="B30" t="s">
        <v>307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0.68</v>
      </c>
      <c r="K30" s="1">
        <v>0.68</v>
      </c>
      <c r="L30" s="1">
        <v>0.65</v>
      </c>
      <c r="M30" s="1">
        <v>0.61</v>
      </c>
      <c r="N30" s="1">
        <v>0.57999999999999996</v>
      </c>
    </row>
    <row r="31" spans="1:14" x14ac:dyDescent="0.3">
      <c r="A31" t="s">
        <v>299</v>
      </c>
      <c r="B31" t="s">
        <v>307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0.68</v>
      </c>
      <c r="K31" s="1">
        <v>0.68</v>
      </c>
      <c r="L31" s="1">
        <v>0.65</v>
      </c>
      <c r="M31" s="1">
        <v>0.61</v>
      </c>
      <c r="N31" s="1">
        <v>0.57999999999999996</v>
      </c>
    </row>
    <row r="32" spans="1:14" x14ac:dyDescent="0.3">
      <c r="A32" t="s">
        <v>299</v>
      </c>
      <c r="B32" t="s">
        <v>307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0.48</v>
      </c>
      <c r="K32" s="1">
        <v>0.48</v>
      </c>
      <c r="L32" s="1">
        <v>0.45</v>
      </c>
      <c r="M32" s="1">
        <v>0.41</v>
      </c>
      <c r="N32" s="1">
        <v>0.38</v>
      </c>
    </row>
    <row r="33" spans="1:14" x14ac:dyDescent="0.3">
      <c r="A33" t="s">
        <v>299</v>
      </c>
      <c r="B33" t="s">
        <v>307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0.48</v>
      </c>
      <c r="K33" s="1">
        <v>0.48</v>
      </c>
      <c r="L33" s="1">
        <v>0.45</v>
      </c>
      <c r="M33" s="1">
        <v>0.41</v>
      </c>
      <c r="N33" s="1">
        <v>0.38</v>
      </c>
    </row>
    <row r="34" spans="1:14" x14ac:dyDescent="0.3">
      <c r="A34" t="s">
        <v>299</v>
      </c>
      <c r="B34" t="s">
        <v>307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0.48</v>
      </c>
      <c r="K34" s="1">
        <v>0.48</v>
      </c>
      <c r="L34" s="1">
        <v>0.45</v>
      </c>
      <c r="M34" s="1">
        <v>0.41</v>
      </c>
      <c r="N34" s="1">
        <v>0.38</v>
      </c>
    </row>
    <row r="35" spans="1:14" x14ac:dyDescent="0.3">
      <c r="A35" t="s">
        <v>299</v>
      </c>
      <c r="B35" t="s">
        <v>307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0.48</v>
      </c>
      <c r="K35" s="1">
        <v>0.48</v>
      </c>
      <c r="L35" s="1">
        <v>0.45</v>
      </c>
      <c r="M35" s="1">
        <v>0.41</v>
      </c>
      <c r="N35" s="1">
        <v>0.38</v>
      </c>
    </row>
    <row r="36" spans="1:14" x14ac:dyDescent="0.3">
      <c r="A36" t="s">
        <v>299</v>
      </c>
      <c r="B36" t="s">
        <v>307</v>
      </c>
      <c r="C36" t="s">
        <v>37</v>
      </c>
      <c r="D36" s="1">
        <v>0.15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0.1215</v>
      </c>
      <c r="J36" s="1">
        <v>0.68</v>
      </c>
      <c r="K36" s="1">
        <v>0.68</v>
      </c>
      <c r="L36" s="1">
        <v>0.65</v>
      </c>
      <c r="M36" s="1">
        <v>0.61</v>
      </c>
      <c r="N36" s="1">
        <v>0.57999999999999996</v>
      </c>
    </row>
    <row r="37" spans="1:14" x14ac:dyDescent="0.3">
      <c r="A37" t="s">
        <v>299</v>
      </c>
      <c r="B37" t="s">
        <v>307</v>
      </c>
      <c r="C37" t="s">
        <v>37</v>
      </c>
      <c r="D37" s="1">
        <v>0.15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0.68</v>
      </c>
      <c r="K37" s="1">
        <v>0.68</v>
      </c>
      <c r="L37" s="1">
        <v>0.65</v>
      </c>
      <c r="M37" s="1">
        <v>0.61</v>
      </c>
      <c r="N37" s="1">
        <v>0.57999999999999996</v>
      </c>
    </row>
    <row r="38" spans="1:14" x14ac:dyDescent="0.3">
      <c r="A38" t="s">
        <v>299</v>
      </c>
      <c r="B38" t="s">
        <v>307</v>
      </c>
      <c r="C38" t="s">
        <v>37</v>
      </c>
      <c r="D38" s="1">
        <v>0.15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0.68</v>
      </c>
      <c r="K38" s="1">
        <v>0.68</v>
      </c>
      <c r="L38" s="1">
        <v>0.65</v>
      </c>
      <c r="M38" s="1">
        <v>0.61</v>
      </c>
      <c r="N38" s="1">
        <v>0.57999999999999996</v>
      </c>
    </row>
    <row r="39" spans="1:14" x14ac:dyDescent="0.3">
      <c r="A39" t="s">
        <v>299</v>
      </c>
      <c r="B39" t="s">
        <v>307</v>
      </c>
      <c r="C39" t="s">
        <v>37</v>
      </c>
      <c r="D39" s="1">
        <v>0.15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0.68</v>
      </c>
      <c r="K39" s="1">
        <v>0.68</v>
      </c>
      <c r="L39" s="1">
        <v>0.65</v>
      </c>
      <c r="M39" s="1">
        <v>0.61</v>
      </c>
      <c r="N39" s="1">
        <v>0.57999999999999996</v>
      </c>
    </row>
    <row r="40" spans="1:14" x14ac:dyDescent="0.3">
      <c r="A40" t="s">
        <v>299</v>
      </c>
      <c r="B40" t="s">
        <v>307</v>
      </c>
      <c r="C40" t="s">
        <v>151</v>
      </c>
      <c r="D40" s="1">
        <v>0.25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0.14687499999999998</v>
      </c>
      <c r="J40" s="1">
        <v>0.45</v>
      </c>
      <c r="K40" s="1">
        <v>0.45</v>
      </c>
      <c r="L40" s="1">
        <v>0.42</v>
      </c>
      <c r="M40" s="1">
        <v>0.38</v>
      </c>
      <c r="N40" s="1">
        <v>0.35</v>
      </c>
    </row>
    <row r="41" spans="1:14" x14ac:dyDescent="0.3">
      <c r="A41" t="s">
        <v>299</v>
      </c>
      <c r="B41" t="s">
        <v>307</v>
      </c>
      <c r="C41" t="s">
        <v>151</v>
      </c>
      <c r="D41" s="1">
        <v>0.25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0.45</v>
      </c>
      <c r="K41" s="1">
        <v>0.45</v>
      </c>
      <c r="L41" s="1">
        <v>0.42</v>
      </c>
      <c r="M41" s="1">
        <v>0.38</v>
      </c>
      <c r="N41" s="1">
        <v>0.35</v>
      </c>
    </row>
    <row r="42" spans="1:14" x14ac:dyDescent="0.3">
      <c r="A42" t="s">
        <v>299</v>
      </c>
      <c r="B42" t="s">
        <v>307</v>
      </c>
      <c r="C42" t="s">
        <v>151</v>
      </c>
      <c r="D42" s="1">
        <v>0.25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0.45</v>
      </c>
      <c r="K42" s="1">
        <v>0.45</v>
      </c>
      <c r="L42" s="1">
        <v>0.42</v>
      </c>
      <c r="M42" s="1">
        <v>0.38</v>
      </c>
      <c r="N42" s="1">
        <v>0.35</v>
      </c>
    </row>
    <row r="43" spans="1:14" x14ac:dyDescent="0.3">
      <c r="A43" t="s">
        <v>299</v>
      </c>
      <c r="B43" t="s">
        <v>307</v>
      </c>
      <c r="C43" t="s">
        <v>151</v>
      </c>
      <c r="D43" s="1">
        <v>0.25</v>
      </c>
      <c r="E43" t="s">
        <v>305</v>
      </c>
      <c r="F43" s="1">
        <v>0.25</v>
      </c>
      <c r="G43" t="s">
        <v>24</v>
      </c>
      <c r="H43" s="1">
        <v>0.95</v>
      </c>
      <c r="I43" s="1"/>
      <c r="J43" s="1">
        <v>0.45</v>
      </c>
      <c r="K43" s="1">
        <v>0.45</v>
      </c>
      <c r="L43" s="1">
        <v>0.42</v>
      </c>
      <c r="M43" s="1">
        <v>0.38</v>
      </c>
      <c r="N43" s="1">
        <v>0.35</v>
      </c>
    </row>
    <row r="44" spans="1:14" x14ac:dyDescent="0.3">
      <c r="A44" t="s">
        <v>299</v>
      </c>
      <c r="B44" t="s">
        <v>307</v>
      </c>
      <c r="C44" t="s">
        <v>306</v>
      </c>
      <c r="D44" s="1">
        <v>0.2</v>
      </c>
      <c r="E44" t="s">
        <v>55</v>
      </c>
      <c r="F44" s="1">
        <v>0.3</v>
      </c>
      <c r="G44" t="s">
        <v>56</v>
      </c>
      <c r="H44" s="1">
        <v>0.3</v>
      </c>
      <c r="I44" s="1">
        <f>SUMPRODUCT(H44:H47,F44:F47)*D44</f>
        <v>9.1000000000000011E-2</v>
      </c>
      <c r="J44" s="1">
        <v>0.35</v>
      </c>
      <c r="K44" s="1">
        <v>0.35</v>
      </c>
      <c r="L44" s="1">
        <v>0.32</v>
      </c>
      <c r="M44" s="1">
        <v>0.28000000000000003</v>
      </c>
      <c r="N44" s="1">
        <v>0.25</v>
      </c>
    </row>
    <row r="45" spans="1:14" x14ac:dyDescent="0.3">
      <c r="A45" t="s">
        <v>299</v>
      </c>
      <c r="B45" t="s">
        <v>307</v>
      </c>
      <c r="C45" t="s">
        <v>306</v>
      </c>
      <c r="D45" s="1">
        <v>0.2</v>
      </c>
      <c r="E45" t="s">
        <v>273</v>
      </c>
      <c r="F45" s="1">
        <v>0.25</v>
      </c>
      <c r="G45" t="s">
        <v>20</v>
      </c>
      <c r="H45" s="1">
        <v>0.6</v>
      </c>
      <c r="I45" s="1"/>
      <c r="J45" s="1">
        <v>0.35</v>
      </c>
      <c r="K45" s="1">
        <v>0.35</v>
      </c>
      <c r="L45" s="1">
        <v>0.32</v>
      </c>
      <c r="M45" s="1">
        <v>0.28000000000000003</v>
      </c>
      <c r="N45" s="1">
        <v>0.25</v>
      </c>
    </row>
    <row r="46" spans="1:14" x14ac:dyDescent="0.3">
      <c r="A46" t="s">
        <v>299</v>
      </c>
      <c r="B46" t="s">
        <v>307</v>
      </c>
      <c r="C46" t="s">
        <v>306</v>
      </c>
      <c r="D46" s="1">
        <v>0.2</v>
      </c>
      <c r="E46" t="s">
        <v>58</v>
      </c>
      <c r="F46" s="1">
        <v>0.25</v>
      </c>
      <c r="G46" t="s">
        <v>30</v>
      </c>
      <c r="H46" s="1">
        <v>0.1</v>
      </c>
      <c r="I46" s="1"/>
      <c r="J46" s="1">
        <v>0.35</v>
      </c>
      <c r="K46" s="1">
        <v>0.35</v>
      </c>
      <c r="L46" s="1">
        <v>0.32</v>
      </c>
      <c r="M46" s="1">
        <v>0.28000000000000003</v>
      </c>
      <c r="N46" s="1">
        <v>0.25</v>
      </c>
    </row>
    <row r="47" spans="1:14" x14ac:dyDescent="0.3">
      <c r="A47" t="s">
        <v>299</v>
      </c>
      <c r="B47" t="s">
        <v>307</v>
      </c>
      <c r="C47" t="s">
        <v>306</v>
      </c>
      <c r="D47" s="1">
        <v>0.2</v>
      </c>
      <c r="E47" t="s">
        <v>59</v>
      </c>
      <c r="F47" s="1">
        <v>0.2</v>
      </c>
      <c r="G47" t="s">
        <v>24</v>
      </c>
      <c r="H47" s="1">
        <v>0.95</v>
      </c>
      <c r="I47" s="1"/>
      <c r="J47" s="1">
        <v>0.35</v>
      </c>
      <c r="K47" s="1">
        <v>0.35</v>
      </c>
      <c r="L47" s="1">
        <v>0.32</v>
      </c>
      <c r="M47" s="1">
        <v>0.28000000000000003</v>
      </c>
      <c r="N47" s="1">
        <v>0.25</v>
      </c>
    </row>
    <row r="48" spans="1:14" x14ac:dyDescent="0.3">
      <c r="A48" t="s">
        <v>299</v>
      </c>
      <c r="B48" t="s">
        <v>307</v>
      </c>
      <c r="C48" t="s">
        <v>43</v>
      </c>
      <c r="D48" s="1">
        <v>0.05</v>
      </c>
      <c r="E48" t="s">
        <v>308</v>
      </c>
      <c r="F48" s="1">
        <v>0.25</v>
      </c>
      <c r="G48" t="s">
        <v>18</v>
      </c>
      <c r="H48" s="1">
        <v>0.9</v>
      </c>
      <c r="I48" s="1">
        <f>SUMPRODUCT(H48:H51,F48:F51)*D48</f>
        <v>2.9749999999999999E-2</v>
      </c>
      <c r="J48" s="1">
        <v>0.45</v>
      </c>
      <c r="K48" s="1">
        <v>0.45</v>
      </c>
      <c r="L48" s="1">
        <v>0.42</v>
      </c>
      <c r="M48" s="1">
        <v>0.38</v>
      </c>
      <c r="N48" s="1">
        <v>0.35</v>
      </c>
    </row>
    <row r="49" spans="1:14" x14ac:dyDescent="0.3">
      <c r="A49" t="s">
        <v>299</v>
      </c>
      <c r="B49" t="s">
        <v>307</v>
      </c>
      <c r="C49" t="s">
        <v>43</v>
      </c>
      <c r="D49" s="1">
        <v>0.05</v>
      </c>
      <c r="E49" t="s">
        <v>309</v>
      </c>
      <c r="F49" s="1">
        <v>0.25</v>
      </c>
      <c r="G49" t="s">
        <v>20</v>
      </c>
      <c r="H49" s="1">
        <v>0.6</v>
      </c>
      <c r="I49" s="1"/>
      <c r="J49" s="1">
        <v>0.45</v>
      </c>
      <c r="K49" s="1">
        <v>0.45</v>
      </c>
      <c r="L49" s="1">
        <v>0.42</v>
      </c>
      <c r="M49" s="1">
        <v>0.38</v>
      </c>
      <c r="N49" s="1">
        <v>0.35</v>
      </c>
    </row>
    <row r="50" spans="1:14" x14ac:dyDescent="0.3">
      <c r="A50" t="s">
        <v>299</v>
      </c>
      <c r="B50" t="s">
        <v>307</v>
      </c>
      <c r="C50" t="s">
        <v>43</v>
      </c>
      <c r="D50" s="1">
        <v>0.05</v>
      </c>
      <c r="E50" t="s">
        <v>46</v>
      </c>
      <c r="F50" s="1">
        <v>0.3</v>
      </c>
      <c r="G50" t="s">
        <v>30</v>
      </c>
      <c r="H50" s="1">
        <v>0.1</v>
      </c>
      <c r="I50" s="1"/>
      <c r="J50" s="1">
        <v>0.45</v>
      </c>
      <c r="K50" s="1">
        <v>0.45</v>
      </c>
      <c r="L50" s="1">
        <v>0.42</v>
      </c>
      <c r="M50" s="1">
        <v>0.38</v>
      </c>
      <c r="N50" s="1">
        <v>0.35</v>
      </c>
    </row>
    <row r="51" spans="1:14" x14ac:dyDescent="0.3">
      <c r="A51" t="s">
        <v>299</v>
      </c>
      <c r="B51" t="s">
        <v>307</v>
      </c>
      <c r="C51" t="s">
        <v>43</v>
      </c>
      <c r="D51" s="1">
        <v>0.05</v>
      </c>
      <c r="E51" t="s">
        <v>47</v>
      </c>
      <c r="F51" s="1">
        <v>0.2</v>
      </c>
      <c r="G51" t="s">
        <v>24</v>
      </c>
      <c r="H51" s="1">
        <v>0.95</v>
      </c>
      <c r="I51" s="1"/>
      <c r="J51" s="1">
        <v>0.45</v>
      </c>
      <c r="K51" s="1">
        <v>0.45</v>
      </c>
      <c r="L51" s="1">
        <v>0.42</v>
      </c>
      <c r="M51" s="1">
        <v>0.38</v>
      </c>
      <c r="N51" s="1">
        <v>0.35</v>
      </c>
    </row>
    <row r="52" spans="1:14" x14ac:dyDescent="0.3">
      <c r="D52" s="1"/>
      <c r="F52" s="1"/>
      <c r="H52" s="1"/>
      <c r="I52" s="2">
        <f>SUM(I28:I51)</f>
        <v>0.6476249999999999</v>
      </c>
      <c r="J52" s="2">
        <f>+J32*$D32+J36*$D36+J40*$D40+J44*$D44+J48*$D48+$D28*J28</f>
        <v>0.51500000000000001</v>
      </c>
      <c r="K52" s="2">
        <f t="shared" ref="K52:N52" si="1">+K32*$D32+K36*$D36+K40*$D40+K44*$D44+K48*$D48+$D28*K28</f>
        <v>0.51500000000000001</v>
      </c>
      <c r="L52" s="2">
        <f t="shared" si="1"/>
        <v>0.48500000000000004</v>
      </c>
      <c r="M52" s="2">
        <f t="shared" si="1"/>
        <v>0.44500000000000001</v>
      </c>
      <c r="N52" s="2">
        <f t="shared" si="1"/>
        <v>0.41499999999999998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299</v>
      </c>
      <c r="B54" t="s">
        <v>310</v>
      </c>
      <c r="C54" t="s">
        <v>301</v>
      </c>
      <c r="D54" s="1">
        <v>0.15</v>
      </c>
      <c r="E54" t="s">
        <v>72</v>
      </c>
      <c r="F54" s="1">
        <v>0.3</v>
      </c>
      <c r="G54" t="s">
        <v>73</v>
      </c>
      <c r="H54" s="1">
        <v>0.7</v>
      </c>
      <c r="I54" s="1">
        <f>SUMPRODUCT(H54:H57,F54:F57)*D54</f>
        <v>6.8250000000000005E-2</v>
      </c>
      <c r="J54" s="1">
        <v>0.36</v>
      </c>
      <c r="K54" s="1">
        <v>0.36</v>
      </c>
      <c r="L54" s="1">
        <v>0.33</v>
      </c>
      <c r="M54" s="1">
        <v>0.28999999999999998</v>
      </c>
      <c r="N54" s="1">
        <v>0.27</v>
      </c>
    </row>
    <row r="55" spans="1:14" x14ac:dyDescent="0.3">
      <c r="A55" t="s">
        <v>299</v>
      </c>
      <c r="B55" t="s">
        <v>310</v>
      </c>
      <c r="C55" t="s">
        <v>301</v>
      </c>
      <c r="D55" s="1">
        <v>0.15</v>
      </c>
      <c r="E55" t="s">
        <v>302</v>
      </c>
      <c r="F55" s="1">
        <v>0.25</v>
      </c>
      <c r="G55" t="s">
        <v>20</v>
      </c>
      <c r="H55" s="1">
        <v>0.6</v>
      </c>
      <c r="I55" s="1"/>
      <c r="J55" s="1">
        <v>0.36</v>
      </c>
      <c r="K55" s="1">
        <v>0.36</v>
      </c>
      <c r="L55" s="1">
        <v>0.33</v>
      </c>
      <c r="M55" s="1">
        <v>0.28999999999999998</v>
      </c>
      <c r="N55" s="1">
        <v>0.27</v>
      </c>
    </row>
    <row r="56" spans="1:14" x14ac:dyDescent="0.3">
      <c r="A56" t="s">
        <v>299</v>
      </c>
      <c r="B56" t="s">
        <v>310</v>
      </c>
      <c r="C56" t="s">
        <v>301</v>
      </c>
      <c r="D56" s="1">
        <v>0.15</v>
      </c>
      <c r="E56" t="s">
        <v>147</v>
      </c>
      <c r="F56" s="1">
        <v>0.25</v>
      </c>
      <c r="G56" t="s">
        <v>56</v>
      </c>
      <c r="H56" s="1">
        <v>0.3</v>
      </c>
      <c r="I56" s="1"/>
      <c r="J56" s="1">
        <v>0.36</v>
      </c>
      <c r="K56" s="1">
        <v>0.36</v>
      </c>
      <c r="L56" s="1">
        <v>0.33</v>
      </c>
      <c r="M56" s="1">
        <v>0.28999999999999998</v>
      </c>
      <c r="N56" s="1">
        <v>0.27</v>
      </c>
    </row>
    <row r="57" spans="1:14" x14ac:dyDescent="0.3">
      <c r="A57" t="s">
        <v>299</v>
      </c>
      <c r="B57" t="s">
        <v>310</v>
      </c>
      <c r="C57" t="s">
        <v>301</v>
      </c>
      <c r="D57" s="1">
        <v>0.15</v>
      </c>
      <c r="E57" t="s">
        <v>303</v>
      </c>
      <c r="F57" s="1">
        <v>0.2</v>
      </c>
      <c r="G57" t="s">
        <v>30</v>
      </c>
      <c r="H57" s="1">
        <v>0.1</v>
      </c>
      <c r="I57" s="1"/>
      <c r="J57" s="1">
        <v>0.36</v>
      </c>
      <c r="K57" s="1">
        <v>0.36</v>
      </c>
      <c r="L57" s="1">
        <v>0.33</v>
      </c>
      <c r="M57" s="1">
        <v>0.28999999999999998</v>
      </c>
      <c r="N57" s="1">
        <v>0.27</v>
      </c>
    </row>
    <row r="58" spans="1:14" x14ac:dyDescent="0.3">
      <c r="A58" t="s">
        <v>299</v>
      </c>
      <c r="B58" t="s">
        <v>310</v>
      </c>
      <c r="C58" t="s">
        <v>16</v>
      </c>
      <c r="D58" s="1">
        <v>0.2</v>
      </c>
      <c r="E58" t="s">
        <v>17</v>
      </c>
      <c r="F58" s="1">
        <v>0.3</v>
      </c>
      <c r="G58" t="s">
        <v>18</v>
      </c>
      <c r="H58" s="1">
        <v>0.9</v>
      </c>
      <c r="I58" s="1">
        <f>SUMPRODUCT(H58:H61,F58:F61)*D58</f>
        <v>0.16550000000000004</v>
      </c>
      <c r="J58" s="1">
        <v>0.68</v>
      </c>
      <c r="K58" s="1">
        <v>0.68</v>
      </c>
      <c r="L58" s="1">
        <v>0.65</v>
      </c>
      <c r="M58" s="1">
        <v>0.61</v>
      </c>
      <c r="N58" s="1">
        <v>0.59</v>
      </c>
    </row>
    <row r="59" spans="1:14" x14ac:dyDescent="0.3">
      <c r="A59" t="s">
        <v>299</v>
      </c>
      <c r="B59" t="s">
        <v>310</v>
      </c>
      <c r="C59" t="s">
        <v>16</v>
      </c>
      <c r="D59" s="1">
        <v>0.2</v>
      </c>
      <c r="E59" t="s">
        <v>19</v>
      </c>
      <c r="F59" s="1">
        <v>0.25</v>
      </c>
      <c r="G59" t="s">
        <v>20</v>
      </c>
      <c r="H59" s="1">
        <v>0.6</v>
      </c>
      <c r="I59" s="1"/>
      <c r="J59" s="1">
        <v>0.68</v>
      </c>
      <c r="K59" s="1">
        <v>0.68</v>
      </c>
      <c r="L59" s="1">
        <v>0.65</v>
      </c>
      <c r="M59" s="1">
        <v>0.61</v>
      </c>
      <c r="N59" s="1">
        <v>0.59</v>
      </c>
    </row>
    <row r="60" spans="1:14" x14ac:dyDescent="0.3">
      <c r="A60" t="s">
        <v>299</v>
      </c>
      <c r="B60" t="s">
        <v>310</v>
      </c>
      <c r="C60" t="s">
        <v>16</v>
      </c>
      <c r="D60" s="1">
        <v>0.2</v>
      </c>
      <c r="E60" t="s">
        <v>21</v>
      </c>
      <c r="F60" s="1">
        <v>0.2</v>
      </c>
      <c r="G60" t="s">
        <v>22</v>
      </c>
      <c r="H60" s="1">
        <v>0.85</v>
      </c>
      <c r="I60" s="1"/>
      <c r="J60" s="1">
        <v>0.68</v>
      </c>
      <c r="K60" s="1">
        <v>0.68</v>
      </c>
      <c r="L60" s="1">
        <v>0.65</v>
      </c>
      <c r="M60" s="1">
        <v>0.61</v>
      </c>
      <c r="N60" s="1">
        <v>0.59</v>
      </c>
    </row>
    <row r="61" spans="1:14" x14ac:dyDescent="0.3">
      <c r="A61" t="s">
        <v>299</v>
      </c>
      <c r="B61" t="s">
        <v>310</v>
      </c>
      <c r="C61" t="s">
        <v>16</v>
      </c>
      <c r="D61" s="1">
        <v>0.2</v>
      </c>
      <c r="E61" t="s">
        <v>23</v>
      </c>
      <c r="F61" s="1">
        <v>0.25</v>
      </c>
      <c r="G61" t="s">
        <v>24</v>
      </c>
      <c r="H61" s="1">
        <v>0.95</v>
      </c>
      <c r="I61" s="1"/>
      <c r="J61" s="1">
        <v>0.68</v>
      </c>
      <c r="K61" s="1">
        <v>0.68</v>
      </c>
      <c r="L61" s="1">
        <v>0.65</v>
      </c>
      <c r="M61" s="1">
        <v>0.61</v>
      </c>
      <c r="N61" s="1">
        <v>0.59</v>
      </c>
    </row>
    <row r="62" spans="1:14" x14ac:dyDescent="0.3">
      <c r="A62" t="s">
        <v>299</v>
      </c>
      <c r="B62" t="s">
        <v>310</v>
      </c>
      <c r="C62" t="s">
        <v>25</v>
      </c>
      <c r="D62" s="1">
        <v>0.15</v>
      </c>
      <c r="E62" t="s">
        <v>26</v>
      </c>
      <c r="F62" s="1">
        <v>0.25</v>
      </c>
      <c r="G62" t="s">
        <v>18</v>
      </c>
      <c r="H62" s="1">
        <v>0.9</v>
      </c>
      <c r="I62" s="1">
        <f>SUMPRODUCT(H62:H65,F62:F65)*D62</f>
        <v>9.3000000000000013E-2</v>
      </c>
      <c r="J62" s="1">
        <v>0.48</v>
      </c>
      <c r="K62" s="1">
        <v>0.48</v>
      </c>
      <c r="L62" s="1">
        <v>0.45</v>
      </c>
      <c r="M62" s="1">
        <v>0.41</v>
      </c>
      <c r="N62" s="1">
        <v>0.39</v>
      </c>
    </row>
    <row r="63" spans="1:14" x14ac:dyDescent="0.3">
      <c r="A63" t="s">
        <v>299</v>
      </c>
      <c r="B63" t="s">
        <v>310</v>
      </c>
      <c r="C63" t="s">
        <v>25</v>
      </c>
      <c r="D63" s="1">
        <v>0.15</v>
      </c>
      <c r="E63" t="s">
        <v>27</v>
      </c>
      <c r="F63" s="1">
        <v>0.25</v>
      </c>
      <c r="G63" t="s">
        <v>28</v>
      </c>
      <c r="H63" s="1">
        <v>0.7</v>
      </c>
      <c r="I63" s="1"/>
      <c r="J63" s="1">
        <v>0.48</v>
      </c>
      <c r="K63" s="1">
        <v>0.48</v>
      </c>
      <c r="L63" s="1">
        <v>0.45</v>
      </c>
      <c r="M63" s="1">
        <v>0.41</v>
      </c>
      <c r="N63" s="1">
        <v>0.39</v>
      </c>
    </row>
    <row r="64" spans="1:14" x14ac:dyDescent="0.3">
      <c r="A64" t="s">
        <v>299</v>
      </c>
      <c r="B64" t="s">
        <v>310</v>
      </c>
      <c r="C64" t="s">
        <v>25</v>
      </c>
      <c r="D64" s="1">
        <v>0.15</v>
      </c>
      <c r="E64" t="s">
        <v>29</v>
      </c>
      <c r="F64" s="1">
        <v>0.3</v>
      </c>
      <c r="G64" t="s">
        <v>30</v>
      </c>
      <c r="H64" s="1">
        <v>0.1</v>
      </c>
      <c r="I64" s="1"/>
      <c r="J64" s="1">
        <v>0.48</v>
      </c>
      <c r="K64" s="1">
        <v>0.48</v>
      </c>
      <c r="L64" s="1">
        <v>0.45</v>
      </c>
      <c r="M64" s="1">
        <v>0.41</v>
      </c>
      <c r="N64" s="1">
        <v>0.39</v>
      </c>
    </row>
    <row r="65" spans="1:14" x14ac:dyDescent="0.3">
      <c r="A65" t="s">
        <v>299</v>
      </c>
      <c r="B65" t="s">
        <v>310</v>
      </c>
      <c r="C65" t="s">
        <v>25</v>
      </c>
      <c r="D65" s="1">
        <v>0.15</v>
      </c>
      <c r="E65" t="s">
        <v>31</v>
      </c>
      <c r="F65" s="1">
        <v>0.2</v>
      </c>
      <c r="G65" t="s">
        <v>24</v>
      </c>
      <c r="H65" s="1">
        <v>0.95</v>
      </c>
      <c r="I65" s="1"/>
      <c r="J65" s="1">
        <v>0.48</v>
      </c>
      <c r="K65" s="1">
        <v>0.48</v>
      </c>
      <c r="L65" s="1">
        <v>0.45</v>
      </c>
      <c r="M65" s="1">
        <v>0.41</v>
      </c>
      <c r="N65" s="1">
        <v>0.39</v>
      </c>
    </row>
    <row r="66" spans="1:14" x14ac:dyDescent="0.3">
      <c r="A66" t="s">
        <v>299</v>
      </c>
      <c r="B66" t="s">
        <v>310</v>
      </c>
      <c r="C66" t="s">
        <v>37</v>
      </c>
      <c r="D66" s="1">
        <v>0.2</v>
      </c>
      <c r="E66" t="s">
        <v>38</v>
      </c>
      <c r="F66" s="1">
        <v>0.3</v>
      </c>
      <c r="G66" t="s">
        <v>18</v>
      </c>
      <c r="H66" s="1">
        <v>0.9</v>
      </c>
      <c r="I66" s="1">
        <f>SUMPRODUCT(H66:H69,F66:F69)*D66</f>
        <v>0.16200000000000003</v>
      </c>
      <c r="J66" s="1">
        <v>0.68</v>
      </c>
      <c r="K66" s="1">
        <v>0.68</v>
      </c>
      <c r="L66" s="1">
        <v>0.65</v>
      </c>
      <c r="M66" s="1">
        <v>0.61</v>
      </c>
      <c r="N66" s="1">
        <v>0.59</v>
      </c>
    </row>
    <row r="67" spans="1:14" x14ac:dyDescent="0.3">
      <c r="A67" t="s">
        <v>299</v>
      </c>
      <c r="B67" t="s">
        <v>310</v>
      </c>
      <c r="C67" t="s">
        <v>37</v>
      </c>
      <c r="D67" s="1">
        <v>0.2</v>
      </c>
      <c r="E67" t="s">
        <v>304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0.65</v>
      </c>
      <c r="M67" s="1">
        <v>0.61</v>
      </c>
      <c r="N67" s="1">
        <v>0.59</v>
      </c>
    </row>
    <row r="68" spans="1:14" x14ac:dyDescent="0.3">
      <c r="A68" t="s">
        <v>299</v>
      </c>
      <c r="B68" t="s">
        <v>310</v>
      </c>
      <c r="C68" t="s">
        <v>37</v>
      </c>
      <c r="D68" s="1">
        <v>0.2</v>
      </c>
      <c r="E68" t="s">
        <v>41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0.65</v>
      </c>
      <c r="M68" s="1">
        <v>0.61</v>
      </c>
      <c r="N68" s="1">
        <v>0.59</v>
      </c>
    </row>
    <row r="69" spans="1:14" x14ac:dyDescent="0.3">
      <c r="A69" t="s">
        <v>299</v>
      </c>
      <c r="B69" t="s">
        <v>310</v>
      </c>
      <c r="C69" t="s">
        <v>37</v>
      </c>
      <c r="D69" s="1">
        <v>0.2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0.65</v>
      </c>
      <c r="M69" s="1">
        <v>0.61</v>
      </c>
      <c r="N69" s="1">
        <v>0.59</v>
      </c>
    </row>
    <row r="70" spans="1:14" x14ac:dyDescent="0.3">
      <c r="A70" t="s">
        <v>299</v>
      </c>
      <c r="B70" t="s">
        <v>310</v>
      </c>
      <c r="C70" t="s">
        <v>151</v>
      </c>
      <c r="D70" s="1">
        <v>0.2</v>
      </c>
      <c r="E70" t="s">
        <v>208</v>
      </c>
      <c r="F70" s="1">
        <v>0.25</v>
      </c>
      <c r="G70" t="s">
        <v>40</v>
      </c>
      <c r="H70" s="1">
        <v>0.7</v>
      </c>
      <c r="I70" s="1">
        <f>SUMPRODUCT(H70:H73,F70:F73)*D70</f>
        <v>0.11749999999999999</v>
      </c>
      <c r="J70" s="1">
        <v>0.45</v>
      </c>
      <c r="K70" s="1">
        <v>0.45</v>
      </c>
      <c r="L70" s="1">
        <v>0.42</v>
      </c>
      <c r="M70" s="1">
        <v>0.38</v>
      </c>
      <c r="N70" s="1">
        <v>0.36</v>
      </c>
    </row>
    <row r="71" spans="1:14" x14ac:dyDescent="0.3">
      <c r="A71" t="s">
        <v>299</v>
      </c>
      <c r="B71" t="s">
        <v>310</v>
      </c>
      <c r="C71" t="s">
        <v>151</v>
      </c>
      <c r="D71" s="1">
        <v>0.2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0.45</v>
      </c>
      <c r="K71" s="1">
        <v>0.45</v>
      </c>
      <c r="L71" s="1">
        <v>0.42</v>
      </c>
      <c r="M71" s="1">
        <v>0.38</v>
      </c>
      <c r="N71" s="1">
        <v>0.36</v>
      </c>
    </row>
    <row r="72" spans="1:14" x14ac:dyDescent="0.3">
      <c r="A72" t="s">
        <v>299</v>
      </c>
      <c r="B72" t="s">
        <v>310</v>
      </c>
      <c r="C72" t="s">
        <v>151</v>
      </c>
      <c r="D72" s="1">
        <v>0.2</v>
      </c>
      <c r="E72" t="s">
        <v>210</v>
      </c>
      <c r="F72" s="1">
        <v>0.25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0.38</v>
      </c>
      <c r="N72" s="1">
        <v>0.36</v>
      </c>
    </row>
    <row r="73" spans="1:14" x14ac:dyDescent="0.3">
      <c r="A73" t="s">
        <v>299</v>
      </c>
      <c r="B73" t="s">
        <v>310</v>
      </c>
      <c r="C73" t="s">
        <v>151</v>
      </c>
      <c r="D73" s="1">
        <v>0.2</v>
      </c>
      <c r="E73" t="s">
        <v>305</v>
      </c>
      <c r="F73" s="1">
        <v>0.25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0.38</v>
      </c>
      <c r="N73" s="1">
        <v>0.36</v>
      </c>
    </row>
    <row r="74" spans="1:14" x14ac:dyDescent="0.3">
      <c r="A74" t="s">
        <v>299</v>
      </c>
      <c r="B74" t="s">
        <v>310</v>
      </c>
      <c r="C74" t="s">
        <v>306</v>
      </c>
      <c r="D74" s="1">
        <v>0.1</v>
      </c>
      <c r="E74" t="s">
        <v>55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0.26</v>
      </c>
    </row>
    <row r="75" spans="1:14" x14ac:dyDescent="0.3">
      <c r="A75" t="s">
        <v>299</v>
      </c>
      <c r="B75" t="s">
        <v>310</v>
      </c>
      <c r="C75" t="s">
        <v>306</v>
      </c>
      <c r="D75" s="1">
        <v>0.1</v>
      </c>
      <c r="E75" t="s">
        <v>273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0.26</v>
      </c>
    </row>
    <row r="76" spans="1:14" x14ac:dyDescent="0.3">
      <c r="A76" t="s">
        <v>299</v>
      </c>
      <c r="B76" t="s">
        <v>310</v>
      </c>
      <c r="C76" t="s">
        <v>306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0.26</v>
      </c>
    </row>
    <row r="77" spans="1:14" x14ac:dyDescent="0.3">
      <c r="A77" t="s">
        <v>299</v>
      </c>
      <c r="B77" t="s">
        <v>310</v>
      </c>
      <c r="C77" t="s">
        <v>306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0.26</v>
      </c>
    </row>
    <row r="78" spans="1:14" x14ac:dyDescent="0.3">
      <c r="D78" s="1"/>
      <c r="F78" s="1"/>
      <c r="H78" s="1"/>
      <c r="I78" s="2">
        <f>SUM(I54:I77)</f>
        <v>0.65175000000000005</v>
      </c>
      <c r="J78" s="2">
        <f>+J58*$D58+J62*$D62+J66*$D66+J70*$D70+J74*$D74+$D54*J54</f>
        <v>0.52300000000000002</v>
      </c>
      <c r="K78" s="2">
        <f t="shared" ref="K78:N78" si="2">+K58*$D58+K62*$D62+K66*$D66+K70*$D70+K74*$D74+$D54*K54</f>
        <v>0.52300000000000002</v>
      </c>
      <c r="L78" s="2">
        <f t="shared" si="2"/>
        <v>0.49299999999999999</v>
      </c>
      <c r="M78" s="2">
        <f t="shared" si="2"/>
        <v>0.45300000000000001</v>
      </c>
      <c r="N78" s="2">
        <f t="shared" si="2"/>
        <v>0.433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299</v>
      </c>
      <c r="B80" t="s">
        <v>311</v>
      </c>
      <c r="C80" t="s">
        <v>16</v>
      </c>
      <c r="D80" s="1">
        <v>0.2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0.16550000000000004</v>
      </c>
      <c r="J80" s="1">
        <v>0.68</v>
      </c>
      <c r="K80" s="1">
        <v>0.68</v>
      </c>
      <c r="L80" s="1">
        <v>0.65</v>
      </c>
      <c r="M80" s="1">
        <v>0.61</v>
      </c>
      <c r="N80" s="1">
        <v>0.57999999999999996</v>
      </c>
    </row>
    <row r="81" spans="1:14" x14ac:dyDescent="0.3">
      <c r="A81" t="s">
        <v>299</v>
      </c>
      <c r="B81" t="s">
        <v>311</v>
      </c>
      <c r="C81" t="s">
        <v>16</v>
      </c>
      <c r="D81" s="1">
        <v>0.2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0.68</v>
      </c>
      <c r="K81" s="1">
        <v>0.68</v>
      </c>
      <c r="L81" s="1">
        <v>0.65</v>
      </c>
      <c r="M81" s="1">
        <v>0.61</v>
      </c>
      <c r="N81" s="1">
        <v>0.57999999999999996</v>
      </c>
    </row>
    <row r="82" spans="1:14" x14ac:dyDescent="0.3">
      <c r="A82" t="s">
        <v>299</v>
      </c>
      <c r="B82" t="s">
        <v>311</v>
      </c>
      <c r="C82" t="s">
        <v>16</v>
      </c>
      <c r="D82" s="1">
        <v>0.2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0.68</v>
      </c>
      <c r="K82" s="1">
        <v>0.68</v>
      </c>
      <c r="L82" s="1">
        <v>0.65</v>
      </c>
      <c r="M82" s="1">
        <v>0.61</v>
      </c>
      <c r="N82" s="1">
        <v>0.57999999999999996</v>
      </c>
    </row>
    <row r="83" spans="1:14" x14ac:dyDescent="0.3">
      <c r="A83" t="s">
        <v>299</v>
      </c>
      <c r="B83" t="s">
        <v>311</v>
      </c>
      <c r="C83" t="s">
        <v>16</v>
      </c>
      <c r="D83" s="1">
        <v>0.2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0.68</v>
      </c>
      <c r="K83" s="1">
        <v>0.68</v>
      </c>
      <c r="L83" s="1">
        <v>0.65</v>
      </c>
      <c r="M83" s="1">
        <v>0.61</v>
      </c>
      <c r="N83" s="1">
        <v>0.57999999999999996</v>
      </c>
    </row>
    <row r="84" spans="1:14" x14ac:dyDescent="0.3">
      <c r="A84" t="s">
        <v>299</v>
      </c>
      <c r="B84" t="s">
        <v>311</v>
      </c>
      <c r="C84" t="s">
        <v>25</v>
      </c>
      <c r="D84" s="1">
        <v>0.2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0.12400000000000003</v>
      </c>
      <c r="J84" s="1">
        <v>0.48</v>
      </c>
      <c r="K84" s="1">
        <v>0.48</v>
      </c>
      <c r="L84" s="1">
        <v>0.45</v>
      </c>
      <c r="M84" s="1">
        <v>0.41</v>
      </c>
      <c r="N84" s="1">
        <v>0.38</v>
      </c>
    </row>
    <row r="85" spans="1:14" x14ac:dyDescent="0.3">
      <c r="A85" t="s">
        <v>299</v>
      </c>
      <c r="B85" t="s">
        <v>311</v>
      </c>
      <c r="C85" t="s">
        <v>25</v>
      </c>
      <c r="D85" s="1">
        <v>0.2</v>
      </c>
      <c r="E85" t="s">
        <v>27</v>
      </c>
      <c r="F85" s="1">
        <v>0.25</v>
      </c>
      <c r="G85" t="s">
        <v>28</v>
      </c>
      <c r="H85" s="1">
        <v>0.7</v>
      </c>
      <c r="I85" s="1"/>
      <c r="J85" s="1">
        <v>0.48</v>
      </c>
      <c r="K85" s="1">
        <v>0.48</v>
      </c>
      <c r="L85" s="1">
        <v>0.45</v>
      </c>
      <c r="M85" s="1">
        <v>0.41</v>
      </c>
      <c r="N85" s="1">
        <v>0.38</v>
      </c>
    </row>
    <row r="86" spans="1:14" x14ac:dyDescent="0.3">
      <c r="A86" t="s">
        <v>299</v>
      </c>
      <c r="B86" t="s">
        <v>311</v>
      </c>
      <c r="C86" t="s">
        <v>25</v>
      </c>
      <c r="D86" s="1">
        <v>0.2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0.48</v>
      </c>
      <c r="K86" s="1">
        <v>0.48</v>
      </c>
      <c r="L86" s="1">
        <v>0.45</v>
      </c>
      <c r="M86" s="1">
        <v>0.41</v>
      </c>
      <c r="N86" s="1">
        <v>0.38</v>
      </c>
    </row>
    <row r="87" spans="1:14" x14ac:dyDescent="0.3">
      <c r="A87" t="s">
        <v>299</v>
      </c>
      <c r="B87" t="s">
        <v>311</v>
      </c>
      <c r="C87" t="s">
        <v>25</v>
      </c>
      <c r="D87" s="1">
        <v>0.2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0.48</v>
      </c>
      <c r="K87" s="1">
        <v>0.48</v>
      </c>
      <c r="L87" s="1">
        <v>0.45</v>
      </c>
      <c r="M87" s="1">
        <v>0.41</v>
      </c>
      <c r="N87" s="1">
        <v>0.38</v>
      </c>
    </row>
    <row r="88" spans="1:14" x14ac:dyDescent="0.3">
      <c r="A88" t="s">
        <v>299</v>
      </c>
      <c r="B88" t="s">
        <v>311</v>
      </c>
      <c r="C88" t="s">
        <v>37</v>
      </c>
      <c r="D88" s="1">
        <v>0.2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0.16200000000000003</v>
      </c>
      <c r="J88" s="1">
        <v>0.68</v>
      </c>
      <c r="K88" s="1">
        <v>0.68</v>
      </c>
      <c r="L88" s="1">
        <v>0.65</v>
      </c>
      <c r="M88" s="1">
        <v>0.61</v>
      </c>
      <c r="N88" s="1">
        <v>0.57999999999999996</v>
      </c>
    </row>
    <row r="89" spans="1:14" x14ac:dyDescent="0.3">
      <c r="A89" t="s">
        <v>299</v>
      </c>
      <c r="B89" t="s">
        <v>311</v>
      </c>
      <c r="C89" t="s">
        <v>37</v>
      </c>
      <c r="D89" s="1">
        <v>0.2</v>
      </c>
      <c r="E89" t="s">
        <v>304</v>
      </c>
      <c r="F89" s="1">
        <v>0.25</v>
      </c>
      <c r="G89" t="s">
        <v>40</v>
      </c>
      <c r="H89" s="1">
        <v>0.7</v>
      </c>
      <c r="I89" s="1"/>
      <c r="J89" s="1">
        <v>0.68</v>
      </c>
      <c r="K89" s="1">
        <v>0.68</v>
      </c>
      <c r="L89" s="1">
        <v>0.65</v>
      </c>
      <c r="M89" s="1">
        <v>0.61</v>
      </c>
      <c r="N89" s="1">
        <v>0.57999999999999996</v>
      </c>
    </row>
    <row r="90" spans="1:14" x14ac:dyDescent="0.3">
      <c r="A90" t="s">
        <v>299</v>
      </c>
      <c r="B90" t="s">
        <v>311</v>
      </c>
      <c r="C90" t="s">
        <v>37</v>
      </c>
      <c r="D90" s="1">
        <v>0.2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0.68</v>
      </c>
      <c r="K90" s="1">
        <v>0.68</v>
      </c>
      <c r="L90" s="1">
        <v>0.65</v>
      </c>
      <c r="M90" s="1">
        <v>0.61</v>
      </c>
      <c r="N90" s="1">
        <v>0.57999999999999996</v>
      </c>
    </row>
    <row r="91" spans="1:14" x14ac:dyDescent="0.3">
      <c r="A91" t="s">
        <v>299</v>
      </c>
      <c r="B91" t="s">
        <v>311</v>
      </c>
      <c r="C91" t="s">
        <v>37</v>
      </c>
      <c r="D91" s="1">
        <v>0.2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0.68</v>
      </c>
      <c r="K91" s="1">
        <v>0.68</v>
      </c>
      <c r="L91" s="1">
        <v>0.65</v>
      </c>
      <c r="M91" s="1">
        <v>0.61</v>
      </c>
      <c r="N91" s="1">
        <v>0.57999999999999996</v>
      </c>
    </row>
    <row r="92" spans="1:14" x14ac:dyDescent="0.3">
      <c r="A92" t="s">
        <v>299</v>
      </c>
      <c r="B92" t="s">
        <v>311</v>
      </c>
      <c r="C92" t="s">
        <v>151</v>
      </c>
      <c r="D92" s="1">
        <v>0.25</v>
      </c>
      <c r="E92" t="s">
        <v>208</v>
      </c>
      <c r="F92" s="1">
        <v>0.25</v>
      </c>
      <c r="G92" t="s">
        <v>40</v>
      </c>
      <c r="H92" s="1">
        <v>0.7</v>
      </c>
      <c r="I92" s="1">
        <f>SUMPRODUCT(H92:H95,F92:F95)*D92</f>
        <v>0.14687499999999998</v>
      </c>
      <c r="J92" s="1">
        <v>0.45</v>
      </c>
      <c r="K92" s="1">
        <v>0.45</v>
      </c>
      <c r="L92" s="1">
        <v>0.42</v>
      </c>
      <c r="M92" s="1">
        <v>0.38</v>
      </c>
      <c r="N92" s="1">
        <v>0.35</v>
      </c>
    </row>
    <row r="93" spans="1:14" x14ac:dyDescent="0.3">
      <c r="A93" t="s">
        <v>299</v>
      </c>
      <c r="B93" t="s">
        <v>311</v>
      </c>
      <c r="C93" t="s">
        <v>151</v>
      </c>
      <c r="D93" s="1">
        <v>0.25</v>
      </c>
      <c r="E93" t="s">
        <v>50</v>
      </c>
      <c r="F93" s="1">
        <v>0.25</v>
      </c>
      <c r="G93" t="s">
        <v>20</v>
      </c>
      <c r="H93" s="1">
        <v>0.6</v>
      </c>
      <c r="I93" s="1"/>
      <c r="J93" s="1">
        <v>0.45</v>
      </c>
      <c r="K93" s="1">
        <v>0.45</v>
      </c>
      <c r="L93" s="1">
        <v>0.42</v>
      </c>
      <c r="M93" s="1">
        <v>0.38</v>
      </c>
      <c r="N93" s="1">
        <v>0.35</v>
      </c>
    </row>
    <row r="94" spans="1:14" x14ac:dyDescent="0.3">
      <c r="A94" t="s">
        <v>299</v>
      </c>
      <c r="B94" t="s">
        <v>311</v>
      </c>
      <c r="C94" t="s">
        <v>151</v>
      </c>
      <c r="D94" s="1">
        <v>0.25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0.45</v>
      </c>
      <c r="K94" s="1">
        <v>0.45</v>
      </c>
      <c r="L94" s="1">
        <v>0.42</v>
      </c>
      <c r="M94" s="1">
        <v>0.38</v>
      </c>
      <c r="N94" s="1">
        <v>0.35</v>
      </c>
    </row>
    <row r="95" spans="1:14" x14ac:dyDescent="0.3">
      <c r="A95" t="s">
        <v>299</v>
      </c>
      <c r="B95" t="s">
        <v>311</v>
      </c>
      <c r="C95" t="s">
        <v>151</v>
      </c>
      <c r="D95" s="1">
        <v>0.25</v>
      </c>
      <c r="E95" t="s">
        <v>305</v>
      </c>
      <c r="F95" s="1">
        <v>0.25</v>
      </c>
      <c r="G95" t="s">
        <v>24</v>
      </c>
      <c r="H95" s="1">
        <v>0.95</v>
      </c>
      <c r="I95" s="1"/>
      <c r="J95" s="1">
        <v>0.45</v>
      </c>
      <c r="K95" s="1">
        <v>0.45</v>
      </c>
      <c r="L95" s="1">
        <v>0.42</v>
      </c>
      <c r="M95" s="1">
        <v>0.38</v>
      </c>
      <c r="N95" s="1">
        <v>0.35</v>
      </c>
    </row>
    <row r="96" spans="1:14" x14ac:dyDescent="0.3">
      <c r="A96" t="s">
        <v>299</v>
      </c>
      <c r="B96" t="s">
        <v>311</v>
      </c>
      <c r="C96" t="s">
        <v>306</v>
      </c>
      <c r="D96" s="1">
        <v>0.15</v>
      </c>
      <c r="E96" t="s">
        <v>55</v>
      </c>
      <c r="F96" s="1">
        <v>0.3</v>
      </c>
      <c r="G96" t="s">
        <v>56</v>
      </c>
      <c r="H96" s="1">
        <v>0.3</v>
      </c>
      <c r="I96" s="1">
        <f>SUMPRODUCT(H96:H99,F96:F99)*D96</f>
        <v>6.8250000000000005E-2</v>
      </c>
      <c r="J96" s="1">
        <v>0.35</v>
      </c>
      <c r="K96" s="1">
        <v>0.35</v>
      </c>
      <c r="L96" s="1">
        <v>0.32</v>
      </c>
      <c r="M96" s="1">
        <v>0.28000000000000003</v>
      </c>
      <c r="N96" s="1">
        <v>0.25</v>
      </c>
    </row>
    <row r="97" spans="1:14" x14ac:dyDescent="0.3">
      <c r="A97" t="s">
        <v>299</v>
      </c>
      <c r="B97" t="s">
        <v>311</v>
      </c>
      <c r="C97" t="s">
        <v>306</v>
      </c>
      <c r="D97" s="1">
        <v>0.15</v>
      </c>
      <c r="E97" t="s">
        <v>273</v>
      </c>
      <c r="F97" s="1">
        <v>0.25</v>
      </c>
      <c r="G97" t="s">
        <v>20</v>
      </c>
      <c r="H97" s="1">
        <v>0.6</v>
      </c>
      <c r="I97" s="1"/>
      <c r="J97" s="1">
        <v>0.35</v>
      </c>
      <c r="K97" s="1">
        <v>0.35</v>
      </c>
      <c r="L97" s="1">
        <v>0.32</v>
      </c>
      <c r="M97" s="1">
        <v>0.28000000000000003</v>
      </c>
      <c r="N97" s="1">
        <v>0.25</v>
      </c>
    </row>
    <row r="98" spans="1:14" x14ac:dyDescent="0.3">
      <c r="A98" t="s">
        <v>299</v>
      </c>
      <c r="B98" t="s">
        <v>311</v>
      </c>
      <c r="C98" t="s">
        <v>306</v>
      </c>
      <c r="D98" s="1">
        <v>0.15</v>
      </c>
      <c r="E98" t="s">
        <v>58</v>
      </c>
      <c r="F98" s="1">
        <v>0.25</v>
      </c>
      <c r="G98" t="s">
        <v>30</v>
      </c>
      <c r="H98" s="1">
        <v>0.1</v>
      </c>
      <c r="I98" s="1"/>
      <c r="J98" s="1">
        <v>0.35</v>
      </c>
      <c r="K98" s="1">
        <v>0.35</v>
      </c>
      <c r="L98" s="1">
        <v>0.32</v>
      </c>
      <c r="M98" s="1">
        <v>0.28000000000000003</v>
      </c>
      <c r="N98" s="1">
        <v>0.25</v>
      </c>
    </row>
    <row r="99" spans="1:14" x14ac:dyDescent="0.3">
      <c r="A99" t="s">
        <v>299</v>
      </c>
      <c r="B99" t="s">
        <v>311</v>
      </c>
      <c r="C99" t="s">
        <v>306</v>
      </c>
      <c r="D99" s="1">
        <v>0.15</v>
      </c>
      <c r="E99" t="s">
        <v>59</v>
      </c>
      <c r="F99" s="1">
        <v>0.2</v>
      </c>
      <c r="G99" t="s">
        <v>24</v>
      </c>
      <c r="H99" s="1">
        <v>0.95</v>
      </c>
      <c r="I99" s="1"/>
      <c r="J99" s="1">
        <v>0.35</v>
      </c>
      <c r="K99" s="1">
        <v>0.35</v>
      </c>
      <c r="L99" s="1">
        <v>0.32</v>
      </c>
      <c r="M99" s="1">
        <v>0.28000000000000003</v>
      </c>
      <c r="N99" s="1">
        <v>0.25</v>
      </c>
    </row>
    <row r="100" spans="1:14" x14ac:dyDescent="0.3">
      <c r="D100" s="1"/>
      <c r="F100" s="1"/>
      <c r="H100" s="1"/>
      <c r="I100" s="2">
        <f>SUM(I80:I98)</f>
        <v>0.66662500000000013</v>
      </c>
      <c r="J100" s="2">
        <f>+J80*$D80+J84*$D84+J88*$D88+J92*$D92+J96*$D96+$D76*J76</f>
        <v>0.56800000000000006</v>
      </c>
      <c r="K100" s="2">
        <f t="shared" ref="K100:N100" si="3">+K80*$D80+K84*$D84+K88*$D88+K92*$D92+K96*$D96+$D76*K76</f>
        <v>0.56800000000000006</v>
      </c>
      <c r="L100" s="2">
        <f t="shared" si="3"/>
        <v>0.53500000000000003</v>
      </c>
      <c r="M100" s="2">
        <f t="shared" si="3"/>
        <v>0.49100000000000005</v>
      </c>
      <c r="N100" s="2">
        <f t="shared" si="3"/>
        <v>0.45899999999999996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299</v>
      </c>
      <c r="B102" t="s">
        <v>312</v>
      </c>
      <c r="C102" t="s">
        <v>301</v>
      </c>
      <c r="D102" s="1">
        <v>0.15</v>
      </c>
      <c r="E102" t="s">
        <v>72</v>
      </c>
      <c r="F102" s="1">
        <v>0.3</v>
      </c>
      <c r="G102" t="s">
        <v>73</v>
      </c>
      <c r="H102" s="1">
        <v>0.7</v>
      </c>
      <c r="I102" s="1">
        <f>SUMPRODUCT(H102:H105,F102:F105)*D102</f>
        <v>6.8250000000000005E-2</v>
      </c>
      <c r="J102" s="1">
        <v>0.36</v>
      </c>
      <c r="K102" s="1">
        <v>0.36</v>
      </c>
      <c r="L102" s="1">
        <v>0.32</v>
      </c>
      <c r="M102" s="1">
        <v>0.28000000000000003</v>
      </c>
      <c r="N102" s="1">
        <v>0.28000000000000003</v>
      </c>
    </row>
    <row r="103" spans="1:14" x14ac:dyDescent="0.3">
      <c r="A103" t="s">
        <v>299</v>
      </c>
      <c r="B103" t="s">
        <v>312</v>
      </c>
      <c r="C103" t="s">
        <v>301</v>
      </c>
      <c r="D103" s="1">
        <v>0.15</v>
      </c>
      <c r="E103" t="s">
        <v>302</v>
      </c>
      <c r="F103" s="1">
        <v>0.25</v>
      </c>
      <c r="G103" t="s">
        <v>20</v>
      </c>
      <c r="H103" s="1">
        <v>0.6</v>
      </c>
      <c r="I103" s="1"/>
      <c r="J103" s="1">
        <v>0.36</v>
      </c>
      <c r="K103" s="1">
        <v>0.36</v>
      </c>
      <c r="L103" s="1">
        <v>0.32</v>
      </c>
      <c r="M103" s="1">
        <v>0.28000000000000003</v>
      </c>
      <c r="N103" s="1">
        <v>0.28000000000000003</v>
      </c>
    </row>
    <row r="104" spans="1:14" x14ac:dyDescent="0.3">
      <c r="A104" t="s">
        <v>299</v>
      </c>
      <c r="B104" t="s">
        <v>312</v>
      </c>
      <c r="C104" t="s">
        <v>301</v>
      </c>
      <c r="D104" s="1">
        <v>0.15</v>
      </c>
      <c r="E104" t="s">
        <v>147</v>
      </c>
      <c r="F104" s="1">
        <v>0.25</v>
      </c>
      <c r="G104" t="s">
        <v>56</v>
      </c>
      <c r="H104" s="1">
        <v>0.3</v>
      </c>
      <c r="I104" s="1"/>
      <c r="J104" s="1">
        <v>0.36</v>
      </c>
      <c r="K104" s="1">
        <v>0.36</v>
      </c>
      <c r="L104" s="1">
        <v>0.32</v>
      </c>
      <c r="M104" s="1">
        <v>0.28000000000000003</v>
      </c>
      <c r="N104" s="1">
        <v>0.28000000000000003</v>
      </c>
    </row>
    <row r="105" spans="1:14" x14ac:dyDescent="0.3">
      <c r="A105" t="s">
        <v>299</v>
      </c>
      <c r="B105" t="s">
        <v>312</v>
      </c>
      <c r="C105" t="s">
        <v>301</v>
      </c>
      <c r="D105" s="1">
        <v>0.15</v>
      </c>
      <c r="E105" t="s">
        <v>303</v>
      </c>
      <c r="F105" s="1">
        <v>0.2</v>
      </c>
      <c r="G105" t="s">
        <v>30</v>
      </c>
      <c r="H105" s="1">
        <v>0.1</v>
      </c>
      <c r="I105" s="1"/>
      <c r="J105" s="1">
        <v>0.36</v>
      </c>
      <c r="K105" s="1">
        <v>0.36</v>
      </c>
      <c r="L105" s="1">
        <v>0.32</v>
      </c>
      <c r="M105" s="1">
        <v>0.28000000000000003</v>
      </c>
      <c r="N105" s="1">
        <v>0.28000000000000003</v>
      </c>
    </row>
    <row r="106" spans="1:14" x14ac:dyDescent="0.3">
      <c r="A106" t="s">
        <v>299</v>
      </c>
      <c r="B106" t="s">
        <v>312</v>
      </c>
      <c r="C106" t="s">
        <v>16</v>
      </c>
      <c r="D106" s="1">
        <v>0.2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0.16550000000000004</v>
      </c>
      <c r="J106" s="1">
        <v>0.68</v>
      </c>
      <c r="K106" s="1">
        <v>0.68</v>
      </c>
      <c r="L106" s="1">
        <v>0.64</v>
      </c>
      <c r="M106" s="1">
        <v>0.6</v>
      </c>
      <c r="N106" s="1">
        <v>0.6</v>
      </c>
    </row>
    <row r="107" spans="1:14" x14ac:dyDescent="0.3">
      <c r="A107" t="s">
        <v>299</v>
      </c>
      <c r="B107" t="s">
        <v>312</v>
      </c>
      <c r="C107" t="s">
        <v>16</v>
      </c>
      <c r="D107" s="1">
        <v>0.2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0.68</v>
      </c>
      <c r="K107" s="1">
        <v>0.68</v>
      </c>
      <c r="L107" s="1">
        <v>0.64</v>
      </c>
      <c r="M107" s="1">
        <v>0.6</v>
      </c>
      <c r="N107" s="1">
        <v>0.6</v>
      </c>
    </row>
    <row r="108" spans="1:14" x14ac:dyDescent="0.3">
      <c r="A108" t="s">
        <v>299</v>
      </c>
      <c r="B108" t="s">
        <v>312</v>
      </c>
      <c r="C108" t="s">
        <v>16</v>
      </c>
      <c r="D108" s="1">
        <v>0.2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0.68</v>
      </c>
      <c r="K108" s="1">
        <v>0.68</v>
      </c>
      <c r="L108" s="1">
        <v>0.64</v>
      </c>
      <c r="M108" s="1">
        <v>0.6</v>
      </c>
      <c r="N108" s="1">
        <v>0.6</v>
      </c>
    </row>
    <row r="109" spans="1:14" x14ac:dyDescent="0.3">
      <c r="A109" t="s">
        <v>299</v>
      </c>
      <c r="B109" t="s">
        <v>312</v>
      </c>
      <c r="C109" t="s">
        <v>16</v>
      </c>
      <c r="D109" s="1">
        <v>0.2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0.68</v>
      </c>
      <c r="K109" s="1">
        <v>0.68</v>
      </c>
      <c r="L109" s="1">
        <v>0.64</v>
      </c>
      <c r="M109" s="1">
        <v>0.6</v>
      </c>
      <c r="N109" s="1">
        <v>0.6</v>
      </c>
    </row>
    <row r="110" spans="1:14" x14ac:dyDescent="0.3">
      <c r="A110" t="s">
        <v>299</v>
      </c>
      <c r="B110" t="s">
        <v>312</v>
      </c>
      <c r="C110" t="s">
        <v>25</v>
      </c>
      <c r="D110" s="1">
        <v>0.15</v>
      </c>
      <c r="E110" t="s">
        <v>26</v>
      </c>
      <c r="F110" s="1">
        <v>0.25</v>
      </c>
      <c r="G110" t="s">
        <v>18</v>
      </c>
      <c r="H110" s="1">
        <v>0.9</v>
      </c>
      <c r="I110" s="1">
        <f>SUMPRODUCT(H110:H113,F110:F113)*D110</f>
        <v>9.3000000000000013E-2</v>
      </c>
      <c r="J110" s="1">
        <v>0.48</v>
      </c>
      <c r="K110" s="1">
        <v>0.48</v>
      </c>
      <c r="L110" s="1">
        <v>0.44</v>
      </c>
      <c r="M110" s="1">
        <v>0.4</v>
      </c>
      <c r="N110" s="1">
        <v>0.4</v>
      </c>
    </row>
    <row r="111" spans="1:14" x14ac:dyDescent="0.3">
      <c r="A111" t="s">
        <v>299</v>
      </c>
      <c r="B111" t="s">
        <v>312</v>
      </c>
      <c r="C111" t="s">
        <v>25</v>
      </c>
      <c r="D111" s="1">
        <v>0.15</v>
      </c>
      <c r="E111" t="s">
        <v>27</v>
      </c>
      <c r="F111" s="1">
        <v>0.25</v>
      </c>
      <c r="G111" t="s">
        <v>28</v>
      </c>
      <c r="H111" s="1">
        <v>0.7</v>
      </c>
      <c r="I111" s="1"/>
      <c r="J111" s="1">
        <v>0.48</v>
      </c>
      <c r="K111" s="1">
        <v>0.48</v>
      </c>
      <c r="L111" s="1">
        <v>0.44</v>
      </c>
      <c r="M111" s="1">
        <v>0.4</v>
      </c>
      <c r="N111" s="1">
        <v>0.4</v>
      </c>
    </row>
    <row r="112" spans="1:14" x14ac:dyDescent="0.3">
      <c r="A112" t="s">
        <v>299</v>
      </c>
      <c r="B112" t="s">
        <v>312</v>
      </c>
      <c r="C112" t="s">
        <v>25</v>
      </c>
      <c r="D112" s="1">
        <v>0.15</v>
      </c>
      <c r="E112" t="s">
        <v>29</v>
      </c>
      <c r="F112" s="1">
        <v>0.3</v>
      </c>
      <c r="G112" t="s">
        <v>30</v>
      </c>
      <c r="H112" s="1">
        <v>0.1</v>
      </c>
      <c r="I112" s="1"/>
      <c r="J112" s="1">
        <v>0.48</v>
      </c>
      <c r="K112" s="1">
        <v>0.48</v>
      </c>
      <c r="L112" s="1">
        <v>0.44</v>
      </c>
      <c r="M112" s="1">
        <v>0.4</v>
      </c>
      <c r="N112" s="1">
        <v>0.4</v>
      </c>
    </row>
    <row r="113" spans="1:14" x14ac:dyDescent="0.3">
      <c r="A113" t="s">
        <v>299</v>
      </c>
      <c r="B113" t="s">
        <v>312</v>
      </c>
      <c r="C113" t="s">
        <v>25</v>
      </c>
      <c r="D113" s="1">
        <v>0.15</v>
      </c>
      <c r="E113" t="s">
        <v>31</v>
      </c>
      <c r="F113" s="1">
        <v>0.2</v>
      </c>
      <c r="G113" t="s">
        <v>24</v>
      </c>
      <c r="H113" s="1">
        <v>0.95</v>
      </c>
      <c r="I113" s="1"/>
      <c r="J113" s="1">
        <v>0.48</v>
      </c>
      <c r="K113" s="1">
        <v>0.48</v>
      </c>
      <c r="L113" s="1">
        <v>0.44</v>
      </c>
      <c r="M113" s="1">
        <v>0.4</v>
      </c>
      <c r="N113" s="1">
        <v>0.4</v>
      </c>
    </row>
    <row r="114" spans="1:14" x14ac:dyDescent="0.3">
      <c r="A114" t="s">
        <v>299</v>
      </c>
      <c r="B114" t="s">
        <v>312</v>
      </c>
      <c r="C114" t="s">
        <v>37</v>
      </c>
      <c r="D114" s="1">
        <v>0.2</v>
      </c>
      <c r="E114" t="s">
        <v>38</v>
      </c>
      <c r="F114" s="1">
        <v>0.3</v>
      </c>
      <c r="G114" t="s">
        <v>18</v>
      </c>
      <c r="H114" s="1">
        <v>0.9</v>
      </c>
      <c r="I114" s="1">
        <f>SUMPRODUCT(H114:H117,F114:F117)*D114</f>
        <v>0.16200000000000003</v>
      </c>
      <c r="J114" s="1">
        <v>0.68</v>
      </c>
      <c r="K114" s="1">
        <v>0.68</v>
      </c>
      <c r="L114" s="1">
        <v>0.64</v>
      </c>
      <c r="M114" s="1">
        <v>0.6</v>
      </c>
      <c r="N114" s="1">
        <v>0.6</v>
      </c>
    </row>
    <row r="115" spans="1:14" x14ac:dyDescent="0.3">
      <c r="A115" t="s">
        <v>299</v>
      </c>
      <c r="B115" t="s">
        <v>312</v>
      </c>
      <c r="C115" t="s">
        <v>37</v>
      </c>
      <c r="D115" s="1">
        <v>0.2</v>
      </c>
      <c r="E115" t="s">
        <v>304</v>
      </c>
      <c r="F115" s="1">
        <v>0.25</v>
      </c>
      <c r="G115" t="s">
        <v>40</v>
      </c>
      <c r="H115" s="1">
        <v>0.7</v>
      </c>
      <c r="I115" s="1"/>
      <c r="J115" s="1">
        <v>0.68</v>
      </c>
      <c r="K115" s="1">
        <v>0.68</v>
      </c>
      <c r="L115" s="1">
        <v>0.64</v>
      </c>
      <c r="M115" s="1">
        <v>0.6</v>
      </c>
      <c r="N115" s="1">
        <v>0.6</v>
      </c>
    </row>
    <row r="116" spans="1:14" x14ac:dyDescent="0.3">
      <c r="A116" t="s">
        <v>299</v>
      </c>
      <c r="B116" t="s">
        <v>312</v>
      </c>
      <c r="C116" t="s">
        <v>37</v>
      </c>
      <c r="D116" s="1">
        <v>0.2</v>
      </c>
      <c r="E116" t="s">
        <v>41</v>
      </c>
      <c r="F116" s="1">
        <v>0.25</v>
      </c>
      <c r="G116" t="s">
        <v>28</v>
      </c>
      <c r="H116" s="1">
        <v>0.7</v>
      </c>
      <c r="I116" s="1"/>
      <c r="J116" s="1">
        <v>0.68</v>
      </c>
      <c r="K116" s="1">
        <v>0.68</v>
      </c>
      <c r="L116" s="1">
        <v>0.64</v>
      </c>
      <c r="M116" s="1">
        <v>0.6</v>
      </c>
      <c r="N116" s="1">
        <v>0.6</v>
      </c>
    </row>
    <row r="117" spans="1:14" x14ac:dyDescent="0.3">
      <c r="A117" t="s">
        <v>299</v>
      </c>
      <c r="B117" t="s">
        <v>312</v>
      </c>
      <c r="C117" t="s">
        <v>37</v>
      </c>
      <c r="D117" s="1">
        <v>0.2</v>
      </c>
      <c r="E117" t="s">
        <v>42</v>
      </c>
      <c r="F117" s="1">
        <v>0.2</v>
      </c>
      <c r="G117" t="s">
        <v>24</v>
      </c>
      <c r="H117" s="1">
        <v>0.95</v>
      </c>
      <c r="I117" s="1"/>
      <c r="J117" s="1">
        <v>0.68</v>
      </c>
      <c r="K117" s="1">
        <v>0.68</v>
      </c>
      <c r="L117" s="1">
        <v>0.64</v>
      </c>
      <c r="M117" s="1">
        <v>0.6</v>
      </c>
      <c r="N117" s="1">
        <v>0.6</v>
      </c>
    </row>
    <row r="118" spans="1:14" x14ac:dyDescent="0.3">
      <c r="A118" t="s">
        <v>299</v>
      </c>
      <c r="B118" t="s">
        <v>312</v>
      </c>
      <c r="C118" t="s">
        <v>151</v>
      </c>
      <c r="D118" s="1">
        <v>0.2</v>
      </c>
      <c r="E118" t="s">
        <v>208</v>
      </c>
      <c r="F118" s="1">
        <v>0.25</v>
      </c>
      <c r="G118" t="s">
        <v>40</v>
      </c>
      <c r="H118" s="1">
        <v>0.7</v>
      </c>
      <c r="I118" s="1">
        <f>SUMPRODUCT(H118:H121,F118:F121)*D118</f>
        <v>0.11749999999999999</v>
      </c>
      <c r="J118" s="1">
        <v>0.45</v>
      </c>
      <c r="K118" s="1">
        <v>0.45</v>
      </c>
      <c r="L118" s="1">
        <v>0.41</v>
      </c>
      <c r="M118" s="1">
        <v>0.37</v>
      </c>
      <c r="N118" s="1">
        <v>0.37</v>
      </c>
    </row>
    <row r="119" spans="1:14" x14ac:dyDescent="0.3">
      <c r="A119" t="s">
        <v>299</v>
      </c>
      <c r="B119" t="s">
        <v>312</v>
      </c>
      <c r="C119" t="s">
        <v>151</v>
      </c>
      <c r="D119" s="1">
        <v>0.2</v>
      </c>
      <c r="E119" t="s">
        <v>50</v>
      </c>
      <c r="F119" s="1">
        <v>0.25</v>
      </c>
      <c r="G119" t="s">
        <v>20</v>
      </c>
      <c r="H119" s="1">
        <v>0.6</v>
      </c>
      <c r="I119" s="1"/>
      <c r="J119" s="1">
        <v>0.45</v>
      </c>
      <c r="K119" s="1">
        <v>0.45</v>
      </c>
      <c r="L119" s="1">
        <v>0.41</v>
      </c>
      <c r="M119" s="1">
        <v>0.37</v>
      </c>
      <c r="N119" s="1">
        <v>0.37</v>
      </c>
    </row>
    <row r="120" spans="1:14" x14ac:dyDescent="0.3">
      <c r="A120" t="s">
        <v>299</v>
      </c>
      <c r="B120" t="s">
        <v>312</v>
      </c>
      <c r="C120" t="s">
        <v>151</v>
      </c>
      <c r="D120" s="1">
        <v>0.2</v>
      </c>
      <c r="E120" t="s">
        <v>210</v>
      </c>
      <c r="F120" s="1">
        <v>0.25</v>
      </c>
      <c r="G120" t="s">
        <v>30</v>
      </c>
      <c r="H120" s="1">
        <v>0.1</v>
      </c>
      <c r="I120" s="1"/>
      <c r="J120" s="1">
        <v>0.45</v>
      </c>
      <c r="K120" s="1">
        <v>0.45</v>
      </c>
      <c r="L120" s="1">
        <v>0.41</v>
      </c>
      <c r="M120" s="1">
        <v>0.37</v>
      </c>
      <c r="N120" s="1">
        <v>0.37</v>
      </c>
    </row>
    <row r="121" spans="1:14" x14ac:dyDescent="0.3">
      <c r="A121" t="s">
        <v>299</v>
      </c>
      <c r="B121" t="s">
        <v>312</v>
      </c>
      <c r="C121" t="s">
        <v>151</v>
      </c>
      <c r="D121" s="1">
        <v>0.2</v>
      </c>
      <c r="E121" t="s">
        <v>305</v>
      </c>
      <c r="F121" s="1">
        <v>0.25</v>
      </c>
      <c r="G121" t="s">
        <v>24</v>
      </c>
      <c r="H121" s="1">
        <v>0.95</v>
      </c>
      <c r="I121" s="1"/>
      <c r="J121" s="1">
        <v>0.45</v>
      </c>
      <c r="K121" s="1">
        <v>0.45</v>
      </c>
      <c r="L121" s="1">
        <v>0.41</v>
      </c>
      <c r="M121" s="1">
        <v>0.37</v>
      </c>
      <c r="N121" s="1">
        <v>0.37</v>
      </c>
    </row>
    <row r="122" spans="1:14" x14ac:dyDescent="0.3">
      <c r="A122" t="s">
        <v>299</v>
      </c>
      <c r="B122" t="s">
        <v>312</v>
      </c>
      <c r="C122" t="s">
        <v>306</v>
      </c>
      <c r="D122" s="1">
        <v>0.1</v>
      </c>
      <c r="E122" t="s">
        <v>55</v>
      </c>
      <c r="F122" s="1">
        <v>0.3</v>
      </c>
      <c r="G122" t="s">
        <v>56</v>
      </c>
      <c r="H122" s="1">
        <v>0.3</v>
      </c>
      <c r="I122" s="1">
        <f>SUMPRODUCT(H122:H125,F122:F125)*D122</f>
        <v>4.5500000000000006E-2</v>
      </c>
      <c r="J122" s="1">
        <v>0.35</v>
      </c>
      <c r="K122" s="1">
        <v>0.35</v>
      </c>
      <c r="L122" s="1">
        <v>0.31</v>
      </c>
      <c r="M122" s="1">
        <v>0.27</v>
      </c>
      <c r="N122" s="1">
        <v>0.27</v>
      </c>
    </row>
    <row r="123" spans="1:14" x14ac:dyDescent="0.3">
      <c r="A123" t="s">
        <v>299</v>
      </c>
      <c r="B123" t="s">
        <v>312</v>
      </c>
      <c r="C123" t="s">
        <v>306</v>
      </c>
      <c r="D123" s="1">
        <v>0.1</v>
      </c>
      <c r="E123" t="s">
        <v>273</v>
      </c>
      <c r="F123" s="1">
        <v>0.25</v>
      </c>
      <c r="G123" t="s">
        <v>20</v>
      </c>
      <c r="H123" s="1">
        <v>0.6</v>
      </c>
      <c r="I123" s="1"/>
      <c r="J123" s="1">
        <v>0.35</v>
      </c>
      <c r="K123" s="1">
        <v>0.35</v>
      </c>
      <c r="L123" s="1">
        <v>0.31</v>
      </c>
      <c r="M123" s="1">
        <v>0.27</v>
      </c>
      <c r="N123" s="1">
        <v>0.27</v>
      </c>
    </row>
    <row r="124" spans="1:14" x14ac:dyDescent="0.3">
      <c r="A124" t="s">
        <v>299</v>
      </c>
      <c r="B124" t="s">
        <v>312</v>
      </c>
      <c r="C124" t="s">
        <v>306</v>
      </c>
      <c r="D124" s="1">
        <v>0.1</v>
      </c>
      <c r="E124" t="s">
        <v>58</v>
      </c>
      <c r="F124" s="1">
        <v>0.25</v>
      </c>
      <c r="G124" t="s">
        <v>30</v>
      </c>
      <c r="H124" s="1">
        <v>0.1</v>
      </c>
      <c r="I124" s="1"/>
      <c r="J124" s="1">
        <v>0.35</v>
      </c>
      <c r="K124" s="1">
        <v>0.35</v>
      </c>
      <c r="L124" s="1">
        <v>0.31</v>
      </c>
      <c r="M124" s="1">
        <v>0.27</v>
      </c>
      <c r="N124" s="1">
        <v>0.27</v>
      </c>
    </row>
    <row r="125" spans="1:14" x14ac:dyDescent="0.3">
      <c r="A125" t="s">
        <v>299</v>
      </c>
      <c r="B125" t="s">
        <v>312</v>
      </c>
      <c r="C125" t="s">
        <v>306</v>
      </c>
      <c r="D125" s="1">
        <v>0.1</v>
      </c>
      <c r="E125" t="s">
        <v>59</v>
      </c>
      <c r="F125" s="1">
        <v>0.2</v>
      </c>
      <c r="G125" t="s">
        <v>24</v>
      </c>
      <c r="H125" s="1">
        <v>0.95</v>
      </c>
      <c r="I125" s="1"/>
      <c r="J125" s="1">
        <v>0.35</v>
      </c>
      <c r="K125" s="1">
        <v>0.35</v>
      </c>
      <c r="L125" s="1">
        <v>0.31</v>
      </c>
      <c r="M125" s="1">
        <v>0.27</v>
      </c>
      <c r="N125" s="1">
        <v>0.27</v>
      </c>
    </row>
    <row r="126" spans="1:14" x14ac:dyDescent="0.3">
      <c r="D126" s="1"/>
      <c r="F126" s="1"/>
      <c r="H126" s="1"/>
      <c r="I126" s="2">
        <f>SUM(I102:I124)</f>
        <v>0.65175000000000005</v>
      </c>
      <c r="J126" s="2">
        <f>+J106*$D106+J110*$D110+J114*$D114+J118*$D118+J122*$D122+$D102*J102</f>
        <v>0.52300000000000002</v>
      </c>
      <c r="K126" s="2">
        <f t="shared" ref="K126:N126" si="4">+K106*$D106+K110*$D110+K114*$D114+K118*$D118+K122*$D122+$D102*K102</f>
        <v>0.52300000000000002</v>
      </c>
      <c r="L126" s="2">
        <f t="shared" si="4"/>
        <v>0.48300000000000004</v>
      </c>
      <c r="M126" s="2">
        <f t="shared" si="4"/>
        <v>0.443</v>
      </c>
      <c r="N126" s="2">
        <f t="shared" si="4"/>
        <v>0.443</v>
      </c>
    </row>
    <row r="127" spans="1:14" x14ac:dyDescent="0.3">
      <c r="D127" s="1"/>
      <c r="F127" s="1"/>
      <c r="H127" s="1"/>
      <c r="I127" s="1"/>
      <c r="J127" s="1"/>
      <c r="K127" s="1"/>
      <c r="L127" s="1"/>
      <c r="M127" s="1"/>
      <c r="N127" s="1"/>
    </row>
    <row r="128" spans="1:14" x14ac:dyDescent="0.3">
      <c r="A128" t="s">
        <v>299</v>
      </c>
      <c r="B128" t="s">
        <v>313</v>
      </c>
      <c r="C128" t="s">
        <v>301</v>
      </c>
      <c r="D128" s="1">
        <v>0.15</v>
      </c>
      <c r="E128" t="s">
        <v>72</v>
      </c>
      <c r="F128" s="1">
        <v>0.3</v>
      </c>
      <c r="G128" t="s">
        <v>73</v>
      </c>
      <c r="H128" s="1">
        <v>0.7</v>
      </c>
      <c r="I128" s="1">
        <f>SUMPRODUCT(H128:H131,F128:F131)*D128</f>
        <v>6.8250000000000005E-2</v>
      </c>
      <c r="J128" s="1">
        <v>0.36</v>
      </c>
      <c r="K128" s="1">
        <v>0.36</v>
      </c>
      <c r="L128" s="1">
        <v>0.33</v>
      </c>
      <c r="M128" s="1">
        <v>0.28999999999999998</v>
      </c>
      <c r="N128" s="1">
        <v>0.27</v>
      </c>
    </row>
    <row r="129" spans="1:14" x14ac:dyDescent="0.3">
      <c r="A129" t="s">
        <v>299</v>
      </c>
      <c r="B129" t="s">
        <v>313</v>
      </c>
      <c r="C129" t="s">
        <v>301</v>
      </c>
      <c r="D129" s="1">
        <v>0.15</v>
      </c>
      <c r="E129" t="s">
        <v>302</v>
      </c>
      <c r="F129" s="1">
        <v>0.25</v>
      </c>
      <c r="G129" t="s">
        <v>20</v>
      </c>
      <c r="H129" s="1">
        <v>0.6</v>
      </c>
      <c r="I129" s="1"/>
      <c r="J129" s="1">
        <v>0.36</v>
      </c>
      <c r="K129" s="1">
        <v>0.36</v>
      </c>
      <c r="L129" s="1">
        <v>0.33</v>
      </c>
      <c r="M129" s="1">
        <v>0.28999999999999998</v>
      </c>
      <c r="N129" s="1">
        <v>0.27</v>
      </c>
    </row>
    <row r="130" spans="1:14" x14ac:dyDescent="0.3">
      <c r="A130" t="s">
        <v>299</v>
      </c>
      <c r="B130" t="s">
        <v>313</v>
      </c>
      <c r="C130" t="s">
        <v>301</v>
      </c>
      <c r="D130" s="1">
        <v>0.15</v>
      </c>
      <c r="E130" t="s">
        <v>147</v>
      </c>
      <c r="F130" s="1">
        <v>0.25</v>
      </c>
      <c r="G130" t="s">
        <v>56</v>
      </c>
      <c r="H130" s="1">
        <v>0.3</v>
      </c>
      <c r="I130" s="1"/>
      <c r="J130" s="1">
        <v>0.36</v>
      </c>
      <c r="K130" s="1">
        <v>0.36</v>
      </c>
      <c r="L130" s="1">
        <v>0.33</v>
      </c>
      <c r="M130" s="1">
        <v>0.28999999999999998</v>
      </c>
      <c r="N130" s="1">
        <v>0.27</v>
      </c>
    </row>
    <row r="131" spans="1:14" x14ac:dyDescent="0.3">
      <c r="A131" t="s">
        <v>299</v>
      </c>
      <c r="B131" t="s">
        <v>313</v>
      </c>
      <c r="C131" t="s">
        <v>301</v>
      </c>
      <c r="D131" s="1">
        <v>0.15</v>
      </c>
      <c r="E131" t="s">
        <v>303</v>
      </c>
      <c r="F131" s="1">
        <v>0.2</v>
      </c>
      <c r="G131" t="s">
        <v>30</v>
      </c>
      <c r="H131" s="1">
        <v>0.1</v>
      </c>
      <c r="I131" s="1"/>
      <c r="J131" s="1">
        <v>0.36</v>
      </c>
      <c r="K131" s="1">
        <v>0.36</v>
      </c>
      <c r="L131" s="1">
        <v>0.33</v>
      </c>
      <c r="M131" s="1">
        <v>0.28999999999999998</v>
      </c>
      <c r="N131" s="1">
        <v>0.27</v>
      </c>
    </row>
    <row r="132" spans="1:14" x14ac:dyDescent="0.3">
      <c r="A132" t="s">
        <v>299</v>
      </c>
      <c r="B132" t="s">
        <v>313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0.68</v>
      </c>
      <c r="K132" s="1">
        <v>0.68</v>
      </c>
      <c r="L132" s="1">
        <v>0.65</v>
      </c>
      <c r="M132" s="1">
        <v>0.61</v>
      </c>
      <c r="N132" s="1">
        <v>0.59</v>
      </c>
    </row>
    <row r="133" spans="1:14" x14ac:dyDescent="0.3">
      <c r="A133" t="s">
        <v>299</v>
      </c>
      <c r="B133" t="s">
        <v>313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0.68</v>
      </c>
      <c r="K133" s="1">
        <v>0.68</v>
      </c>
      <c r="L133" s="1">
        <v>0.65</v>
      </c>
      <c r="M133" s="1">
        <v>0.61</v>
      </c>
      <c r="N133" s="1">
        <v>0.59</v>
      </c>
    </row>
    <row r="134" spans="1:14" x14ac:dyDescent="0.3">
      <c r="A134" t="s">
        <v>299</v>
      </c>
      <c r="B134" t="s">
        <v>313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0.68</v>
      </c>
      <c r="K134" s="1">
        <v>0.68</v>
      </c>
      <c r="L134" s="1">
        <v>0.65</v>
      </c>
      <c r="M134" s="1">
        <v>0.61</v>
      </c>
      <c r="N134" s="1">
        <v>0.59</v>
      </c>
    </row>
    <row r="135" spans="1:14" x14ac:dyDescent="0.3">
      <c r="A135" t="s">
        <v>299</v>
      </c>
      <c r="B135" t="s">
        <v>313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0.68</v>
      </c>
      <c r="K135" s="1">
        <v>0.68</v>
      </c>
      <c r="L135" s="1">
        <v>0.65</v>
      </c>
      <c r="M135" s="1">
        <v>0.61</v>
      </c>
      <c r="N135" s="1">
        <v>0.59</v>
      </c>
    </row>
    <row r="136" spans="1:14" x14ac:dyDescent="0.3">
      <c r="A136" t="s">
        <v>299</v>
      </c>
      <c r="B136" t="s">
        <v>313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0.48</v>
      </c>
      <c r="K136" s="1">
        <v>0.48</v>
      </c>
      <c r="L136" s="1">
        <v>0.45</v>
      </c>
      <c r="M136" s="1">
        <v>0.41</v>
      </c>
      <c r="N136" s="1">
        <v>0.39</v>
      </c>
    </row>
    <row r="137" spans="1:14" x14ac:dyDescent="0.3">
      <c r="A137" t="s">
        <v>299</v>
      </c>
      <c r="B137" t="s">
        <v>313</v>
      </c>
      <c r="C137" t="s">
        <v>25</v>
      </c>
      <c r="D137" s="1">
        <v>0.15</v>
      </c>
      <c r="E137" t="s">
        <v>27</v>
      </c>
      <c r="F137" s="1">
        <v>0.25</v>
      </c>
      <c r="G137" t="s">
        <v>28</v>
      </c>
      <c r="H137" s="1">
        <v>0.7</v>
      </c>
      <c r="I137" s="1"/>
      <c r="J137" s="1">
        <v>0.48</v>
      </c>
      <c r="K137" s="1">
        <v>0.48</v>
      </c>
      <c r="L137" s="1">
        <v>0.45</v>
      </c>
      <c r="M137" s="1">
        <v>0.41</v>
      </c>
      <c r="N137" s="1">
        <v>0.39</v>
      </c>
    </row>
    <row r="138" spans="1:14" x14ac:dyDescent="0.3">
      <c r="A138" t="s">
        <v>299</v>
      </c>
      <c r="B138" t="s">
        <v>313</v>
      </c>
      <c r="C138" t="s">
        <v>25</v>
      </c>
      <c r="D138" s="1">
        <v>0.15</v>
      </c>
      <c r="E138" t="s">
        <v>29</v>
      </c>
      <c r="F138" s="1">
        <v>0.3</v>
      </c>
      <c r="G138" t="s">
        <v>30</v>
      </c>
      <c r="H138" s="1">
        <v>0.1</v>
      </c>
      <c r="I138" s="1"/>
      <c r="J138" s="1">
        <v>0.48</v>
      </c>
      <c r="K138" s="1">
        <v>0.48</v>
      </c>
      <c r="L138" s="1">
        <v>0.45</v>
      </c>
      <c r="M138" s="1">
        <v>0.41</v>
      </c>
      <c r="N138" s="1">
        <v>0.39</v>
      </c>
    </row>
    <row r="139" spans="1:14" x14ac:dyDescent="0.3">
      <c r="A139" t="s">
        <v>299</v>
      </c>
      <c r="B139" t="s">
        <v>313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0.48</v>
      </c>
      <c r="K139" s="1">
        <v>0.48</v>
      </c>
      <c r="L139" s="1">
        <v>0.45</v>
      </c>
      <c r="M139" s="1">
        <v>0.41</v>
      </c>
      <c r="N139" s="1">
        <v>0.39</v>
      </c>
    </row>
    <row r="140" spans="1:14" x14ac:dyDescent="0.3">
      <c r="A140" t="s">
        <v>299</v>
      </c>
      <c r="B140" t="s">
        <v>313</v>
      </c>
      <c r="C140" t="s">
        <v>37</v>
      </c>
      <c r="D140" s="1">
        <v>0.2</v>
      </c>
      <c r="E140" t="s">
        <v>38</v>
      </c>
      <c r="F140" s="1">
        <v>0.3</v>
      </c>
      <c r="G140" t="s">
        <v>18</v>
      </c>
      <c r="H140" s="1">
        <v>0.9</v>
      </c>
      <c r="I140" s="1">
        <f>SUMPRODUCT(H140:H143,F140:F143)*D140</f>
        <v>0.16200000000000003</v>
      </c>
      <c r="J140" s="1">
        <v>0.68</v>
      </c>
      <c r="K140" s="1">
        <v>0.68</v>
      </c>
      <c r="L140" s="1">
        <v>0.65</v>
      </c>
      <c r="M140" s="1">
        <v>0.61</v>
      </c>
      <c r="N140" s="1">
        <v>0.59</v>
      </c>
    </row>
    <row r="141" spans="1:14" x14ac:dyDescent="0.3">
      <c r="A141" t="s">
        <v>299</v>
      </c>
      <c r="B141" t="s">
        <v>313</v>
      </c>
      <c r="C141" t="s">
        <v>37</v>
      </c>
      <c r="D141" s="1">
        <v>0.2</v>
      </c>
      <c r="E141" t="s">
        <v>304</v>
      </c>
      <c r="F141" s="1">
        <v>0.25</v>
      </c>
      <c r="G141" t="s">
        <v>40</v>
      </c>
      <c r="H141" s="1">
        <v>0.7</v>
      </c>
      <c r="I141" s="1"/>
      <c r="J141" s="1">
        <v>0.68</v>
      </c>
      <c r="K141" s="1">
        <v>0.68</v>
      </c>
      <c r="L141" s="1">
        <v>0.65</v>
      </c>
      <c r="M141" s="1">
        <v>0.61</v>
      </c>
      <c r="N141" s="1">
        <v>0.59</v>
      </c>
    </row>
    <row r="142" spans="1:14" x14ac:dyDescent="0.3">
      <c r="A142" t="s">
        <v>299</v>
      </c>
      <c r="B142" t="s">
        <v>313</v>
      </c>
      <c r="C142" t="s">
        <v>37</v>
      </c>
      <c r="D142" s="1">
        <v>0.2</v>
      </c>
      <c r="E142" t="s">
        <v>41</v>
      </c>
      <c r="F142" s="1">
        <v>0.25</v>
      </c>
      <c r="G142" t="s">
        <v>28</v>
      </c>
      <c r="H142" s="1">
        <v>0.7</v>
      </c>
      <c r="I142" s="1"/>
      <c r="J142" s="1">
        <v>0.68</v>
      </c>
      <c r="K142" s="1">
        <v>0.68</v>
      </c>
      <c r="L142" s="1">
        <v>0.65</v>
      </c>
      <c r="M142" s="1">
        <v>0.61</v>
      </c>
      <c r="N142" s="1">
        <v>0.59</v>
      </c>
    </row>
    <row r="143" spans="1:14" x14ac:dyDescent="0.3">
      <c r="A143" t="s">
        <v>299</v>
      </c>
      <c r="B143" t="s">
        <v>313</v>
      </c>
      <c r="C143" t="s">
        <v>37</v>
      </c>
      <c r="D143" s="1">
        <v>0.2</v>
      </c>
      <c r="E143" t="s">
        <v>42</v>
      </c>
      <c r="F143" s="1">
        <v>0.2</v>
      </c>
      <c r="G143" t="s">
        <v>24</v>
      </c>
      <c r="H143" s="1">
        <v>0.95</v>
      </c>
      <c r="I143" s="1"/>
      <c r="J143" s="1">
        <v>0.68</v>
      </c>
      <c r="K143" s="1">
        <v>0.68</v>
      </c>
      <c r="L143" s="1">
        <v>0.65</v>
      </c>
      <c r="M143" s="1">
        <v>0.61</v>
      </c>
      <c r="N143" s="1">
        <v>0.59</v>
      </c>
    </row>
    <row r="144" spans="1:14" x14ac:dyDescent="0.3">
      <c r="A144" t="s">
        <v>299</v>
      </c>
      <c r="B144" t="s">
        <v>313</v>
      </c>
      <c r="C144" t="s">
        <v>151</v>
      </c>
      <c r="D144" s="1">
        <v>0.2</v>
      </c>
      <c r="E144" t="s">
        <v>208</v>
      </c>
      <c r="F144" s="1">
        <v>0.25</v>
      </c>
      <c r="G144" t="s">
        <v>40</v>
      </c>
      <c r="H144" s="1">
        <v>0.7</v>
      </c>
      <c r="I144" s="1">
        <f>SUMPRODUCT(H144:H147,F144:F147)*D144</f>
        <v>0.11749999999999999</v>
      </c>
      <c r="J144" s="1">
        <v>0.45</v>
      </c>
      <c r="K144" s="1">
        <v>0.45</v>
      </c>
      <c r="L144" s="1">
        <v>0.42</v>
      </c>
      <c r="M144" s="1">
        <v>0.38</v>
      </c>
      <c r="N144" s="1">
        <v>0.36</v>
      </c>
    </row>
    <row r="145" spans="1:14" x14ac:dyDescent="0.3">
      <c r="A145" t="s">
        <v>299</v>
      </c>
      <c r="B145" t="s">
        <v>313</v>
      </c>
      <c r="C145" t="s">
        <v>151</v>
      </c>
      <c r="D145" s="1">
        <v>0.2</v>
      </c>
      <c r="E145" t="s">
        <v>50</v>
      </c>
      <c r="F145" s="1">
        <v>0.25</v>
      </c>
      <c r="G145" t="s">
        <v>20</v>
      </c>
      <c r="H145" s="1">
        <v>0.6</v>
      </c>
      <c r="I145" s="1"/>
      <c r="J145" s="1">
        <v>0.45</v>
      </c>
      <c r="K145" s="1">
        <v>0.45</v>
      </c>
      <c r="L145" s="1">
        <v>0.42</v>
      </c>
      <c r="M145" s="1">
        <v>0.38</v>
      </c>
      <c r="N145" s="1">
        <v>0.36</v>
      </c>
    </row>
    <row r="146" spans="1:14" x14ac:dyDescent="0.3">
      <c r="A146" t="s">
        <v>299</v>
      </c>
      <c r="B146" t="s">
        <v>313</v>
      </c>
      <c r="C146" t="s">
        <v>151</v>
      </c>
      <c r="D146" s="1">
        <v>0.2</v>
      </c>
      <c r="E146" t="s">
        <v>210</v>
      </c>
      <c r="F146" s="1">
        <v>0.25</v>
      </c>
      <c r="G146" t="s">
        <v>30</v>
      </c>
      <c r="H146" s="1">
        <v>0.1</v>
      </c>
      <c r="I146" s="1"/>
      <c r="J146" s="1">
        <v>0.45</v>
      </c>
      <c r="K146" s="1">
        <v>0.45</v>
      </c>
      <c r="L146" s="1">
        <v>0.42</v>
      </c>
      <c r="M146" s="1">
        <v>0.38</v>
      </c>
      <c r="N146" s="1">
        <v>0.36</v>
      </c>
    </row>
    <row r="147" spans="1:14" x14ac:dyDescent="0.3">
      <c r="A147" t="s">
        <v>299</v>
      </c>
      <c r="B147" t="s">
        <v>313</v>
      </c>
      <c r="C147" t="s">
        <v>151</v>
      </c>
      <c r="D147" s="1">
        <v>0.2</v>
      </c>
      <c r="E147" t="s">
        <v>305</v>
      </c>
      <c r="F147" s="1">
        <v>0.25</v>
      </c>
      <c r="G147" t="s">
        <v>24</v>
      </c>
      <c r="H147" s="1">
        <v>0.95</v>
      </c>
      <c r="I147" s="1"/>
      <c r="J147" s="1">
        <v>0.45</v>
      </c>
      <c r="K147" s="1">
        <v>0.45</v>
      </c>
      <c r="L147" s="1">
        <v>0.42</v>
      </c>
      <c r="M147" s="1">
        <v>0.38</v>
      </c>
      <c r="N147" s="1">
        <v>0.36</v>
      </c>
    </row>
    <row r="148" spans="1:14" x14ac:dyDescent="0.3">
      <c r="A148" t="s">
        <v>299</v>
      </c>
      <c r="B148" t="s">
        <v>313</v>
      </c>
      <c r="C148" t="s">
        <v>306</v>
      </c>
      <c r="D148" s="1">
        <v>0.1</v>
      </c>
      <c r="E148" t="s">
        <v>55</v>
      </c>
      <c r="F148" s="1">
        <v>0.3</v>
      </c>
      <c r="G148" t="s">
        <v>56</v>
      </c>
      <c r="H148" s="1">
        <v>0.3</v>
      </c>
      <c r="I148" s="1">
        <f>SUMPRODUCT(H148:H151,F148:F151)*D148</f>
        <v>4.5500000000000006E-2</v>
      </c>
      <c r="J148" s="1">
        <v>0.35</v>
      </c>
      <c r="K148" s="1">
        <v>0.35</v>
      </c>
      <c r="L148" s="1">
        <v>0.32</v>
      </c>
      <c r="M148" s="1">
        <v>0.28000000000000003</v>
      </c>
      <c r="N148" s="1">
        <v>0.26</v>
      </c>
    </row>
    <row r="149" spans="1:14" x14ac:dyDescent="0.3">
      <c r="A149" t="s">
        <v>299</v>
      </c>
      <c r="B149" t="s">
        <v>313</v>
      </c>
      <c r="C149" t="s">
        <v>306</v>
      </c>
      <c r="D149" s="1">
        <v>0.1</v>
      </c>
      <c r="E149" t="s">
        <v>273</v>
      </c>
      <c r="F149" s="1">
        <v>0.25</v>
      </c>
      <c r="G149" t="s">
        <v>20</v>
      </c>
      <c r="H149" s="1">
        <v>0.6</v>
      </c>
      <c r="I149" s="1"/>
      <c r="J149" s="1">
        <v>0.35</v>
      </c>
      <c r="K149" s="1">
        <v>0.35</v>
      </c>
      <c r="L149" s="1">
        <v>0.32</v>
      </c>
      <c r="M149" s="1">
        <v>0.28000000000000003</v>
      </c>
      <c r="N149" s="1">
        <v>0.26</v>
      </c>
    </row>
    <row r="150" spans="1:14" x14ac:dyDescent="0.3">
      <c r="A150" t="s">
        <v>299</v>
      </c>
      <c r="B150" t="s">
        <v>313</v>
      </c>
      <c r="C150" t="s">
        <v>306</v>
      </c>
      <c r="D150" s="1">
        <v>0.1</v>
      </c>
      <c r="E150" t="s">
        <v>58</v>
      </c>
      <c r="F150" s="1">
        <v>0.25</v>
      </c>
      <c r="G150" t="s">
        <v>30</v>
      </c>
      <c r="H150" s="1">
        <v>0.1</v>
      </c>
      <c r="I150" s="1"/>
      <c r="J150" s="1">
        <v>0.35</v>
      </c>
      <c r="K150" s="1">
        <v>0.35</v>
      </c>
      <c r="L150" s="1">
        <v>0.32</v>
      </c>
      <c r="M150" s="1">
        <v>0.28000000000000003</v>
      </c>
      <c r="N150" s="1">
        <v>0.26</v>
      </c>
    </row>
    <row r="151" spans="1:14" x14ac:dyDescent="0.3">
      <c r="A151" t="s">
        <v>299</v>
      </c>
      <c r="B151" t="s">
        <v>313</v>
      </c>
      <c r="C151" t="s">
        <v>306</v>
      </c>
      <c r="D151" s="1">
        <v>0.1</v>
      </c>
      <c r="E151" t="s">
        <v>59</v>
      </c>
      <c r="F151" s="1">
        <v>0.2</v>
      </c>
      <c r="G151" t="s">
        <v>24</v>
      </c>
      <c r="H151" s="1">
        <v>0.95</v>
      </c>
      <c r="I151" s="1"/>
      <c r="J151" s="1">
        <v>0.35</v>
      </c>
      <c r="K151" s="1">
        <v>0.35</v>
      </c>
      <c r="L151" s="1">
        <v>0.32</v>
      </c>
      <c r="M151" s="1">
        <v>0.28000000000000003</v>
      </c>
      <c r="N151" s="1">
        <v>0.26</v>
      </c>
    </row>
    <row r="152" spans="1:14" x14ac:dyDescent="0.3">
      <c r="D152" s="1"/>
      <c r="F152" s="1"/>
      <c r="H152" s="1"/>
      <c r="I152" s="2">
        <f>SUM(I128:I150)</f>
        <v>0.65175000000000005</v>
      </c>
      <c r="J152" s="2">
        <f>+J132*$D132+J136*$D136+J140*$D140+J144*$D144+J148*$D148+$D128*J128</f>
        <v>0.52300000000000002</v>
      </c>
      <c r="K152" s="2">
        <f t="shared" ref="K152:N152" si="5">+K132*$D132+K136*$D136+K140*$D140+K144*$D144+K148*$D148+$D128*K128</f>
        <v>0.52300000000000002</v>
      </c>
      <c r="L152" s="2">
        <f t="shared" si="5"/>
        <v>0.49299999999999999</v>
      </c>
      <c r="M152" s="2">
        <f t="shared" si="5"/>
        <v>0.45300000000000001</v>
      </c>
      <c r="N152" s="2">
        <f t="shared" si="5"/>
        <v>0.433</v>
      </c>
    </row>
    <row r="153" spans="1:14" x14ac:dyDescent="0.3">
      <c r="D153" s="1"/>
      <c r="F153" s="1"/>
      <c r="H153" s="1"/>
      <c r="I153" s="1"/>
      <c r="J153" s="1"/>
      <c r="K153" s="1"/>
      <c r="L153" s="1"/>
      <c r="M153" s="1"/>
      <c r="N153" s="1"/>
    </row>
    <row r="154" spans="1:14" x14ac:dyDescent="0.3">
      <c r="A154" t="s">
        <v>299</v>
      </c>
      <c r="B154" t="s">
        <v>314</v>
      </c>
      <c r="C154" t="s">
        <v>301</v>
      </c>
      <c r="D154" s="1">
        <v>0.15</v>
      </c>
      <c r="E154" t="s">
        <v>72</v>
      </c>
      <c r="F154" s="1">
        <v>0.3</v>
      </c>
      <c r="G154" t="s">
        <v>73</v>
      </c>
      <c r="H154" s="1">
        <v>0.7</v>
      </c>
      <c r="I154" s="1">
        <f>SUMPRODUCT(H154:H157,F154:F157)*D154</f>
        <v>6.8250000000000005E-2</v>
      </c>
      <c r="J154" s="1">
        <v>0.36</v>
      </c>
      <c r="K154" s="1">
        <v>0.36</v>
      </c>
      <c r="L154" s="1">
        <v>0.32</v>
      </c>
      <c r="M154" s="1">
        <v>0.28999999999999998</v>
      </c>
      <c r="N154" s="1">
        <v>0.32</v>
      </c>
    </row>
    <row r="155" spans="1:14" x14ac:dyDescent="0.3">
      <c r="A155" t="s">
        <v>299</v>
      </c>
      <c r="B155" t="s">
        <v>314</v>
      </c>
      <c r="C155" t="s">
        <v>301</v>
      </c>
      <c r="D155" s="1">
        <v>0.15</v>
      </c>
      <c r="E155" t="s">
        <v>302</v>
      </c>
      <c r="F155" s="1">
        <v>0.25</v>
      </c>
      <c r="G155" t="s">
        <v>20</v>
      </c>
      <c r="H155" s="1">
        <v>0.6</v>
      </c>
      <c r="I155" s="1"/>
      <c r="J155" s="1">
        <v>0.36</v>
      </c>
      <c r="K155" s="1">
        <v>0.36</v>
      </c>
      <c r="L155" s="1">
        <v>0.32</v>
      </c>
      <c r="M155" s="1">
        <v>0.28999999999999998</v>
      </c>
      <c r="N155" s="1">
        <v>0.32</v>
      </c>
    </row>
    <row r="156" spans="1:14" x14ac:dyDescent="0.3">
      <c r="A156" t="s">
        <v>299</v>
      </c>
      <c r="B156" t="s">
        <v>314</v>
      </c>
      <c r="C156" t="s">
        <v>301</v>
      </c>
      <c r="D156" s="1">
        <v>0.15</v>
      </c>
      <c r="E156" t="s">
        <v>147</v>
      </c>
      <c r="F156" s="1">
        <v>0.25</v>
      </c>
      <c r="G156" t="s">
        <v>56</v>
      </c>
      <c r="H156" s="1">
        <v>0.3</v>
      </c>
      <c r="I156" s="1"/>
      <c r="J156" s="1">
        <v>0.36</v>
      </c>
      <c r="K156" s="1">
        <v>0.36</v>
      </c>
      <c r="L156" s="1">
        <v>0.32</v>
      </c>
      <c r="M156" s="1">
        <v>0.28999999999999998</v>
      </c>
      <c r="N156" s="1">
        <v>0.32</v>
      </c>
    </row>
    <row r="157" spans="1:14" x14ac:dyDescent="0.3">
      <c r="A157" t="s">
        <v>299</v>
      </c>
      <c r="B157" t="s">
        <v>314</v>
      </c>
      <c r="C157" t="s">
        <v>301</v>
      </c>
      <c r="D157" s="1">
        <v>0.15</v>
      </c>
      <c r="E157" t="s">
        <v>303</v>
      </c>
      <c r="F157" s="1">
        <v>0.2</v>
      </c>
      <c r="G157" t="s">
        <v>30</v>
      </c>
      <c r="H157" s="1">
        <v>0.1</v>
      </c>
      <c r="I157" s="1"/>
      <c r="J157" s="1">
        <v>0.36</v>
      </c>
      <c r="K157" s="1">
        <v>0.36</v>
      </c>
      <c r="L157" s="1">
        <v>0.32</v>
      </c>
      <c r="M157" s="1">
        <v>0.28999999999999998</v>
      </c>
      <c r="N157" s="1">
        <v>0.32</v>
      </c>
    </row>
    <row r="158" spans="1:14" x14ac:dyDescent="0.3">
      <c r="A158" t="s">
        <v>299</v>
      </c>
      <c r="B158" t="s">
        <v>314</v>
      </c>
      <c r="C158" t="s">
        <v>16</v>
      </c>
      <c r="D158" s="1">
        <v>0.2</v>
      </c>
      <c r="E158" t="s">
        <v>17</v>
      </c>
      <c r="F158" s="1">
        <v>0.3</v>
      </c>
      <c r="G158" t="s">
        <v>18</v>
      </c>
      <c r="H158" s="1">
        <v>0.9</v>
      </c>
      <c r="I158" s="1">
        <f>SUMPRODUCT(H158:H161,F158:F161)*D158</f>
        <v>0.16550000000000004</v>
      </c>
      <c r="J158" s="1">
        <v>0.68</v>
      </c>
      <c r="K158" s="1">
        <v>0.68</v>
      </c>
      <c r="L158" s="1">
        <v>0.64</v>
      </c>
      <c r="M158" s="1">
        <v>0.61</v>
      </c>
      <c r="N158" s="1">
        <v>0.64</v>
      </c>
    </row>
    <row r="159" spans="1:14" x14ac:dyDescent="0.3">
      <c r="A159" t="s">
        <v>299</v>
      </c>
      <c r="B159" t="s">
        <v>314</v>
      </c>
      <c r="C159" t="s">
        <v>16</v>
      </c>
      <c r="D159" s="1">
        <v>0.2</v>
      </c>
      <c r="E159" t="s">
        <v>19</v>
      </c>
      <c r="F159" s="1">
        <v>0.25</v>
      </c>
      <c r="G159" t="s">
        <v>20</v>
      </c>
      <c r="H159" s="1">
        <v>0.6</v>
      </c>
      <c r="I159" s="1"/>
      <c r="J159" s="1">
        <v>0.68</v>
      </c>
      <c r="K159" s="1">
        <v>0.68</v>
      </c>
      <c r="L159" s="1">
        <v>0.64</v>
      </c>
      <c r="M159" s="1">
        <v>0.61</v>
      </c>
      <c r="N159" s="1">
        <v>0.64</v>
      </c>
    </row>
    <row r="160" spans="1:14" x14ac:dyDescent="0.3">
      <c r="A160" t="s">
        <v>299</v>
      </c>
      <c r="B160" t="s">
        <v>314</v>
      </c>
      <c r="C160" t="s">
        <v>16</v>
      </c>
      <c r="D160" s="1">
        <v>0.2</v>
      </c>
      <c r="E160" t="s">
        <v>21</v>
      </c>
      <c r="F160" s="1">
        <v>0.2</v>
      </c>
      <c r="G160" t="s">
        <v>22</v>
      </c>
      <c r="H160" s="1">
        <v>0.85</v>
      </c>
      <c r="I160" s="1"/>
      <c r="J160" s="1">
        <v>0.68</v>
      </c>
      <c r="K160" s="1">
        <v>0.68</v>
      </c>
      <c r="L160" s="1">
        <v>0.64</v>
      </c>
      <c r="M160" s="1">
        <v>0.61</v>
      </c>
      <c r="N160" s="1">
        <v>0.64</v>
      </c>
    </row>
    <row r="161" spans="1:14" x14ac:dyDescent="0.3">
      <c r="A161" t="s">
        <v>299</v>
      </c>
      <c r="B161" t="s">
        <v>314</v>
      </c>
      <c r="C161" t="s">
        <v>16</v>
      </c>
      <c r="D161" s="1">
        <v>0.2</v>
      </c>
      <c r="E161" t="s">
        <v>23</v>
      </c>
      <c r="F161" s="1">
        <v>0.25</v>
      </c>
      <c r="G161" t="s">
        <v>24</v>
      </c>
      <c r="H161" s="1">
        <v>0.95</v>
      </c>
      <c r="I161" s="1"/>
      <c r="J161" s="1">
        <v>0.68</v>
      </c>
      <c r="K161" s="1">
        <v>0.68</v>
      </c>
      <c r="L161" s="1">
        <v>0.64</v>
      </c>
      <c r="M161" s="1">
        <v>0.61</v>
      </c>
      <c r="N161" s="1">
        <v>0.64</v>
      </c>
    </row>
    <row r="162" spans="1:14" x14ac:dyDescent="0.3">
      <c r="A162" t="s">
        <v>299</v>
      </c>
      <c r="B162" t="s">
        <v>314</v>
      </c>
      <c r="C162" t="s">
        <v>25</v>
      </c>
      <c r="D162" s="1">
        <v>0.15</v>
      </c>
      <c r="E162" t="s">
        <v>26</v>
      </c>
      <c r="F162" s="1">
        <v>0.25</v>
      </c>
      <c r="G162" t="s">
        <v>18</v>
      </c>
      <c r="H162" s="1">
        <v>0.9</v>
      </c>
      <c r="I162" s="1">
        <f>SUMPRODUCT(H162:H165,F162:F165)*D162</f>
        <v>9.3000000000000013E-2</v>
      </c>
      <c r="J162" s="1">
        <v>0.48</v>
      </c>
      <c r="K162" s="1">
        <v>0.48</v>
      </c>
      <c r="L162" s="1">
        <v>0.44</v>
      </c>
      <c r="M162" s="1">
        <v>0.41</v>
      </c>
      <c r="N162" s="1">
        <v>0.44</v>
      </c>
    </row>
    <row r="163" spans="1:14" x14ac:dyDescent="0.3">
      <c r="A163" t="s">
        <v>299</v>
      </c>
      <c r="B163" t="s">
        <v>314</v>
      </c>
      <c r="C163" t="s">
        <v>25</v>
      </c>
      <c r="D163" s="1">
        <v>0.15</v>
      </c>
      <c r="E163" t="s">
        <v>27</v>
      </c>
      <c r="F163" s="1">
        <v>0.25</v>
      </c>
      <c r="G163" t="s">
        <v>28</v>
      </c>
      <c r="H163" s="1">
        <v>0.7</v>
      </c>
      <c r="I163" s="1"/>
      <c r="J163" s="1">
        <v>0.48</v>
      </c>
      <c r="K163" s="1">
        <v>0.48</v>
      </c>
      <c r="L163" s="1">
        <v>0.44</v>
      </c>
      <c r="M163" s="1">
        <v>0.41</v>
      </c>
      <c r="N163" s="1">
        <v>0.44</v>
      </c>
    </row>
    <row r="164" spans="1:14" x14ac:dyDescent="0.3">
      <c r="A164" t="s">
        <v>299</v>
      </c>
      <c r="B164" t="s">
        <v>314</v>
      </c>
      <c r="C164" t="s">
        <v>25</v>
      </c>
      <c r="D164" s="1">
        <v>0.15</v>
      </c>
      <c r="E164" t="s">
        <v>29</v>
      </c>
      <c r="F164" s="1">
        <v>0.3</v>
      </c>
      <c r="G164" t="s">
        <v>30</v>
      </c>
      <c r="H164" s="1">
        <v>0.1</v>
      </c>
      <c r="I164" s="1"/>
      <c r="J164" s="1">
        <v>0.48</v>
      </c>
      <c r="K164" s="1">
        <v>0.48</v>
      </c>
      <c r="L164" s="1">
        <v>0.44</v>
      </c>
      <c r="M164" s="1">
        <v>0.41</v>
      </c>
      <c r="N164" s="1">
        <v>0.44</v>
      </c>
    </row>
    <row r="165" spans="1:14" x14ac:dyDescent="0.3">
      <c r="A165" t="s">
        <v>299</v>
      </c>
      <c r="B165" t="s">
        <v>314</v>
      </c>
      <c r="C165" t="s">
        <v>25</v>
      </c>
      <c r="D165" s="1">
        <v>0.15</v>
      </c>
      <c r="E165" t="s">
        <v>31</v>
      </c>
      <c r="F165" s="1">
        <v>0.2</v>
      </c>
      <c r="G165" t="s">
        <v>24</v>
      </c>
      <c r="H165" s="1">
        <v>0.95</v>
      </c>
      <c r="I165" s="1"/>
      <c r="J165" s="1">
        <v>0.48</v>
      </c>
      <c r="K165" s="1">
        <v>0.48</v>
      </c>
      <c r="L165" s="1">
        <v>0.44</v>
      </c>
      <c r="M165" s="1">
        <v>0.41</v>
      </c>
      <c r="N165" s="1">
        <v>0.44</v>
      </c>
    </row>
    <row r="166" spans="1:14" x14ac:dyDescent="0.3">
      <c r="A166" t="s">
        <v>299</v>
      </c>
      <c r="B166" t="s">
        <v>314</v>
      </c>
      <c r="C166" t="s">
        <v>37</v>
      </c>
      <c r="D166" s="1">
        <v>0.2</v>
      </c>
      <c r="E166" t="s">
        <v>38</v>
      </c>
      <c r="F166" s="1">
        <v>0.3</v>
      </c>
      <c r="G166" t="s">
        <v>18</v>
      </c>
      <c r="H166" s="1">
        <v>0.9</v>
      </c>
      <c r="I166" s="1">
        <f>SUMPRODUCT(H166:H169,F166:F169)*D166</f>
        <v>0.16200000000000003</v>
      </c>
      <c r="J166" s="1">
        <v>0.68</v>
      </c>
      <c r="K166" s="1">
        <v>0.68</v>
      </c>
      <c r="L166" s="1">
        <v>0.64</v>
      </c>
      <c r="M166" s="1">
        <v>0.61</v>
      </c>
      <c r="N166" s="1">
        <v>0.64</v>
      </c>
    </row>
    <row r="167" spans="1:14" x14ac:dyDescent="0.3">
      <c r="A167" t="s">
        <v>299</v>
      </c>
      <c r="B167" t="s">
        <v>314</v>
      </c>
      <c r="C167" t="s">
        <v>37</v>
      </c>
      <c r="D167" s="1">
        <v>0.2</v>
      </c>
      <c r="E167" t="s">
        <v>304</v>
      </c>
      <c r="F167" s="1">
        <v>0.25</v>
      </c>
      <c r="G167" t="s">
        <v>40</v>
      </c>
      <c r="H167" s="1">
        <v>0.7</v>
      </c>
      <c r="I167" s="1"/>
      <c r="J167" s="1">
        <v>0.68</v>
      </c>
      <c r="K167" s="1">
        <v>0.68</v>
      </c>
      <c r="L167" s="1">
        <v>0.64</v>
      </c>
      <c r="M167" s="1">
        <v>0.61</v>
      </c>
      <c r="N167" s="1">
        <v>0.64</v>
      </c>
    </row>
    <row r="168" spans="1:14" x14ac:dyDescent="0.3">
      <c r="A168" t="s">
        <v>299</v>
      </c>
      <c r="B168" t="s">
        <v>314</v>
      </c>
      <c r="C168" t="s">
        <v>37</v>
      </c>
      <c r="D168" s="1">
        <v>0.2</v>
      </c>
      <c r="E168" t="s">
        <v>41</v>
      </c>
      <c r="F168" s="1">
        <v>0.25</v>
      </c>
      <c r="G168" t="s">
        <v>28</v>
      </c>
      <c r="H168" s="1">
        <v>0.7</v>
      </c>
      <c r="I168" s="1"/>
      <c r="J168" s="1">
        <v>0.68</v>
      </c>
      <c r="K168" s="1">
        <v>0.68</v>
      </c>
      <c r="L168" s="1">
        <v>0.64</v>
      </c>
      <c r="M168" s="1">
        <v>0.61</v>
      </c>
      <c r="N168" s="1">
        <v>0.64</v>
      </c>
    </row>
    <row r="169" spans="1:14" x14ac:dyDescent="0.3">
      <c r="A169" t="s">
        <v>299</v>
      </c>
      <c r="B169" t="s">
        <v>314</v>
      </c>
      <c r="C169" t="s">
        <v>37</v>
      </c>
      <c r="D169" s="1">
        <v>0.2</v>
      </c>
      <c r="E169" t="s">
        <v>42</v>
      </c>
      <c r="F169" s="1">
        <v>0.2</v>
      </c>
      <c r="G169" t="s">
        <v>24</v>
      </c>
      <c r="H169" s="1">
        <v>0.95</v>
      </c>
      <c r="I169" s="1"/>
      <c r="J169" s="1">
        <v>0.68</v>
      </c>
      <c r="K169" s="1">
        <v>0.68</v>
      </c>
      <c r="L169" s="1">
        <v>0.64</v>
      </c>
      <c r="M169" s="1">
        <v>0.61</v>
      </c>
      <c r="N169" s="1">
        <v>0.64</v>
      </c>
    </row>
    <row r="170" spans="1:14" x14ac:dyDescent="0.3">
      <c r="A170" t="s">
        <v>299</v>
      </c>
      <c r="B170" t="s">
        <v>314</v>
      </c>
      <c r="C170" t="s">
        <v>151</v>
      </c>
      <c r="D170" s="1">
        <v>0.2</v>
      </c>
      <c r="E170" t="s">
        <v>208</v>
      </c>
      <c r="F170" s="1">
        <v>0.25</v>
      </c>
      <c r="G170" t="s">
        <v>40</v>
      </c>
      <c r="H170" s="1">
        <v>0.7</v>
      </c>
      <c r="I170" s="1">
        <f>SUMPRODUCT(H170:H173,F170:F173)*D170</f>
        <v>0.11749999999999999</v>
      </c>
      <c r="J170" s="1">
        <v>0.45</v>
      </c>
      <c r="K170" s="1">
        <v>0.45</v>
      </c>
      <c r="L170" s="1">
        <v>0.41</v>
      </c>
      <c r="M170" s="1">
        <v>0.38</v>
      </c>
      <c r="N170" s="1">
        <v>0.41</v>
      </c>
    </row>
    <row r="171" spans="1:14" x14ac:dyDescent="0.3">
      <c r="A171" t="s">
        <v>299</v>
      </c>
      <c r="B171" t="s">
        <v>314</v>
      </c>
      <c r="C171" t="s">
        <v>151</v>
      </c>
      <c r="D171" s="1">
        <v>0.2</v>
      </c>
      <c r="E171" t="s">
        <v>50</v>
      </c>
      <c r="F171" s="1">
        <v>0.25</v>
      </c>
      <c r="G171" t="s">
        <v>20</v>
      </c>
      <c r="H171" s="1">
        <v>0.6</v>
      </c>
      <c r="I171" s="1"/>
      <c r="J171" s="1">
        <v>0.45</v>
      </c>
      <c r="K171" s="1">
        <v>0.45</v>
      </c>
      <c r="L171" s="1">
        <v>0.41</v>
      </c>
      <c r="M171" s="1">
        <v>0.38</v>
      </c>
      <c r="N171" s="1">
        <v>0.41</v>
      </c>
    </row>
    <row r="172" spans="1:14" x14ac:dyDescent="0.3">
      <c r="A172" t="s">
        <v>299</v>
      </c>
      <c r="B172" t="s">
        <v>314</v>
      </c>
      <c r="C172" t="s">
        <v>151</v>
      </c>
      <c r="D172" s="1">
        <v>0.2</v>
      </c>
      <c r="E172" t="s">
        <v>210</v>
      </c>
      <c r="F172" s="1">
        <v>0.25</v>
      </c>
      <c r="G172" t="s">
        <v>30</v>
      </c>
      <c r="H172" s="1">
        <v>0.1</v>
      </c>
      <c r="I172" s="1"/>
      <c r="J172" s="1">
        <v>0.45</v>
      </c>
      <c r="K172" s="1">
        <v>0.45</v>
      </c>
      <c r="L172" s="1">
        <v>0.41</v>
      </c>
      <c r="M172" s="1">
        <v>0.38</v>
      </c>
      <c r="N172" s="1">
        <v>0.41</v>
      </c>
    </row>
    <row r="173" spans="1:14" x14ac:dyDescent="0.3">
      <c r="A173" t="s">
        <v>299</v>
      </c>
      <c r="B173" t="s">
        <v>314</v>
      </c>
      <c r="C173" t="s">
        <v>151</v>
      </c>
      <c r="D173" s="1">
        <v>0.2</v>
      </c>
      <c r="E173" t="s">
        <v>305</v>
      </c>
      <c r="F173" s="1">
        <v>0.25</v>
      </c>
      <c r="G173" t="s">
        <v>24</v>
      </c>
      <c r="H173" s="1">
        <v>0.95</v>
      </c>
      <c r="I173" s="1"/>
      <c r="J173" s="1">
        <v>0.45</v>
      </c>
      <c r="K173" s="1">
        <v>0.45</v>
      </c>
      <c r="L173" s="1">
        <v>0.41</v>
      </c>
      <c r="M173" s="1">
        <v>0.38</v>
      </c>
      <c r="N173" s="1">
        <v>0.41</v>
      </c>
    </row>
    <row r="174" spans="1:14" x14ac:dyDescent="0.3">
      <c r="A174" t="s">
        <v>299</v>
      </c>
      <c r="B174" t="s">
        <v>314</v>
      </c>
      <c r="C174" t="s">
        <v>306</v>
      </c>
      <c r="D174" s="1">
        <v>0.1</v>
      </c>
      <c r="E174" t="s">
        <v>55</v>
      </c>
      <c r="F174" s="1">
        <v>0.3</v>
      </c>
      <c r="G174" t="s">
        <v>56</v>
      </c>
      <c r="H174" s="1">
        <v>0.3</v>
      </c>
      <c r="I174" s="1">
        <f>SUMPRODUCT(H174:H177,F174:F177)*D174</f>
        <v>4.5500000000000006E-2</v>
      </c>
      <c r="J174" s="1">
        <v>0.35</v>
      </c>
      <c r="K174" s="1">
        <v>0.35</v>
      </c>
      <c r="L174" s="1">
        <v>0.31</v>
      </c>
      <c r="M174" s="1">
        <v>0.28000000000000003</v>
      </c>
      <c r="N174" s="1">
        <v>0.31</v>
      </c>
    </row>
    <row r="175" spans="1:14" x14ac:dyDescent="0.3">
      <c r="A175" t="s">
        <v>299</v>
      </c>
      <c r="B175" t="s">
        <v>314</v>
      </c>
      <c r="C175" t="s">
        <v>306</v>
      </c>
      <c r="D175" s="1">
        <v>0.1</v>
      </c>
      <c r="E175" t="s">
        <v>273</v>
      </c>
      <c r="F175" s="1">
        <v>0.25</v>
      </c>
      <c r="G175" t="s">
        <v>20</v>
      </c>
      <c r="H175" s="1">
        <v>0.6</v>
      </c>
      <c r="I175" s="1"/>
      <c r="J175" s="1">
        <v>0.35</v>
      </c>
      <c r="K175" s="1">
        <v>0.35</v>
      </c>
      <c r="L175" s="1">
        <v>0.31</v>
      </c>
      <c r="M175" s="1">
        <v>0.28000000000000003</v>
      </c>
      <c r="N175" s="1">
        <v>0.31</v>
      </c>
    </row>
    <row r="176" spans="1:14" x14ac:dyDescent="0.3">
      <c r="A176" t="s">
        <v>299</v>
      </c>
      <c r="B176" t="s">
        <v>314</v>
      </c>
      <c r="C176" t="s">
        <v>306</v>
      </c>
      <c r="D176" s="1">
        <v>0.1</v>
      </c>
      <c r="E176" t="s">
        <v>58</v>
      </c>
      <c r="F176" s="1">
        <v>0.25</v>
      </c>
      <c r="G176" t="s">
        <v>30</v>
      </c>
      <c r="H176" s="1">
        <v>0.1</v>
      </c>
      <c r="I176" s="1"/>
      <c r="J176" s="1">
        <v>0.35</v>
      </c>
      <c r="K176" s="1">
        <v>0.35</v>
      </c>
      <c r="L176" s="1">
        <v>0.31</v>
      </c>
      <c r="M176" s="1">
        <v>0.28000000000000003</v>
      </c>
      <c r="N176" s="1">
        <v>0.31</v>
      </c>
    </row>
    <row r="177" spans="1:14" x14ac:dyDescent="0.3">
      <c r="A177" t="s">
        <v>299</v>
      </c>
      <c r="B177" t="s">
        <v>314</v>
      </c>
      <c r="C177" t="s">
        <v>306</v>
      </c>
      <c r="D177" s="1">
        <v>0.1</v>
      </c>
      <c r="E177" t="s">
        <v>59</v>
      </c>
      <c r="F177" s="1">
        <v>0.2</v>
      </c>
      <c r="G177" t="s">
        <v>24</v>
      </c>
      <c r="H177" s="1">
        <v>0.95</v>
      </c>
      <c r="I177" s="1"/>
      <c r="J177" s="1">
        <v>0.35</v>
      </c>
      <c r="K177" s="1">
        <v>0.35</v>
      </c>
      <c r="L177" s="1">
        <v>0.31</v>
      </c>
      <c r="M177" s="1">
        <v>0.28000000000000003</v>
      </c>
      <c r="N177" s="1">
        <v>0.31</v>
      </c>
    </row>
    <row r="178" spans="1:14" x14ac:dyDescent="0.3">
      <c r="D178" s="1"/>
      <c r="F178" s="1"/>
      <c r="H178" s="1"/>
      <c r="I178" s="2">
        <f>SUM(I154:I176)</f>
        <v>0.65175000000000005</v>
      </c>
      <c r="J178" s="2">
        <f>+J158*$D158+J162*$D162+J166*$D166+J170*$D170+J174*$D174+$D154*J154</f>
        <v>0.52300000000000002</v>
      </c>
      <c r="K178" s="2">
        <f t="shared" ref="K178:N178" si="6">+K158*$D158+K162*$D162+K166*$D166+K170*$D170+K174*$D174+$D154*K154</f>
        <v>0.52300000000000002</v>
      </c>
      <c r="L178" s="2">
        <f t="shared" si="6"/>
        <v>0.48300000000000004</v>
      </c>
      <c r="M178" s="2">
        <f t="shared" si="6"/>
        <v>0.45300000000000001</v>
      </c>
      <c r="N178" s="2">
        <f t="shared" si="6"/>
        <v>0.48300000000000004</v>
      </c>
    </row>
    <row r="179" spans="1:14" x14ac:dyDescent="0.3">
      <c r="D179" s="1"/>
      <c r="F179" s="1"/>
      <c r="H179" s="1"/>
      <c r="I179" s="1"/>
      <c r="J179" s="1"/>
      <c r="K179" s="1"/>
      <c r="L179" s="1"/>
      <c r="M179" s="1"/>
      <c r="N179" s="1"/>
    </row>
    <row r="180" spans="1:14" x14ac:dyDescent="0.3">
      <c r="A180" t="s">
        <v>299</v>
      </c>
      <c r="B180" t="s">
        <v>315</v>
      </c>
      <c r="C180" t="s">
        <v>301</v>
      </c>
      <c r="D180" s="1">
        <v>0.1</v>
      </c>
      <c r="E180" t="s">
        <v>72</v>
      </c>
      <c r="F180" s="1">
        <v>0.3</v>
      </c>
      <c r="G180" t="s">
        <v>73</v>
      </c>
      <c r="H180" s="1">
        <v>0.7</v>
      </c>
      <c r="I180" s="1">
        <f>SUMPRODUCT(H180:H183,F180:F183)*D180</f>
        <v>4.5500000000000006E-2</v>
      </c>
      <c r="J180" s="1">
        <v>0.36</v>
      </c>
      <c r="K180" s="1">
        <v>0.36</v>
      </c>
      <c r="L180" s="1">
        <v>0.32</v>
      </c>
      <c r="M180" s="1">
        <v>0.28000000000000003</v>
      </c>
      <c r="N180" s="1">
        <v>0.28000000000000003</v>
      </c>
    </row>
    <row r="181" spans="1:14" x14ac:dyDescent="0.3">
      <c r="A181" t="s">
        <v>299</v>
      </c>
      <c r="B181" t="s">
        <v>315</v>
      </c>
      <c r="C181" t="s">
        <v>301</v>
      </c>
      <c r="D181" s="1">
        <v>0.1</v>
      </c>
      <c r="E181" t="s">
        <v>302</v>
      </c>
      <c r="F181" s="1">
        <v>0.25</v>
      </c>
      <c r="G181" t="s">
        <v>20</v>
      </c>
      <c r="H181" s="1">
        <v>0.6</v>
      </c>
      <c r="I181" s="1"/>
      <c r="J181" s="1">
        <v>0.36</v>
      </c>
      <c r="K181" s="1">
        <v>0.36</v>
      </c>
      <c r="L181" s="1">
        <v>0.32</v>
      </c>
      <c r="M181" s="1">
        <v>0.28000000000000003</v>
      </c>
      <c r="N181" s="1">
        <v>0.28000000000000003</v>
      </c>
    </row>
    <row r="182" spans="1:14" x14ac:dyDescent="0.3">
      <c r="A182" t="s">
        <v>299</v>
      </c>
      <c r="B182" t="s">
        <v>315</v>
      </c>
      <c r="C182" t="s">
        <v>301</v>
      </c>
      <c r="D182" s="1">
        <v>0.1</v>
      </c>
      <c r="E182" t="s">
        <v>147</v>
      </c>
      <c r="F182" s="1">
        <v>0.25</v>
      </c>
      <c r="G182" t="s">
        <v>56</v>
      </c>
      <c r="H182" s="1">
        <v>0.3</v>
      </c>
      <c r="I182" s="1"/>
      <c r="J182" s="1">
        <v>0.36</v>
      </c>
      <c r="K182" s="1">
        <v>0.36</v>
      </c>
      <c r="L182" s="1">
        <v>0.32</v>
      </c>
      <c r="M182" s="1">
        <v>0.28000000000000003</v>
      </c>
      <c r="N182" s="1">
        <v>0.28000000000000003</v>
      </c>
    </row>
    <row r="183" spans="1:14" x14ac:dyDescent="0.3">
      <c r="A183" t="s">
        <v>299</v>
      </c>
      <c r="B183" t="s">
        <v>315</v>
      </c>
      <c r="C183" t="s">
        <v>301</v>
      </c>
      <c r="D183" s="1">
        <v>0.1</v>
      </c>
      <c r="E183" t="s">
        <v>303</v>
      </c>
      <c r="F183" s="1">
        <v>0.2</v>
      </c>
      <c r="G183" t="s">
        <v>30</v>
      </c>
      <c r="H183" s="1">
        <v>0.1</v>
      </c>
      <c r="I183" s="1"/>
      <c r="J183" s="1">
        <v>0.36</v>
      </c>
      <c r="K183" s="1">
        <v>0.36</v>
      </c>
      <c r="L183" s="1">
        <v>0.32</v>
      </c>
      <c r="M183" s="1">
        <v>0.28000000000000003</v>
      </c>
      <c r="N183" s="1">
        <v>0.28000000000000003</v>
      </c>
    </row>
    <row r="184" spans="1:14" x14ac:dyDescent="0.3">
      <c r="A184" t="s">
        <v>299</v>
      </c>
      <c r="B184" t="s">
        <v>315</v>
      </c>
      <c r="C184" t="s">
        <v>16</v>
      </c>
      <c r="D184" s="1">
        <v>0.2</v>
      </c>
      <c r="E184" t="s">
        <v>17</v>
      </c>
      <c r="F184" s="1">
        <v>0.3</v>
      </c>
      <c r="G184" t="s">
        <v>18</v>
      </c>
      <c r="H184" s="1">
        <v>0.9</v>
      </c>
      <c r="I184" s="1">
        <f>SUMPRODUCT(H184:H187,F184:F187)*D184</f>
        <v>0.16550000000000004</v>
      </c>
      <c r="J184" s="1">
        <v>0.68</v>
      </c>
      <c r="K184" s="1">
        <v>0.68</v>
      </c>
      <c r="L184" s="1">
        <v>0.64</v>
      </c>
      <c r="M184" s="1">
        <v>0.6</v>
      </c>
      <c r="N184" s="1">
        <v>0.6</v>
      </c>
    </row>
    <row r="185" spans="1:14" x14ac:dyDescent="0.3">
      <c r="A185" t="s">
        <v>299</v>
      </c>
      <c r="B185" t="s">
        <v>315</v>
      </c>
      <c r="C185" t="s">
        <v>16</v>
      </c>
      <c r="D185" s="1">
        <v>0.2</v>
      </c>
      <c r="E185" t="s">
        <v>19</v>
      </c>
      <c r="F185" s="1">
        <v>0.25</v>
      </c>
      <c r="G185" t="s">
        <v>20</v>
      </c>
      <c r="H185" s="1">
        <v>0.6</v>
      </c>
      <c r="I185" s="1"/>
      <c r="J185" s="1">
        <v>0.68</v>
      </c>
      <c r="K185" s="1">
        <v>0.68</v>
      </c>
      <c r="L185" s="1">
        <v>0.64</v>
      </c>
      <c r="M185" s="1">
        <v>0.6</v>
      </c>
      <c r="N185" s="1">
        <v>0.6</v>
      </c>
    </row>
    <row r="186" spans="1:14" x14ac:dyDescent="0.3">
      <c r="A186" t="s">
        <v>299</v>
      </c>
      <c r="B186" t="s">
        <v>315</v>
      </c>
      <c r="C186" t="s">
        <v>16</v>
      </c>
      <c r="D186" s="1">
        <v>0.2</v>
      </c>
      <c r="E186" t="s">
        <v>21</v>
      </c>
      <c r="F186" s="1">
        <v>0.2</v>
      </c>
      <c r="G186" t="s">
        <v>22</v>
      </c>
      <c r="H186" s="1">
        <v>0.85</v>
      </c>
      <c r="I186" s="1"/>
      <c r="J186" s="1">
        <v>0.68</v>
      </c>
      <c r="K186" s="1">
        <v>0.68</v>
      </c>
      <c r="L186" s="1">
        <v>0.64</v>
      </c>
      <c r="M186" s="1">
        <v>0.6</v>
      </c>
      <c r="N186" s="1">
        <v>0.6</v>
      </c>
    </row>
    <row r="187" spans="1:14" x14ac:dyDescent="0.3">
      <c r="A187" t="s">
        <v>299</v>
      </c>
      <c r="B187" t="s">
        <v>315</v>
      </c>
      <c r="C187" t="s">
        <v>16</v>
      </c>
      <c r="D187" s="1">
        <v>0.2</v>
      </c>
      <c r="E187" t="s">
        <v>23</v>
      </c>
      <c r="F187" s="1">
        <v>0.25</v>
      </c>
      <c r="G187" t="s">
        <v>24</v>
      </c>
      <c r="H187" s="1">
        <v>0.95</v>
      </c>
      <c r="I187" s="1"/>
      <c r="J187" s="1">
        <v>0.68</v>
      </c>
      <c r="K187" s="1">
        <v>0.68</v>
      </c>
      <c r="L187" s="1">
        <v>0.64</v>
      </c>
      <c r="M187" s="1">
        <v>0.6</v>
      </c>
      <c r="N187" s="1">
        <v>0.6</v>
      </c>
    </row>
    <row r="188" spans="1:14" x14ac:dyDescent="0.3">
      <c r="A188" t="s">
        <v>299</v>
      </c>
      <c r="B188" t="s">
        <v>315</v>
      </c>
      <c r="C188" t="s">
        <v>25</v>
      </c>
      <c r="D188" s="1">
        <v>0.15</v>
      </c>
      <c r="E188" t="s">
        <v>26</v>
      </c>
      <c r="F188" s="1">
        <v>0.25</v>
      </c>
      <c r="G188" t="s">
        <v>18</v>
      </c>
      <c r="H188" s="1">
        <v>0.9</v>
      </c>
      <c r="I188" s="1">
        <f>SUMPRODUCT(H188:H191,F188:F191)*D188</f>
        <v>9.3000000000000013E-2</v>
      </c>
      <c r="J188" s="1">
        <v>0.48</v>
      </c>
      <c r="K188" s="1">
        <v>0.48</v>
      </c>
      <c r="L188" s="1">
        <v>0.44</v>
      </c>
      <c r="M188" s="1">
        <v>0.4</v>
      </c>
      <c r="N188" s="1">
        <v>0.4</v>
      </c>
    </row>
    <row r="189" spans="1:14" x14ac:dyDescent="0.3">
      <c r="A189" t="s">
        <v>299</v>
      </c>
      <c r="B189" t="s">
        <v>315</v>
      </c>
      <c r="C189" t="s">
        <v>25</v>
      </c>
      <c r="D189" s="1">
        <v>0.15</v>
      </c>
      <c r="E189" t="s">
        <v>27</v>
      </c>
      <c r="F189" s="1">
        <v>0.25</v>
      </c>
      <c r="G189" t="s">
        <v>28</v>
      </c>
      <c r="H189" s="1">
        <v>0.7</v>
      </c>
      <c r="I189" s="1"/>
      <c r="J189" s="1">
        <v>0.48</v>
      </c>
      <c r="K189" s="1">
        <v>0.48</v>
      </c>
      <c r="L189" s="1">
        <v>0.44</v>
      </c>
      <c r="M189" s="1">
        <v>0.4</v>
      </c>
      <c r="N189" s="1">
        <v>0.4</v>
      </c>
    </row>
    <row r="190" spans="1:14" x14ac:dyDescent="0.3">
      <c r="A190" t="s">
        <v>299</v>
      </c>
      <c r="B190" t="s">
        <v>315</v>
      </c>
      <c r="C190" t="s">
        <v>25</v>
      </c>
      <c r="D190" s="1">
        <v>0.15</v>
      </c>
      <c r="E190" t="s">
        <v>29</v>
      </c>
      <c r="F190" s="1">
        <v>0.3</v>
      </c>
      <c r="G190" t="s">
        <v>30</v>
      </c>
      <c r="H190" s="1">
        <v>0.1</v>
      </c>
      <c r="I190" s="1"/>
      <c r="J190" s="1">
        <v>0.48</v>
      </c>
      <c r="K190" s="1">
        <v>0.48</v>
      </c>
      <c r="L190" s="1">
        <v>0.44</v>
      </c>
      <c r="M190" s="1">
        <v>0.4</v>
      </c>
      <c r="N190" s="1">
        <v>0.4</v>
      </c>
    </row>
    <row r="191" spans="1:14" x14ac:dyDescent="0.3">
      <c r="A191" t="s">
        <v>299</v>
      </c>
      <c r="B191" t="s">
        <v>315</v>
      </c>
      <c r="C191" t="s">
        <v>25</v>
      </c>
      <c r="D191" s="1">
        <v>0.15</v>
      </c>
      <c r="E191" t="s">
        <v>31</v>
      </c>
      <c r="F191" s="1">
        <v>0.2</v>
      </c>
      <c r="G191" t="s">
        <v>24</v>
      </c>
      <c r="H191" s="1">
        <v>0.95</v>
      </c>
      <c r="I191" s="1"/>
      <c r="J191" s="1">
        <v>0.48</v>
      </c>
      <c r="K191" s="1">
        <v>0.48</v>
      </c>
      <c r="L191" s="1">
        <v>0.44</v>
      </c>
      <c r="M191" s="1">
        <v>0.4</v>
      </c>
      <c r="N191" s="1">
        <v>0.4</v>
      </c>
    </row>
    <row r="192" spans="1:14" x14ac:dyDescent="0.3">
      <c r="A192" t="s">
        <v>299</v>
      </c>
      <c r="B192" t="s">
        <v>315</v>
      </c>
      <c r="C192" t="s">
        <v>37</v>
      </c>
      <c r="D192" s="1">
        <v>0.2</v>
      </c>
      <c r="E192" t="s">
        <v>38</v>
      </c>
      <c r="F192" s="1">
        <v>0.3</v>
      </c>
      <c r="G192" t="s">
        <v>18</v>
      </c>
      <c r="H192" s="1">
        <v>0.9</v>
      </c>
      <c r="I192" s="1">
        <f>SUMPRODUCT(H192:H195,F192:F195)*D192</f>
        <v>0.16200000000000003</v>
      </c>
      <c r="J192" s="1">
        <v>0.68</v>
      </c>
      <c r="K192" s="1">
        <v>0.68</v>
      </c>
      <c r="L192" s="1">
        <v>0.64</v>
      </c>
      <c r="M192" s="1">
        <v>0.6</v>
      </c>
      <c r="N192" s="1">
        <v>0.6</v>
      </c>
    </row>
    <row r="193" spans="1:14" x14ac:dyDescent="0.3">
      <c r="A193" t="s">
        <v>299</v>
      </c>
      <c r="B193" t="s">
        <v>315</v>
      </c>
      <c r="C193" t="s">
        <v>37</v>
      </c>
      <c r="D193" s="1">
        <v>0.2</v>
      </c>
      <c r="E193" t="s">
        <v>304</v>
      </c>
      <c r="F193" s="1">
        <v>0.25</v>
      </c>
      <c r="G193" t="s">
        <v>40</v>
      </c>
      <c r="H193" s="1">
        <v>0.7</v>
      </c>
      <c r="I193" s="1"/>
      <c r="J193" s="1">
        <v>0.68</v>
      </c>
      <c r="K193" s="1">
        <v>0.68</v>
      </c>
      <c r="L193" s="1">
        <v>0.64</v>
      </c>
      <c r="M193" s="1">
        <v>0.6</v>
      </c>
      <c r="N193" s="1">
        <v>0.6</v>
      </c>
    </row>
    <row r="194" spans="1:14" x14ac:dyDescent="0.3">
      <c r="A194" t="s">
        <v>299</v>
      </c>
      <c r="B194" t="s">
        <v>315</v>
      </c>
      <c r="C194" t="s">
        <v>37</v>
      </c>
      <c r="D194" s="1">
        <v>0.2</v>
      </c>
      <c r="E194" t="s">
        <v>41</v>
      </c>
      <c r="F194" s="1">
        <v>0.25</v>
      </c>
      <c r="G194" t="s">
        <v>28</v>
      </c>
      <c r="H194" s="1">
        <v>0.7</v>
      </c>
      <c r="I194" s="1"/>
      <c r="J194" s="1">
        <v>0.68</v>
      </c>
      <c r="K194" s="1">
        <v>0.68</v>
      </c>
      <c r="L194" s="1">
        <v>0.64</v>
      </c>
      <c r="M194" s="1">
        <v>0.6</v>
      </c>
      <c r="N194" s="1">
        <v>0.6</v>
      </c>
    </row>
    <row r="195" spans="1:14" x14ac:dyDescent="0.3">
      <c r="A195" t="s">
        <v>299</v>
      </c>
      <c r="B195" t="s">
        <v>315</v>
      </c>
      <c r="C195" t="s">
        <v>37</v>
      </c>
      <c r="D195" s="1">
        <v>0.2</v>
      </c>
      <c r="E195" t="s">
        <v>42</v>
      </c>
      <c r="F195" s="1">
        <v>0.2</v>
      </c>
      <c r="G195" t="s">
        <v>24</v>
      </c>
      <c r="H195" s="1">
        <v>0.95</v>
      </c>
      <c r="I195" s="1"/>
      <c r="J195" s="1">
        <v>0.68</v>
      </c>
      <c r="K195" s="1">
        <v>0.68</v>
      </c>
      <c r="L195" s="1">
        <v>0.64</v>
      </c>
      <c r="M195" s="1">
        <v>0.6</v>
      </c>
      <c r="N195" s="1">
        <v>0.6</v>
      </c>
    </row>
    <row r="196" spans="1:14" x14ac:dyDescent="0.3">
      <c r="A196" t="s">
        <v>299</v>
      </c>
      <c r="B196" t="s">
        <v>315</v>
      </c>
      <c r="C196" t="s">
        <v>151</v>
      </c>
      <c r="D196" s="1">
        <v>0.25</v>
      </c>
      <c r="E196" t="s">
        <v>208</v>
      </c>
      <c r="F196" s="1">
        <v>0.25</v>
      </c>
      <c r="G196" t="s">
        <v>40</v>
      </c>
      <c r="H196" s="1">
        <v>0.7</v>
      </c>
      <c r="I196" s="1">
        <f>SUMPRODUCT(H196:H199,F196:F199)*D196</f>
        <v>0.14687499999999998</v>
      </c>
      <c r="J196" s="1">
        <v>0.45</v>
      </c>
      <c r="K196" s="1">
        <v>0.45</v>
      </c>
      <c r="L196" s="1">
        <v>0.41</v>
      </c>
      <c r="M196" s="1">
        <v>0.37</v>
      </c>
      <c r="N196" s="1">
        <v>0.37</v>
      </c>
    </row>
    <row r="197" spans="1:14" x14ac:dyDescent="0.3">
      <c r="A197" t="s">
        <v>299</v>
      </c>
      <c r="B197" t="s">
        <v>315</v>
      </c>
      <c r="C197" t="s">
        <v>151</v>
      </c>
      <c r="D197" s="1">
        <v>0.25</v>
      </c>
      <c r="E197" t="s">
        <v>50</v>
      </c>
      <c r="F197" s="1">
        <v>0.25</v>
      </c>
      <c r="G197" t="s">
        <v>20</v>
      </c>
      <c r="H197" s="1">
        <v>0.6</v>
      </c>
      <c r="I197" s="1"/>
      <c r="J197" s="1">
        <v>0.45</v>
      </c>
      <c r="K197" s="1">
        <v>0.45</v>
      </c>
      <c r="L197" s="1">
        <v>0.41</v>
      </c>
      <c r="M197" s="1">
        <v>0.37</v>
      </c>
      <c r="N197" s="1">
        <v>0.37</v>
      </c>
    </row>
    <row r="198" spans="1:14" x14ac:dyDescent="0.3">
      <c r="A198" t="s">
        <v>299</v>
      </c>
      <c r="B198" t="s">
        <v>315</v>
      </c>
      <c r="C198" t="s">
        <v>151</v>
      </c>
      <c r="D198" s="1">
        <v>0.25</v>
      </c>
      <c r="E198" t="s">
        <v>210</v>
      </c>
      <c r="F198" s="1">
        <v>0.25</v>
      </c>
      <c r="G198" t="s">
        <v>30</v>
      </c>
      <c r="H198" s="1">
        <v>0.1</v>
      </c>
      <c r="I198" s="1"/>
      <c r="J198" s="1">
        <v>0.45</v>
      </c>
      <c r="K198" s="1">
        <v>0.45</v>
      </c>
      <c r="L198" s="1">
        <v>0.41</v>
      </c>
      <c r="M198" s="1">
        <v>0.37</v>
      </c>
      <c r="N198" s="1">
        <v>0.37</v>
      </c>
    </row>
    <row r="199" spans="1:14" x14ac:dyDescent="0.3">
      <c r="A199" t="s">
        <v>299</v>
      </c>
      <c r="B199" t="s">
        <v>315</v>
      </c>
      <c r="C199" t="s">
        <v>151</v>
      </c>
      <c r="D199" s="1">
        <v>0.25</v>
      </c>
      <c r="E199" t="s">
        <v>305</v>
      </c>
      <c r="F199" s="1">
        <v>0.25</v>
      </c>
      <c r="G199" t="s">
        <v>24</v>
      </c>
      <c r="H199" s="1">
        <v>0.95</v>
      </c>
      <c r="I199" s="1"/>
      <c r="J199" s="1">
        <v>0.45</v>
      </c>
      <c r="K199" s="1">
        <v>0.45</v>
      </c>
      <c r="L199" s="1">
        <v>0.41</v>
      </c>
      <c r="M199" s="1">
        <v>0.37</v>
      </c>
      <c r="N199" s="1">
        <v>0.37</v>
      </c>
    </row>
    <row r="200" spans="1:14" x14ac:dyDescent="0.3">
      <c r="A200" t="s">
        <v>299</v>
      </c>
      <c r="B200" t="s">
        <v>315</v>
      </c>
      <c r="C200" t="s">
        <v>306</v>
      </c>
      <c r="D200" s="1">
        <v>0.1</v>
      </c>
      <c r="E200" t="s">
        <v>55</v>
      </c>
      <c r="F200" s="1">
        <v>0.3</v>
      </c>
      <c r="G200" t="s">
        <v>56</v>
      </c>
      <c r="H200" s="1">
        <v>0.3</v>
      </c>
      <c r="I200" s="1">
        <f>SUMPRODUCT(H200:H203,F200:F203)*D200</f>
        <v>4.5500000000000006E-2</v>
      </c>
      <c r="J200" s="1">
        <v>0.35</v>
      </c>
      <c r="K200" s="1">
        <v>0.35</v>
      </c>
      <c r="L200" s="1">
        <v>0.31</v>
      </c>
      <c r="M200" s="1">
        <v>0.27</v>
      </c>
      <c r="N200" s="1">
        <v>0.27</v>
      </c>
    </row>
    <row r="201" spans="1:14" x14ac:dyDescent="0.3">
      <c r="A201" t="s">
        <v>299</v>
      </c>
      <c r="B201" t="s">
        <v>315</v>
      </c>
      <c r="C201" t="s">
        <v>306</v>
      </c>
      <c r="D201" s="1">
        <v>0.1</v>
      </c>
      <c r="E201" t="s">
        <v>273</v>
      </c>
      <c r="F201" s="1">
        <v>0.25</v>
      </c>
      <c r="G201" t="s">
        <v>20</v>
      </c>
      <c r="H201" s="1">
        <v>0.6</v>
      </c>
      <c r="I201" s="1"/>
      <c r="J201" s="1">
        <v>0.35</v>
      </c>
      <c r="K201" s="1">
        <v>0.35</v>
      </c>
      <c r="L201" s="1">
        <v>0.31</v>
      </c>
      <c r="M201" s="1">
        <v>0.27</v>
      </c>
      <c r="N201" s="1">
        <v>0.27</v>
      </c>
    </row>
    <row r="202" spans="1:14" x14ac:dyDescent="0.3">
      <c r="A202" t="s">
        <v>299</v>
      </c>
      <c r="B202" t="s">
        <v>315</v>
      </c>
      <c r="C202" t="s">
        <v>306</v>
      </c>
      <c r="D202" s="1">
        <v>0.1</v>
      </c>
      <c r="E202" t="s">
        <v>58</v>
      </c>
      <c r="F202" s="1">
        <v>0.25</v>
      </c>
      <c r="G202" t="s">
        <v>30</v>
      </c>
      <c r="H202" s="1">
        <v>0.1</v>
      </c>
      <c r="I202" s="1"/>
      <c r="J202" s="1">
        <v>0.35</v>
      </c>
      <c r="K202" s="1">
        <v>0.35</v>
      </c>
      <c r="L202" s="1">
        <v>0.31</v>
      </c>
      <c r="M202" s="1">
        <v>0.27</v>
      </c>
      <c r="N202" s="1">
        <v>0.27</v>
      </c>
    </row>
    <row r="203" spans="1:14" x14ac:dyDescent="0.3">
      <c r="A203" t="s">
        <v>299</v>
      </c>
      <c r="B203" t="s">
        <v>315</v>
      </c>
      <c r="C203" t="s">
        <v>306</v>
      </c>
      <c r="D203" s="1">
        <v>0.1</v>
      </c>
      <c r="E203" t="s">
        <v>59</v>
      </c>
      <c r="F203" s="1">
        <v>0.2</v>
      </c>
      <c r="G203" t="s">
        <v>24</v>
      </c>
      <c r="H203" s="1">
        <v>0.95</v>
      </c>
      <c r="I203" s="1"/>
      <c r="J203" s="1">
        <v>0.35</v>
      </c>
      <c r="K203" s="1">
        <v>0.35</v>
      </c>
      <c r="L203" s="1">
        <v>0.31</v>
      </c>
      <c r="M203" s="1">
        <v>0.27</v>
      </c>
      <c r="N203" s="1">
        <v>0.27</v>
      </c>
    </row>
    <row r="204" spans="1:14" x14ac:dyDescent="0.3">
      <c r="D204" s="1"/>
      <c r="F204" s="1"/>
      <c r="H204" s="1"/>
      <c r="I204" s="2">
        <f>SUM(I180:I202)</f>
        <v>0.65837500000000004</v>
      </c>
      <c r="J204" s="2">
        <f>+J184*$D184+J188*$D188+J192*$D192+J196*$D196+J200*$D200+$D180*J180</f>
        <v>0.52749999999999997</v>
      </c>
      <c r="K204" s="2">
        <f t="shared" ref="K204:N204" si="7">+K184*$D184+K188*$D188+K192*$D192+K196*$D196+K200*$D200+$D180*K180</f>
        <v>0.52749999999999997</v>
      </c>
      <c r="L204" s="2">
        <f t="shared" si="7"/>
        <v>0.48750000000000004</v>
      </c>
      <c r="M204" s="2">
        <f t="shared" si="7"/>
        <v>0.44750000000000001</v>
      </c>
      <c r="N204" s="2">
        <f t="shared" si="7"/>
        <v>0.44750000000000001</v>
      </c>
    </row>
    <row r="205" spans="1:14" x14ac:dyDescent="0.3">
      <c r="D205" s="1"/>
      <c r="F205" s="1"/>
      <c r="H205" s="1"/>
      <c r="I205" s="1"/>
      <c r="J205" s="1"/>
      <c r="K205" s="1"/>
      <c r="L205" s="1"/>
      <c r="M205" s="1"/>
      <c r="N205" s="1"/>
    </row>
    <row r="206" spans="1:14" x14ac:dyDescent="0.3">
      <c r="A206" t="s">
        <v>299</v>
      </c>
      <c r="B206" t="s">
        <v>316</v>
      </c>
      <c r="C206" t="s">
        <v>301</v>
      </c>
      <c r="D206" s="1">
        <v>0.05</v>
      </c>
      <c r="E206" t="s">
        <v>72</v>
      </c>
      <c r="F206" s="1">
        <v>0.3</v>
      </c>
      <c r="G206" t="s">
        <v>73</v>
      </c>
      <c r="H206" s="1">
        <v>0.7</v>
      </c>
      <c r="I206" s="1">
        <f>SUMPRODUCT(H206:H209,F206:F209)*D206</f>
        <v>2.2750000000000003E-2</v>
      </c>
      <c r="J206" s="1">
        <v>0.36</v>
      </c>
      <c r="K206" s="1">
        <v>0.36</v>
      </c>
      <c r="L206" s="1">
        <v>0.32</v>
      </c>
      <c r="M206" s="1">
        <v>0.28000000000000003</v>
      </c>
      <c r="N206" s="1">
        <v>0.27</v>
      </c>
    </row>
    <row r="207" spans="1:14" x14ac:dyDescent="0.3">
      <c r="A207" t="s">
        <v>299</v>
      </c>
      <c r="B207" t="s">
        <v>316</v>
      </c>
      <c r="C207" t="s">
        <v>301</v>
      </c>
      <c r="D207" s="1">
        <v>0.05</v>
      </c>
      <c r="E207" t="s">
        <v>302</v>
      </c>
      <c r="F207" s="1">
        <v>0.25</v>
      </c>
      <c r="G207" t="s">
        <v>20</v>
      </c>
      <c r="H207" s="1">
        <v>0.6</v>
      </c>
      <c r="I207" s="1"/>
      <c r="J207" s="1">
        <v>0.36</v>
      </c>
      <c r="K207" s="1">
        <v>0.36</v>
      </c>
      <c r="L207" s="1">
        <v>0.32</v>
      </c>
      <c r="M207" s="1">
        <v>0.28000000000000003</v>
      </c>
      <c r="N207" s="1">
        <v>0.27</v>
      </c>
    </row>
    <row r="208" spans="1:14" x14ac:dyDescent="0.3">
      <c r="A208" t="s">
        <v>299</v>
      </c>
      <c r="B208" t="s">
        <v>316</v>
      </c>
      <c r="C208" t="s">
        <v>301</v>
      </c>
      <c r="D208" s="1">
        <v>0.05</v>
      </c>
      <c r="E208" t="s">
        <v>147</v>
      </c>
      <c r="F208" s="1">
        <v>0.25</v>
      </c>
      <c r="G208" t="s">
        <v>56</v>
      </c>
      <c r="H208" s="1">
        <v>0.3</v>
      </c>
      <c r="I208" s="1"/>
      <c r="J208" s="1">
        <v>0.36</v>
      </c>
      <c r="K208" s="1">
        <v>0.36</v>
      </c>
      <c r="L208" s="1">
        <v>0.32</v>
      </c>
      <c r="M208" s="1">
        <v>0.28000000000000003</v>
      </c>
      <c r="N208" s="1">
        <v>0.27</v>
      </c>
    </row>
    <row r="209" spans="1:14" x14ac:dyDescent="0.3">
      <c r="A209" t="s">
        <v>299</v>
      </c>
      <c r="B209" t="s">
        <v>316</v>
      </c>
      <c r="C209" t="s">
        <v>301</v>
      </c>
      <c r="D209" s="1">
        <v>0.05</v>
      </c>
      <c r="E209" t="s">
        <v>303</v>
      </c>
      <c r="F209" s="1">
        <v>0.2</v>
      </c>
      <c r="G209" t="s">
        <v>30</v>
      </c>
      <c r="H209" s="1">
        <v>0.1</v>
      </c>
      <c r="I209" s="1"/>
      <c r="J209" s="1">
        <v>0.36</v>
      </c>
      <c r="K209" s="1">
        <v>0.36</v>
      </c>
      <c r="L209" s="1">
        <v>0.32</v>
      </c>
      <c r="M209" s="1">
        <v>0.28000000000000003</v>
      </c>
      <c r="N209" s="1">
        <v>0.27</v>
      </c>
    </row>
    <row r="210" spans="1:14" x14ac:dyDescent="0.3">
      <c r="A210" t="s">
        <v>299</v>
      </c>
      <c r="B210" t="s">
        <v>316</v>
      </c>
      <c r="C210" t="s">
        <v>16</v>
      </c>
      <c r="D210" s="1">
        <v>0.2</v>
      </c>
      <c r="E210" t="s">
        <v>17</v>
      </c>
      <c r="F210" s="1">
        <v>0.3</v>
      </c>
      <c r="G210" t="s">
        <v>18</v>
      </c>
      <c r="H210" s="1">
        <v>0.9</v>
      </c>
      <c r="I210" s="1">
        <f>SUMPRODUCT(H210:H213,F210:F213)*D210</f>
        <v>0.16550000000000004</v>
      </c>
      <c r="J210" s="1">
        <v>0.68</v>
      </c>
      <c r="K210" s="1">
        <v>0.68</v>
      </c>
      <c r="L210" s="1">
        <v>0.64</v>
      </c>
      <c r="M210" s="1">
        <v>0.6</v>
      </c>
      <c r="N210" s="1">
        <v>0.59</v>
      </c>
    </row>
    <row r="211" spans="1:14" x14ac:dyDescent="0.3">
      <c r="A211" t="s">
        <v>299</v>
      </c>
      <c r="B211" t="s">
        <v>316</v>
      </c>
      <c r="C211" t="s">
        <v>16</v>
      </c>
      <c r="D211" s="1">
        <v>0.2</v>
      </c>
      <c r="E211" t="s">
        <v>19</v>
      </c>
      <c r="F211" s="1">
        <v>0.25</v>
      </c>
      <c r="G211" t="s">
        <v>20</v>
      </c>
      <c r="H211" s="1">
        <v>0.6</v>
      </c>
      <c r="I211" s="1"/>
      <c r="J211" s="1">
        <v>0.68</v>
      </c>
      <c r="K211" s="1">
        <v>0.68</v>
      </c>
      <c r="L211" s="1">
        <v>0.64</v>
      </c>
      <c r="M211" s="1">
        <v>0.6</v>
      </c>
      <c r="N211" s="1">
        <v>0.59</v>
      </c>
    </row>
    <row r="212" spans="1:14" x14ac:dyDescent="0.3">
      <c r="A212" t="s">
        <v>299</v>
      </c>
      <c r="B212" t="s">
        <v>316</v>
      </c>
      <c r="C212" t="s">
        <v>16</v>
      </c>
      <c r="D212" s="1">
        <v>0.2</v>
      </c>
      <c r="E212" t="s">
        <v>21</v>
      </c>
      <c r="F212" s="1">
        <v>0.2</v>
      </c>
      <c r="G212" t="s">
        <v>22</v>
      </c>
      <c r="H212" s="1">
        <v>0.85</v>
      </c>
      <c r="I212" s="1"/>
      <c r="J212" s="1">
        <v>0.68</v>
      </c>
      <c r="K212" s="1">
        <v>0.68</v>
      </c>
      <c r="L212" s="1">
        <v>0.64</v>
      </c>
      <c r="M212" s="1">
        <v>0.6</v>
      </c>
      <c r="N212" s="1">
        <v>0.59</v>
      </c>
    </row>
    <row r="213" spans="1:14" x14ac:dyDescent="0.3">
      <c r="A213" t="s">
        <v>299</v>
      </c>
      <c r="B213" t="s">
        <v>316</v>
      </c>
      <c r="C213" t="s">
        <v>16</v>
      </c>
      <c r="D213" s="1">
        <v>0.2</v>
      </c>
      <c r="E213" t="s">
        <v>23</v>
      </c>
      <c r="F213" s="1">
        <v>0.25</v>
      </c>
      <c r="G213" t="s">
        <v>24</v>
      </c>
      <c r="H213" s="1">
        <v>0.95</v>
      </c>
      <c r="I213" s="1"/>
      <c r="J213" s="1">
        <v>0.68</v>
      </c>
      <c r="K213" s="1">
        <v>0.68</v>
      </c>
      <c r="L213" s="1">
        <v>0.64</v>
      </c>
      <c r="M213" s="1">
        <v>0.6</v>
      </c>
      <c r="N213" s="1">
        <v>0.59</v>
      </c>
    </row>
    <row r="214" spans="1:14" x14ac:dyDescent="0.3">
      <c r="A214" t="s">
        <v>299</v>
      </c>
      <c r="B214" t="s">
        <v>316</v>
      </c>
      <c r="C214" t="s">
        <v>25</v>
      </c>
      <c r="D214" s="1">
        <v>0.15</v>
      </c>
      <c r="E214" t="s">
        <v>26</v>
      </c>
      <c r="F214" s="1">
        <v>0.25</v>
      </c>
      <c r="G214" t="s">
        <v>18</v>
      </c>
      <c r="H214" s="1">
        <v>0.9</v>
      </c>
      <c r="I214" s="1">
        <f>SUMPRODUCT(H214:H217,F214:F217)*D214</f>
        <v>9.3000000000000013E-2</v>
      </c>
      <c r="J214" s="1">
        <v>0.48</v>
      </c>
      <c r="K214" s="1">
        <v>0.48</v>
      </c>
      <c r="L214" s="1">
        <v>0.44</v>
      </c>
      <c r="M214" s="1">
        <v>0.4</v>
      </c>
      <c r="N214" s="1">
        <v>0.39</v>
      </c>
    </row>
    <row r="215" spans="1:14" x14ac:dyDescent="0.3">
      <c r="A215" t="s">
        <v>299</v>
      </c>
      <c r="B215" t="s">
        <v>316</v>
      </c>
      <c r="C215" t="s">
        <v>25</v>
      </c>
      <c r="D215" s="1">
        <v>0.15</v>
      </c>
      <c r="E215" t="s">
        <v>27</v>
      </c>
      <c r="F215" s="1">
        <v>0.25</v>
      </c>
      <c r="G215" t="s">
        <v>28</v>
      </c>
      <c r="H215" s="1">
        <v>0.7</v>
      </c>
      <c r="I215" s="1"/>
      <c r="J215" s="1">
        <v>0.48</v>
      </c>
      <c r="K215" s="1">
        <v>0.48</v>
      </c>
      <c r="L215" s="1">
        <v>0.44</v>
      </c>
      <c r="M215" s="1">
        <v>0.4</v>
      </c>
      <c r="N215" s="1">
        <v>0.39</v>
      </c>
    </row>
    <row r="216" spans="1:14" x14ac:dyDescent="0.3">
      <c r="A216" t="s">
        <v>299</v>
      </c>
      <c r="B216" t="s">
        <v>316</v>
      </c>
      <c r="C216" t="s">
        <v>25</v>
      </c>
      <c r="D216" s="1">
        <v>0.15</v>
      </c>
      <c r="E216" t="s">
        <v>29</v>
      </c>
      <c r="F216" s="1">
        <v>0.3</v>
      </c>
      <c r="G216" t="s">
        <v>30</v>
      </c>
      <c r="H216" s="1">
        <v>0.1</v>
      </c>
      <c r="I216" s="1"/>
      <c r="J216" s="1">
        <v>0.48</v>
      </c>
      <c r="K216" s="1">
        <v>0.48</v>
      </c>
      <c r="L216" s="1">
        <v>0.44</v>
      </c>
      <c r="M216" s="1">
        <v>0.4</v>
      </c>
      <c r="N216" s="1">
        <v>0.39</v>
      </c>
    </row>
    <row r="217" spans="1:14" x14ac:dyDescent="0.3">
      <c r="A217" t="s">
        <v>299</v>
      </c>
      <c r="B217" t="s">
        <v>316</v>
      </c>
      <c r="C217" t="s">
        <v>25</v>
      </c>
      <c r="D217" s="1">
        <v>0.15</v>
      </c>
      <c r="E217" t="s">
        <v>31</v>
      </c>
      <c r="F217" s="1">
        <v>0.2</v>
      </c>
      <c r="G217" t="s">
        <v>24</v>
      </c>
      <c r="H217" s="1">
        <v>0.95</v>
      </c>
      <c r="I217" s="1"/>
      <c r="J217" s="1">
        <v>0.48</v>
      </c>
      <c r="K217" s="1">
        <v>0.48</v>
      </c>
      <c r="L217" s="1">
        <v>0.44</v>
      </c>
      <c r="M217" s="1">
        <v>0.4</v>
      </c>
      <c r="N217" s="1">
        <v>0.39</v>
      </c>
    </row>
    <row r="218" spans="1:14" x14ac:dyDescent="0.3">
      <c r="A218" t="s">
        <v>299</v>
      </c>
      <c r="B218" t="s">
        <v>316</v>
      </c>
      <c r="C218" t="s">
        <v>37</v>
      </c>
      <c r="D218" s="1">
        <v>0.2</v>
      </c>
      <c r="E218" t="s">
        <v>38</v>
      </c>
      <c r="F218" s="1">
        <v>0.3</v>
      </c>
      <c r="G218" t="s">
        <v>18</v>
      </c>
      <c r="H218" s="1">
        <v>0.9</v>
      </c>
      <c r="I218" s="1">
        <f>SUMPRODUCT(H218:H221,F218:F221)*D218</f>
        <v>0.16200000000000003</v>
      </c>
      <c r="J218" s="1">
        <v>0.68</v>
      </c>
      <c r="K218" s="1">
        <v>0.68</v>
      </c>
      <c r="L218" s="1">
        <v>0.64</v>
      </c>
      <c r="M218" s="1">
        <v>0.6</v>
      </c>
      <c r="N218" s="1">
        <v>0.59</v>
      </c>
    </row>
    <row r="219" spans="1:14" x14ac:dyDescent="0.3">
      <c r="A219" t="s">
        <v>299</v>
      </c>
      <c r="B219" t="s">
        <v>316</v>
      </c>
      <c r="C219" t="s">
        <v>37</v>
      </c>
      <c r="D219" s="1">
        <v>0.2</v>
      </c>
      <c r="E219" t="s">
        <v>304</v>
      </c>
      <c r="F219" s="1">
        <v>0.25</v>
      </c>
      <c r="G219" t="s">
        <v>40</v>
      </c>
      <c r="H219" s="1">
        <v>0.7</v>
      </c>
      <c r="I219" s="1"/>
      <c r="J219" s="1">
        <v>0.68</v>
      </c>
      <c r="K219" s="1">
        <v>0.68</v>
      </c>
      <c r="L219" s="1">
        <v>0.64</v>
      </c>
      <c r="M219" s="1">
        <v>0.6</v>
      </c>
      <c r="N219" s="1">
        <v>0.59</v>
      </c>
    </row>
    <row r="220" spans="1:14" x14ac:dyDescent="0.3">
      <c r="A220" t="s">
        <v>299</v>
      </c>
      <c r="B220" t="s">
        <v>316</v>
      </c>
      <c r="C220" t="s">
        <v>37</v>
      </c>
      <c r="D220" s="1">
        <v>0.2</v>
      </c>
      <c r="E220" t="s">
        <v>41</v>
      </c>
      <c r="F220" s="1">
        <v>0.25</v>
      </c>
      <c r="G220" t="s">
        <v>28</v>
      </c>
      <c r="H220" s="1">
        <v>0.7</v>
      </c>
      <c r="I220" s="1"/>
      <c r="J220" s="1">
        <v>0.68</v>
      </c>
      <c r="K220" s="1">
        <v>0.68</v>
      </c>
      <c r="L220" s="1">
        <v>0.64</v>
      </c>
      <c r="M220" s="1">
        <v>0.6</v>
      </c>
      <c r="N220" s="1">
        <v>0.59</v>
      </c>
    </row>
    <row r="221" spans="1:14" x14ac:dyDescent="0.3">
      <c r="A221" t="s">
        <v>299</v>
      </c>
      <c r="B221" t="s">
        <v>316</v>
      </c>
      <c r="C221" t="s">
        <v>37</v>
      </c>
      <c r="D221" s="1">
        <v>0.2</v>
      </c>
      <c r="E221" t="s">
        <v>42</v>
      </c>
      <c r="F221" s="1">
        <v>0.2</v>
      </c>
      <c r="G221" t="s">
        <v>24</v>
      </c>
      <c r="H221" s="1">
        <v>0.95</v>
      </c>
      <c r="I221" s="1"/>
      <c r="J221" s="1">
        <v>0.68</v>
      </c>
      <c r="K221" s="1">
        <v>0.68</v>
      </c>
      <c r="L221" s="1">
        <v>0.64</v>
      </c>
      <c r="M221" s="1">
        <v>0.6</v>
      </c>
      <c r="N221" s="1">
        <v>0.59</v>
      </c>
    </row>
    <row r="222" spans="1:14" x14ac:dyDescent="0.3">
      <c r="A222" t="s">
        <v>299</v>
      </c>
      <c r="B222" t="s">
        <v>316</v>
      </c>
      <c r="C222" t="s">
        <v>151</v>
      </c>
      <c r="D222" s="1">
        <v>0.25</v>
      </c>
      <c r="E222" t="s">
        <v>208</v>
      </c>
      <c r="F222" s="1">
        <v>0.25</v>
      </c>
      <c r="G222" t="s">
        <v>40</v>
      </c>
      <c r="H222" s="1">
        <v>0.7</v>
      </c>
      <c r="I222" s="1">
        <f>SUMPRODUCT(H222:H225,F222:F225)*D222</f>
        <v>0.14687499999999998</v>
      </c>
      <c r="J222" s="1">
        <v>0.45</v>
      </c>
      <c r="K222" s="1">
        <v>0.45</v>
      </c>
      <c r="L222" s="1">
        <v>0.41</v>
      </c>
      <c r="M222" s="1">
        <v>0.37</v>
      </c>
      <c r="N222" s="1">
        <v>0.36</v>
      </c>
    </row>
    <row r="223" spans="1:14" x14ac:dyDescent="0.3">
      <c r="A223" t="s">
        <v>299</v>
      </c>
      <c r="B223" t="s">
        <v>316</v>
      </c>
      <c r="C223" t="s">
        <v>151</v>
      </c>
      <c r="D223" s="1">
        <v>0.25</v>
      </c>
      <c r="E223" t="s">
        <v>50</v>
      </c>
      <c r="F223" s="1">
        <v>0.25</v>
      </c>
      <c r="G223" t="s">
        <v>20</v>
      </c>
      <c r="H223" s="1">
        <v>0.6</v>
      </c>
      <c r="I223" s="1"/>
      <c r="J223" s="1">
        <v>0.45</v>
      </c>
      <c r="K223" s="1">
        <v>0.45</v>
      </c>
      <c r="L223" s="1">
        <v>0.41</v>
      </c>
      <c r="M223" s="1">
        <v>0.37</v>
      </c>
      <c r="N223" s="1">
        <v>0.36</v>
      </c>
    </row>
    <row r="224" spans="1:14" x14ac:dyDescent="0.3">
      <c r="A224" t="s">
        <v>299</v>
      </c>
      <c r="B224" t="s">
        <v>316</v>
      </c>
      <c r="C224" t="s">
        <v>151</v>
      </c>
      <c r="D224" s="1">
        <v>0.25</v>
      </c>
      <c r="E224" t="s">
        <v>210</v>
      </c>
      <c r="F224" s="1">
        <v>0.25</v>
      </c>
      <c r="G224" t="s">
        <v>30</v>
      </c>
      <c r="H224" s="1">
        <v>0.1</v>
      </c>
      <c r="I224" s="1"/>
      <c r="J224" s="1">
        <v>0.45</v>
      </c>
      <c r="K224" s="1">
        <v>0.45</v>
      </c>
      <c r="L224" s="1">
        <v>0.41</v>
      </c>
      <c r="M224" s="1">
        <v>0.37</v>
      </c>
      <c r="N224" s="1">
        <v>0.36</v>
      </c>
    </row>
    <row r="225" spans="1:14" x14ac:dyDescent="0.3">
      <c r="A225" t="s">
        <v>299</v>
      </c>
      <c r="B225" t="s">
        <v>316</v>
      </c>
      <c r="C225" t="s">
        <v>151</v>
      </c>
      <c r="D225" s="1">
        <v>0.25</v>
      </c>
      <c r="E225" t="s">
        <v>305</v>
      </c>
      <c r="F225" s="1">
        <v>0.25</v>
      </c>
      <c r="G225" t="s">
        <v>24</v>
      </c>
      <c r="H225" s="1">
        <v>0.95</v>
      </c>
      <c r="I225" s="1"/>
      <c r="J225" s="1">
        <v>0.45</v>
      </c>
      <c r="K225" s="1">
        <v>0.45</v>
      </c>
      <c r="L225" s="1">
        <v>0.41</v>
      </c>
      <c r="M225" s="1">
        <v>0.37</v>
      </c>
      <c r="N225" s="1">
        <v>0.36</v>
      </c>
    </row>
    <row r="226" spans="1:14" x14ac:dyDescent="0.3">
      <c r="A226" t="s">
        <v>299</v>
      </c>
      <c r="B226" t="s">
        <v>316</v>
      </c>
      <c r="C226" t="s">
        <v>306</v>
      </c>
      <c r="D226" s="1">
        <v>0.15</v>
      </c>
      <c r="E226" t="s">
        <v>55</v>
      </c>
      <c r="F226" s="1">
        <v>0.3</v>
      </c>
      <c r="G226" t="s">
        <v>56</v>
      </c>
      <c r="H226" s="1">
        <v>0.3</v>
      </c>
      <c r="I226" s="1">
        <f>SUMPRODUCT(H226:H229,F226:F229)*D226</f>
        <v>6.8250000000000005E-2</v>
      </c>
      <c r="J226" s="1">
        <v>0.35</v>
      </c>
      <c r="K226" s="1">
        <v>0.35</v>
      </c>
      <c r="L226" s="1">
        <v>0.31</v>
      </c>
      <c r="M226" s="1">
        <v>0.27</v>
      </c>
      <c r="N226" s="1">
        <v>0.26</v>
      </c>
    </row>
    <row r="227" spans="1:14" x14ac:dyDescent="0.3">
      <c r="A227" t="s">
        <v>299</v>
      </c>
      <c r="B227" t="s">
        <v>316</v>
      </c>
      <c r="C227" t="s">
        <v>306</v>
      </c>
      <c r="D227" s="1">
        <v>0.15</v>
      </c>
      <c r="E227" t="s">
        <v>273</v>
      </c>
      <c r="F227" s="1">
        <v>0.25</v>
      </c>
      <c r="G227" t="s">
        <v>20</v>
      </c>
      <c r="H227" s="1">
        <v>0.6</v>
      </c>
      <c r="I227" s="1"/>
      <c r="J227" s="1">
        <v>0.35</v>
      </c>
      <c r="K227" s="1">
        <v>0.35</v>
      </c>
      <c r="L227" s="1">
        <v>0.31</v>
      </c>
      <c r="M227" s="1">
        <v>0.27</v>
      </c>
      <c r="N227" s="1">
        <v>0.26</v>
      </c>
    </row>
    <row r="228" spans="1:14" x14ac:dyDescent="0.3">
      <c r="A228" t="s">
        <v>299</v>
      </c>
      <c r="B228" t="s">
        <v>316</v>
      </c>
      <c r="C228" t="s">
        <v>306</v>
      </c>
      <c r="D228" s="1">
        <v>0.15</v>
      </c>
      <c r="E228" t="s">
        <v>58</v>
      </c>
      <c r="F228" s="1">
        <v>0.25</v>
      </c>
      <c r="G228" t="s">
        <v>30</v>
      </c>
      <c r="H228" s="1">
        <v>0.1</v>
      </c>
      <c r="I228" s="1"/>
      <c r="J228" s="1">
        <v>0.35</v>
      </c>
      <c r="K228" s="1">
        <v>0.35</v>
      </c>
      <c r="L228" s="1">
        <v>0.31</v>
      </c>
      <c r="M228" s="1">
        <v>0.27</v>
      </c>
      <c r="N228" s="1">
        <v>0.26</v>
      </c>
    </row>
    <row r="229" spans="1:14" x14ac:dyDescent="0.3">
      <c r="A229" t="s">
        <v>299</v>
      </c>
      <c r="B229" t="s">
        <v>316</v>
      </c>
      <c r="C229" t="s">
        <v>306</v>
      </c>
      <c r="D229" s="1">
        <v>0.15</v>
      </c>
      <c r="E229" t="s">
        <v>59</v>
      </c>
      <c r="F229" s="1">
        <v>0.2</v>
      </c>
      <c r="G229" t="s">
        <v>24</v>
      </c>
      <c r="H229" s="1">
        <v>0.95</v>
      </c>
      <c r="I229" s="1"/>
      <c r="J229" s="1">
        <v>0.35</v>
      </c>
      <c r="K229" s="1">
        <v>0.35</v>
      </c>
      <c r="L229" s="1">
        <v>0.31</v>
      </c>
      <c r="M229" s="1">
        <v>0.27</v>
      </c>
      <c r="N229" s="1">
        <v>0.26</v>
      </c>
    </row>
    <row r="230" spans="1:14" x14ac:dyDescent="0.3">
      <c r="D230" s="1"/>
      <c r="F230" s="1"/>
      <c r="H230" s="1"/>
      <c r="I230" s="2">
        <f>SUM(I206:I228)</f>
        <v>0.65837500000000004</v>
      </c>
      <c r="J230" s="2">
        <f>+J210*$D210+J214*$D214+J218*$D218+J222*$D222+J226*$D226+$D206*J206</f>
        <v>0.52700000000000002</v>
      </c>
      <c r="K230" s="2">
        <f t="shared" ref="K230:N230" si="8">+K210*$D210+K214*$D214+K218*$D218+K222*$D222+K226*$D226+$D206*K206</f>
        <v>0.52700000000000002</v>
      </c>
      <c r="L230" s="2">
        <f t="shared" si="8"/>
        <v>0.48699999999999999</v>
      </c>
      <c r="M230" s="2">
        <f t="shared" si="8"/>
        <v>0.44699999999999995</v>
      </c>
      <c r="N230" s="2">
        <f t="shared" si="8"/>
        <v>0.43699999999999994</v>
      </c>
    </row>
    <row r="231" spans="1:14" x14ac:dyDescent="0.3">
      <c r="D231" s="1"/>
      <c r="F231" s="1"/>
      <c r="H231" s="1"/>
      <c r="I231" s="1"/>
      <c r="J231" s="1"/>
      <c r="K231" s="1"/>
      <c r="L231" s="1"/>
      <c r="M231" s="1"/>
      <c r="N231" s="1"/>
    </row>
    <row r="232" spans="1:14" x14ac:dyDescent="0.3">
      <c r="A232" t="s">
        <v>299</v>
      </c>
      <c r="B232" t="s">
        <v>317</v>
      </c>
      <c r="C232" t="s">
        <v>16</v>
      </c>
      <c r="D232" s="1">
        <v>0.2</v>
      </c>
      <c r="E232" t="s">
        <v>17</v>
      </c>
      <c r="F232" s="1">
        <v>0.3</v>
      </c>
      <c r="G232" t="s">
        <v>18</v>
      </c>
      <c r="H232" s="1">
        <v>0.9</v>
      </c>
      <c r="I232" s="1">
        <f>SUMPRODUCT(H232:H235,F232:F235)*D232</f>
        <v>0.16550000000000004</v>
      </c>
      <c r="J232" s="1">
        <v>0.68</v>
      </c>
      <c r="K232" s="1">
        <v>0.68</v>
      </c>
      <c r="L232" s="1">
        <v>0.64</v>
      </c>
      <c r="M232" s="1">
        <v>0.61</v>
      </c>
      <c r="N232" s="1">
        <v>0.62</v>
      </c>
    </row>
    <row r="233" spans="1:14" x14ac:dyDescent="0.3">
      <c r="A233" t="s">
        <v>299</v>
      </c>
      <c r="B233" t="s">
        <v>317</v>
      </c>
      <c r="C233" t="s">
        <v>16</v>
      </c>
      <c r="D233" s="1">
        <v>0.2</v>
      </c>
      <c r="E233" t="s">
        <v>19</v>
      </c>
      <c r="F233" s="1">
        <v>0.25</v>
      </c>
      <c r="G233" t="s">
        <v>20</v>
      </c>
      <c r="H233" s="1">
        <v>0.6</v>
      </c>
      <c r="I233" s="1"/>
      <c r="J233" s="1">
        <v>0.68</v>
      </c>
      <c r="K233" s="1">
        <v>0.68</v>
      </c>
      <c r="L233" s="1">
        <v>0.64</v>
      </c>
      <c r="M233" s="1">
        <v>0.61</v>
      </c>
      <c r="N233" s="1">
        <v>0.62</v>
      </c>
    </row>
    <row r="234" spans="1:14" x14ac:dyDescent="0.3">
      <c r="A234" t="s">
        <v>299</v>
      </c>
      <c r="B234" t="s">
        <v>317</v>
      </c>
      <c r="C234" t="s">
        <v>16</v>
      </c>
      <c r="D234" s="1">
        <v>0.2</v>
      </c>
      <c r="E234" t="s">
        <v>21</v>
      </c>
      <c r="F234" s="1">
        <v>0.2</v>
      </c>
      <c r="G234" t="s">
        <v>22</v>
      </c>
      <c r="H234" s="1">
        <v>0.85</v>
      </c>
      <c r="I234" s="1"/>
      <c r="J234" s="1">
        <v>0.68</v>
      </c>
      <c r="K234" s="1">
        <v>0.68</v>
      </c>
      <c r="L234" s="1">
        <v>0.64</v>
      </c>
      <c r="M234" s="1">
        <v>0.61</v>
      </c>
      <c r="N234" s="1">
        <v>0.62</v>
      </c>
    </row>
    <row r="235" spans="1:14" x14ac:dyDescent="0.3">
      <c r="A235" t="s">
        <v>299</v>
      </c>
      <c r="B235" t="s">
        <v>317</v>
      </c>
      <c r="C235" t="s">
        <v>16</v>
      </c>
      <c r="D235" s="1">
        <v>0.2</v>
      </c>
      <c r="E235" t="s">
        <v>23</v>
      </c>
      <c r="F235" s="1">
        <v>0.25</v>
      </c>
      <c r="G235" t="s">
        <v>24</v>
      </c>
      <c r="H235" s="1">
        <v>0.95</v>
      </c>
      <c r="I235" s="1"/>
      <c r="J235" s="1">
        <v>0.68</v>
      </c>
      <c r="K235" s="1">
        <v>0.68</v>
      </c>
      <c r="L235" s="1">
        <v>0.64</v>
      </c>
      <c r="M235" s="1">
        <v>0.61</v>
      </c>
      <c r="N235" s="1">
        <v>0.62</v>
      </c>
    </row>
    <row r="236" spans="1:14" x14ac:dyDescent="0.3">
      <c r="A236" t="s">
        <v>299</v>
      </c>
      <c r="B236" t="s">
        <v>317</v>
      </c>
      <c r="C236" t="s">
        <v>25</v>
      </c>
      <c r="D236" s="1">
        <v>0.15</v>
      </c>
      <c r="E236" t="s">
        <v>26</v>
      </c>
      <c r="F236" s="1">
        <v>0.25</v>
      </c>
      <c r="G236" t="s">
        <v>18</v>
      </c>
      <c r="H236" s="1">
        <v>0.9</v>
      </c>
      <c r="I236" s="1">
        <f>SUMPRODUCT(H236:H239,F236:F239)*D236</f>
        <v>9.3000000000000013E-2</v>
      </c>
      <c r="J236" s="1">
        <v>0.48</v>
      </c>
      <c r="K236" s="1">
        <v>0.48</v>
      </c>
      <c r="L236" s="1">
        <v>0.44</v>
      </c>
      <c r="M236" s="1">
        <v>0.41</v>
      </c>
      <c r="N236" s="1">
        <v>0.42</v>
      </c>
    </row>
    <row r="237" spans="1:14" x14ac:dyDescent="0.3">
      <c r="A237" t="s">
        <v>299</v>
      </c>
      <c r="B237" t="s">
        <v>317</v>
      </c>
      <c r="C237" t="s">
        <v>25</v>
      </c>
      <c r="D237" s="1">
        <v>0.15</v>
      </c>
      <c r="E237" t="s">
        <v>27</v>
      </c>
      <c r="F237" s="1">
        <v>0.25</v>
      </c>
      <c r="G237" t="s">
        <v>28</v>
      </c>
      <c r="H237" s="1">
        <v>0.7</v>
      </c>
      <c r="I237" s="1"/>
      <c r="J237" s="1">
        <v>0.48</v>
      </c>
      <c r="K237" s="1">
        <v>0.48</v>
      </c>
      <c r="L237" s="1">
        <v>0.44</v>
      </c>
      <c r="M237" s="1">
        <v>0.41</v>
      </c>
      <c r="N237" s="1">
        <v>0.42</v>
      </c>
    </row>
    <row r="238" spans="1:14" x14ac:dyDescent="0.3">
      <c r="A238" t="s">
        <v>299</v>
      </c>
      <c r="B238" t="s">
        <v>317</v>
      </c>
      <c r="C238" t="s">
        <v>25</v>
      </c>
      <c r="D238" s="1">
        <v>0.15</v>
      </c>
      <c r="E238" t="s">
        <v>29</v>
      </c>
      <c r="F238" s="1">
        <v>0.3</v>
      </c>
      <c r="G238" t="s">
        <v>30</v>
      </c>
      <c r="H238" s="1">
        <v>0.1</v>
      </c>
      <c r="I238" s="1"/>
      <c r="J238" s="1">
        <v>0.48</v>
      </c>
      <c r="K238" s="1">
        <v>0.48</v>
      </c>
      <c r="L238" s="1">
        <v>0.44</v>
      </c>
      <c r="M238" s="1">
        <v>0.41</v>
      </c>
      <c r="N238" s="1">
        <v>0.42</v>
      </c>
    </row>
    <row r="239" spans="1:14" x14ac:dyDescent="0.3">
      <c r="A239" t="s">
        <v>299</v>
      </c>
      <c r="B239" t="s">
        <v>317</v>
      </c>
      <c r="C239" t="s">
        <v>25</v>
      </c>
      <c r="D239" s="1">
        <v>0.15</v>
      </c>
      <c r="E239" t="s">
        <v>31</v>
      </c>
      <c r="F239" s="1">
        <v>0.2</v>
      </c>
      <c r="G239" t="s">
        <v>24</v>
      </c>
      <c r="H239" s="1">
        <v>0.95</v>
      </c>
      <c r="I239" s="1"/>
      <c r="J239" s="1">
        <v>0.48</v>
      </c>
      <c r="K239" s="1">
        <v>0.48</v>
      </c>
      <c r="L239" s="1">
        <v>0.44</v>
      </c>
      <c r="M239" s="1">
        <v>0.41</v>
      </c>
      <c r="N239" s="1">
        <v>0.42</v>
      </c>
    </row>
    <row r="240" spans="1:14" x14ac:dyDescent="0.3">
      <c r="A240" t="s">
        <v>299</v>
      </c>
      <c r="B240" t="s">
        <v>317</v>
      </c>
      <c r="C240" t="s">
        <v>37</v>
      </c>
      <c r="D240" s="1">
        <v>0.25</v>
      </c>
      <c r="E240" t="s">
        <v>38</v>
      </c>
      <c r="F240" s="1">
        <v>0.3</v>
      </c>
      <c r="G240" t="s">
        <v>18</v>
      </c>
      <c r="H240" s="1">
        <v>0.9</v>
      </c>
      <c r="I240" s="1">
        <f>SUMPRODUCT(H240:H243,F240:F243)*D240</f>
        <v>0.20250000000000001</v>
      </c>
      <c r="J240" s="1">
        <v>0.68</v>
      </c>
      <c r="K240" s="1">
        <v>0.68</v>
      </c>
      <c r="L240" s="1">
        <v>0.64</v>
      </c>
      <c r="M240" s="1">
        <v>0.61</v>
      </c>
      <c r="N240" s="1">
        <v>0.62</v>
      </c>
    </row>
    <row r="241" spans="1:14" x14ac:dyDescent="0.3">
      <c r="A241" t="s">
        <v>299</v>
      </c>
      <c r="B241" t="s">
        <v>317</v>
      </c>
      <c r="C241" t="s">
        <v>37</v>
      </c>
      <c r="D241" s="1">
        <v>0.25</v>
      </c>
      <c r="E241" t="s">
        <v>304</v>
      </c>
      <c r="F241" s="1">
        <v>0.25</v>
      </c>
      <c r="G241" t="s">
        <v>40</v>
      </c>
      <c r="H241" s="1">
        <v>0.7</v>
      </c>
      <c r="I241" s="1"/>
      <c r="J241" s="1">
        <v>0.68</v>
      </c>
      <c r="K241" s="1">
        <v>0.68</v>
      </c>
      <c r="L241" s="1">
        <v>0.64</v>
      </c>
      <c r="M241" s="1">
        <v>0.61</v>
      </c>
      <c r="N241" s="1">
        <v>0.62</v>
      </c>
    </row>
    <row r="242" spans="1:14" x14ac:dyDescent="0.3">
      <c r="A242" t="s">
        <v>299</v>
      </c>
      <c r="B242" t="s">
        <v>317</v>
      </c>
      <c r="C242" t="s">
        <v>37</v>
      </c>
      <c r="D242" s="1">
        <v>0.25</v>
      </c>
      <c r="E242" t="s">
        <v>41</v>
      </c>
      <c r="F242" s="1">
        <v>0.25</v>
      </c>
      <c r="G242" t="s">
        <v>28</v>
      </c>
      <c r="H242" s="1">
        <v>0.7</v>
      </c>
      <c r="I242" s="1"/>
      <c r="J242" s="1">
        <v>0.68</v>
      </c>
      <c r="K242" s="1">
        <v>0.68</v>
      </c>
      <c r="L242" s="1">
        <v>0.64</v>
      </c>
      <c r="M242" s="1">
        <v>0.61</v>
      </c>
      <c r="N242" s="1">
        <v>0.62</v>
      </c>
    </row>
    <row r="243" spans="1:14" x14ac:dyDescent="0.3">
      <c r="A243" t="s">
        <v>299</v>
      </c>
      <c r="B243" t="s">
        <v>317</v>
      </c>
      <c r="C243" t="s">
        <v>37</v>
      </c>
      <c r="D243" s="1">
        <v>0.25</v>
      </c>
      <c r="E243" t="s">
        <v>42</v>
      </c>
      <c r="F243" s="1">
        <v>0.2</v>
      </c>
      <c r="G243" t="s">
        <v>24</v>
      </c>
      <c r="H243" s="1">
        <v>0.95</v>
      </c>
      <c r="I243" s="1"/>
      <c r="J243" s="1">
        <v>0.68</v>
      </c>
      <c r="K243" s="1">
        <v>0.68</v>
      </c>
      <c r="L243" s="1">
        <v>0.64</v>
      </c>
      <c r="M243" s="1">
        <v>0.61</v>
      </c>
      <c r="N243" s="1">
        <v>0.62</v>
      </c>
    </row>
    <row r="244" spans="1:14" x14ac:dyDescent="0.3">
      <c r="A244" t="s">
        <v>299</v>
      </c>
      <c r="B244" t="s">
        <v>317</v>
      </c>
      <c r="C244" t="s">
        <v>151</v>
      </c>
      <c r="D244" s="1">
        <v>0.2</v>
      </c>
      <c r="E244" t="s">
        <v>208</v>
      </c>
      <c r="F244" s="1">
        <v>0.25</v>
      </c>
      <c r="G244" t="s">
        <v>40</v>
      </c>
      <c r="H244" s="1">
        <v>0.7</v>
      </c>
      <c r="I244" s="1">
        <f>SUMPRODUCT(H244:H247,F244:F247)*D244</f>
        <v>0.11749999999999999</v>
      </c>
      <c r="J244" s="1">
        <v>0.45</v>
      </c>
      <c r="K244" s="1">
        <v>0.45</v>
      </c>
      <c r="L244" s="1">
        <v>0.41</v>
      </c>
      <c r="M244" s="1">
        <v>0.38</v>
      </c>
      <c r="N244" s="1">
        <v>0.39</v>
      </c>
    </row>
    <row r="245" spans="1:14" x14ac:dyDescent="0.3">
      <c r="A245" t="s">
        <v>299</v>
      </c>
      <c r="B245" t="s">
        <v>317</v>
      </c>
      <c r="C245" t="s">
        <v>151</v>
      </c>
      <c r="D245" s="1">
        <v>0.2</v>
      </c>
      <c r="E245" t="s">
        <v>50</v>
      </c>
      <c r="F245" s="1">
        <v>0.25</v>
      </c>
      <c r="G245" t="s">
        <v>20</v>
      </c>
      <c r="H245" s="1">
        <v>0.6</v>
      </c>
      <c r="I245" s="1"/>
      <c r="J245" s="1">
        <v>0.45</v>
      </c>
      <c r="K245" s="1">
        <v>0.45</v>
      </c>
      <c r="L245" s="1">
        <v>0.41</v>
      </c>
      <c r="M245" s="1">
        <v>0.38</v>
      </c>
      <c r="N245" s="1">
        <v>0.39</v>
      </c>
    </row>
    <row r="246" spans="1:14" x14ac:dyDescent="0.3">
      <c r="A246" t="s">
        <v>299</v>
      </c>
      <c r="B246" t="s">
        <v>317</v>
      </c>
      <c r="C246" t="s">
        <v>151</v>
      </c>
      <c r="D246" s="1">
        <v>0.2</v>
      </c>
      <c r="E246" t="s">
        <v>210</v>
      </c>
      <c r="F246" s="1">
        <v>0.25</v>
      </c>
      <c r="G246" t="s">
        <v>30</v>
      </c>
      <c r="H246" s="1">
        <v>0.1</v>
      </c>
      <c r="I246" s="1"/>
      <c r="J246" s="1">
        <v>0.45</v>
      </c>
      <c r="K246" s="1">
        <v>0.45</v>
      </c>
      <c r="L246" s="1">
        <v>0.41</v>
      </c>
      <c r="M246" s="1">
        <v>0.38</v>
      </c>
      <c r="N246" s="1">
        <v>0.39</v>
      </c>
    </row>
    <row r="247" spans="1:14" x14ac:dyDescent="0.3">
      <c r="A247" t="s">
        <v>299</v>
      </c>
      <c r="B247" t="s">
        <v>317</v>
      </c>
      <c r="C247" t="s">
        <v>151</v>
      </c>
      <c r="D247" s="1">
        <v>0.2</v>
      </c>
      <c r="E247" t="s">
        <v>305</v>
      </c>
      <c r="F247" s="1">
        <v>0.25</v>
      </c>
      <c r="G247" t="s">
        <v>24</v>
      </c>
      <c r="H247" s="1">
        <v>0.95</v>
      </c>
      <c r="I247" s="1"/>
      <c r="J247" s="1">
        <v>0.45</v>
      </c>
      <c r="K247" s="1">
        <v>0.45</v>
      </c>
      <c r="L247" s="1">
        <v>0.41</v>
      </c>
      <c r="M247" s="1">
        <v>0.38</v>
      </c>
      <c r="N247" s="1">
        <v>0.39</v>
      </c>
    </row>
    <row r="248" spans="1:14" x14ac:dyDescent="0.3">
      <c r="A248" t="s">
        <v>299</v>
      </c>
      <c r="B248" t="s">
        <v>317</v>
      </c>
      <c r="C248" t="s">
        <v>43</v>
      </c>
      <c r="D248" s="1">
        <v>0.1</v>
      </c>
      <c r="E248" t="s">
        <v>308</v>
      </c>
      <c r="F248" s="1">
        <v>0.25</v>
      </c>
      <c r="G248" t="s">
        <v>18</v>
      </c>
      <c r="H248" s="1">
        <v>0.9</v>
      </c>
      <c r="I248" s="1">
        <f>SUMPRODUCT(H248:H251,F248:F251)*D248</f>
        <v>5.9499999999999997E-2</v>
      </c>
      <c r="J248" s="1">
        <v>0.45</v>
      </c>
      <c r="K248" s="1">
        <v>0.45</v>
      </c>
      <c r="L248" s="1">
        <v>0.41</v>
      </c>
      <c r="M248" s="1">
        <v>0.38</v>
      </c>
      <c r="N248" s="1">
        <v>0.39</v>
      </c>
    </row>
    <row r="249" spans="1:14" x14ac:dyDescent="0.3">
      <c r="A249" t="s">
        <v>299</v>
      </c>
      <c r="B249" t="s">
        <v>317</v>
      </c>
      <c r="C249" t="s">
        <v>43</v>
      </c>
      <c r="D249" s="1">
        <v>0.1</v>
      </c>
      <c r="E249" t="s">
        <v>309</v>
      </c>
      <c r="F249" s="1">
        <v>0.25</v>
      </c>
      <c r="G249" t="s">
        <v>20</v>
      </c>
      <c r="H249" s="1">
        <v>0.6</v>
      </c>
      <c r="I249" s="1"/>
      <c r="J249" s="1">
        <v>0.45</v>
      </c>
      <c r="K249" s="1">
        <v>0.45</v>
      </c>
      <c r="L249" s="1">
        <v>0.41</v>
      </c>
      <c r="M249" s="1">
        <v>0.38</v>
      </c>
      <c r="N249" s="1">
        <v>0.39</v>
      </c>
    </row>
    <row r="250" spans="1:14" x14ac:dyDescent="0.3">
      <c r="A250" t="s">
        <v>299</v>
      </c>
      <c r="B250" t="s">
        <v>317</v>
      </c>
      <c r="C250" t="s">
        <v>43</v>
      </c>
      <c r="D250" s="1">
        <v>0.1</v>
      </c>
      <c r="E250" t="s">
        <v>46</v>
      </c>
      <c r="F250" s="1">
        <v>0.3</v>
      </c>
      <c r="G250" t="s">
        <v>30</v>
      </c>
      <c r="H250" s="1">
        <v>0.1</v>
      </c>
      <c r="I250" s="1"/>
      <c r="J250" s="1">
        <v>0.45</v>
      </c>
      <c r="K250" s="1">
        <v>0.45</v>
      </c>
      <c r="L250" s="1">
        <v>0.41</v>
      </c>
      <c r="M250" s="1">
        <v>0.38</v>
      </c>
      <c r="N250" s="1">
        <v>0.39</v>
      </c>
    </row>
    <row r="251" spans="1:14" x14ac:dyDescent="0.3">
      <c r="A251" t="s">
        <v>299</v>
      </c>
      <c r="B251" t="s">
        <v>317</v>
      </c>
      <c r="C251" t="s">
        <v>43</v>
      </c>
      <c r="D251" s="1">
        <v>0.1</v>
      </c>
      <c r="E251" t="s">
        <v>47</v>
      </c>
      <c r="F251" s="1">
        <v>0.2</v>
      </c>
      <c r="G251" t="s">
        <v>24</v>
      </c>
      <c r="H251" s="1">
        <v>0.95</v>
      </c>
      <c r="I251" s="1"/>
      <c r="J251" s="1">
        <v>0.45</v>
      </c>
      <c r="K251" s="1">
        <v>0.45</v>
      </c>
      <c r="L251" s="1">
        <v>0.41</v>
      </c>
      <c r="M251" s="1">
        <v>0.38</v>
      </c>
      <c r="N251" s="1">
        <v>0.39</v>
      </c>
    </row>
    <row r="252" spans="1:14" x14ac:dyDescent="0.3">
      <c r="A252" t="s">
        <v>299</v>
      </c>
      <c r="B252" t="s">
        <v>317</v>
      </c>
      <c r="C252" t="s">
        <v>306</v>
      </c>
      <c r="D252" s="1">
        <v>0.1</v>
      </c>
      <c r="E252" t="s">
        <v>55</v>
      </c>
      <c r="F252" s="1">
        <v>0.3</v>
      </c>
      <c r="G252" t="s">
        <v>56</v>
      </c>
      <c r="H252" s="1">
        <v>0.3</v>
      </c>
      <c r="I252" s="1">
        <f>SUMPRODUCT(H252:H255,F252:F255)*D252</f>
        <v>4.5500000000000006E-2</v>
      </c>
      <c r="J252" s="1">
        <v>0.35</v>
      </c>
      <c r="K252" s="1">
        <v>0.35</v>
      </c>
      <c r="L252" s="1">
        <v>0.31</v>
      </c>
      <c r="M252" s="1">
        <v>0.28000000000000003</v>
      </c>
      <c r="N252" s="1">
        <v>0.28999999999999998</v>
      </c>
    </row>
    <row r="253" spans="1:14" x14ac:dyDescent="0.3">
      <c r="A253" t="s">
        <v>299</v>
      </c>
      <c r="B253" t="s">
        <v>317</v>
      </c>
      <c r="C253" t="s">
        <v>306</v>
      </c>
      <c r="D253" s="1">
        <v>0.1</v>
      </c>
      <c r="E253" t="s">
        <v>273</v>
      </c>
      <c r="F253" s="1">
        <v>0.25</v>
      </c>
      <c r="G253" t="s">
        <v>20</v>
      </c>
      <c r="H253" s="1">
        <v>0.6</v>
      </c>
      <c r="I253" s="1"/>
      <c r="J253" s="1">
        <v>0.35</v>
      </c>
      <c r="K253" s="1">
        <v>0.35</v>
      </c>
      <c r="L253" s="1">
        <v>0.31</v>
      </c>
      <c r="M253" s="1">
        <v>0.28000000000000003</v>
      </c>
      <c r="N253" s="1">
        <v>0.28999999999999998</v>
      </c>
    </row>
    <row r="254" spans="1:14" x14ac:dyDescent="0.3">
      <c r="A254" t="s">
        <v>299</v>
      </c>
      <c r="B254" t="s">
        <v>317</v>
      </c>
      <c r="C254" t="s">
        <v>306</v>
      </c>
      <c r="D254" s="1">
        <v>0.1</v>
      </c>
      <c r="E254" t="s">
        <v>58</v>
      </c>
      <c r="F254" s="1">
        <v>0.25</v>
      </c>
      <c r="G254" t="s">
        <v>30</v>
      </c>
      <c r="H254" s="1">
        <v>0.1</v>
      </c>
      <c r="I254" s="1"/>
      <c r="J254" s="1">
        <v>0.35</v>
      </c>
      <c r="K254" s="1">
        <v>0.35</v>
      </c>
      <c r="L254" s="1">
        <v>0.31</v>
      </c>
      <c r="M254" s="1">
        <v>0.28000000000000003</v>
      </c>
      <c r="N254" s="1">
        <v>0.28999999999999998</v>
      </c>
    </row>
    <row r="255" spans="1:14" x14ac:dyDescent="0.3">
      <c r="A255" t="s">
        <v>299</v>
      </c>
      <c r="B255" t="s">
        <v>317</v>
      </c>
      <c r="C255" t="s">
        <v>306</v>
      </c>
      <c r="D255" s="1">
        <v>0.1</v>
      </c>
      <c r="E255" t="s">
        <v>59</v>
      </c>
      <c r="F255" s="1">
        <v>0.2</v>
      </c>
      <c r="G255" t="s">
        <v>24</v>
      </c>
      <c r="H255" s="1">
        <v>0.95</v>
      </c>
      <c r="I255" s="1"/>
      <c r="J255" s="1">
        <v>0.35</v>
      </c>
      <c r="K255" s="1">
        <v>0.35</v>
      </c>
      <c r="L255" s="1">
        <v>0.31</v>
      </c>
      <c r="M255" s="1">
        <v>0.28000000000000003</v>
      </c>
      <c r="N255" s="1">
        <v>0.28999999999999998</v>
      </c>
    </row>
    <row r="256" spans="1:14" x14ac:dyDescent="0.3">
      <c r="D256" s="1"/>
      <c r="F256" s="1"/>
      <c r="H256" s="1"/>
      <c r="I256" s="2">
        <f>SUM(I232:I254)</f>
        <v>0.6835</v>
      </c>
      <c r="J256" s="2">
        <f>+J236*$D236+J240*$D240+J244*$D244+J248*$D248+J252*$D252+$D232*J232</f>
        <v>0.54800000000000004</v>
      </c>
      <c r="K256" s="2">
        <f t="shared" ref="K256:N256" si="9">+K236*$D236+K240*$D240+K244*$D244+K248*$D248+K252*$D252+$D232*K232</f>
        <v>0.54800000000000004</v>
      </c>
      <c r="L256" s="2">
        <f t="shared" si="9"/>
        <v>0.50800000000000001</v>
      </c>
      <c r="M256" s="2">
        <f t="shared" si="9"/>
        <v>0.47800000000000009</v>
      </c>
      <c r="N256" s="2">
        <f t="shared" si="9"/>
        <v>0.4880000000000001</v>
      </c>
    </row>
    <row r="257" spans="1:14" x14ac:dyDescent="0.3">
      <c r="D257" s="1"/>
      <c r="F257" s="1"/>
      <c r="H257" s="1"/>
      <c r="I257" s="1"/>
      <c r="J257" s="1"/>
      <c r="K257" s="1"/>
      <c r="L257" s="1"/>
      <c r="M257" s="1"/>
      <c r="N257" s="1"/>
    </row>
    <row r="258" spans="1:14" x14ac:dyDescent="0.3">
      <c r="A258" t="s">
        <v>299</v>
      </c>
      <c r="B258" t="s">
        <v>318</v>
      </c>
      <c r="C258" t="s">
        <v>301</v>
      </c>
      <c r="D258" s="1">
        <v>0.2</v>
      </c>
      <c r="E258" t="s">
        <v>72</v>
      </c>
      <c r="F258" s="1">
        <v>0.3</v>
      </c>
      <c r="G258" t="s">
        <v>73</v>
      </c>
      <c r="H258" s="1">
        <v>0.7</v>
      </c>
      <c r="I258" s="1">
        <f>SUMPRODUCT(H258:H261,F258:F261)*D258</f>
        <v>9.1000000000000011E-2</v>
      </c>
      <c r="J258" s="1">
        <v>0.36</v>
      </c>
      <c r="K258" s="1">
        <v>0.36</v>
      </c>
      <c r="L258" s="1">
        <v>0.32</v>
      </c>
      <c r="M258" s="1">
        <v>0.28000000000000003</v>
      </c>
      <c r="N258" s="1">
        <v>0.28999999999999998</v>
      </c>
    </row>
    <row r="259" spans="1:14" x14ac:dyDescent="0.3">
      <c r="A259" t="s">
        <v>299</v>
      </c>
      <c r="B259" t="s">
        <v>318</v>
      </c>
      <c r="C259" t="s">
        <v>301</v>
      </c>
      <c r="D259" s="1">
        <v>0.2</v>
      </c>
      <c r="E259" t="s">
        <v>302</v>
      </c>
      <c r="F259" s="1">
        <v>0.25</v>
      </c>
      <c r="G259" t="s">
        <v>20</v>
      </c>
      <c r="H259" s="1">
        <v>0.6</v>
      </c>
      <c r="I259" s="1"/>
      <c r="J259" s="1">
        <v>0.36</v>
      </c>
      <c r="K259" s="1">
        <v>0.36</v>
      </c>
      <c r="L259" s="1">
        <v>0.32</v>
      </c>
      <c r="M259" s="1">
        <v>0.28000000000000003</v>
      </c>
      <c r="N259" s="1">
        <v>0.28999999999999998</v>
      </c>
    </row>
    <row r="260" spans="1:14" x14ac:dyDescent="0.3">
      <c r="A260" t="s">
        <v>299</v>
      </c>
      <c r="B260" t="s">
        <v>318</v>
      </c>
      <c r="C260" t="s">
        <v>301</v>
      </c>
      <c r="D260" s="1">
        <v>0.2</v>
      </c>
      <c r="E260" t="s">
        <v>147</v>
      </c>
      <c r="F260" s="1">
        <v>0.25</v>
      </c>
      <c r="G260" t="s">
        <v>56</v>
      </c>
      <c r="H260" s="1">
        <v>0.3</v>
      </c>
      <c r="I260" s="1"/>
      <c r="J260" s="1">
        <v>0.36</v>
      </c>
      <c r="K260" s="1">
        <v>0.36</v>
      </c>
      <c r="L260" s="1">
        <v>0.32</v>
      </c>
      <c r="M260" s="1">
        <v>0.28000000000000003</v>
      </c>
      <c r="N260" s="1">
        <v>0.28999999999999998</v>
      </c>
    </row>
    <row r="261" spans="1:14" x14ac:dyDescent="0.3">
      <c r="A261" t="s">
        <v>299</v>
      </c>
      <c r="B261" t="s">
        <v>318</v>
      </c>
      <c r="C261" t="s">
        <v>301</v>
      </c>
      <c r="D261" s="1">
        <v>0.2</v>
      </c>
      <c r="E261" t="s">
        <v>303</v>
      </c>
      <c r="F261" s="1">
        <v>0.2</v>
      </c>
      <c r="G261" t="s">
        <v>30</v>
      </c>
      <c r="H261" s="1">
        <v>0.1</v>
      </c>
      <c r="I261" s="1"/>
      <c r="J261" s="1">
        <v>0.36</v>
      </c>
      <c r="K261" s="1">
        <v>0.36</v>
      </c>
      <c r="L261" s="1">
        <v>0.32</v>
      </c>
      <c r="M261" s="1">
        <v>0.28000000000000003</v>
      </c>
      <c r="N261" s="1">
        <v>0.28999999999999998</v>
      </c>
    </row>
    <row r="262" spans="1:14" x14ac:dyDescent="0.3">
      <c r="A262" t="s">
        <v>299</v>
      </c>
      <c r="B262" t="s">
        <v>318</v>
      </c>
      <c r="C262" t="s">
        <v>16</v>
      </c>
      <c r="D262" s="1">
        <v>0.2</v>
      </c>
      <c r="E262" t="s">
        <v>17</v>
      </c>
      <c r="F262" s="1">
        <v>0.3</v>
      </c>
      <c r="G262" t="s">
        <v>18</v>
      </c>
      <c r="H262" s="1">
        <v>0.9</v>
      </c>
      <c r="I262" s="1">
        <f>SUMPRODUCT(H262:H265,F262:F265)*D262</f>
        <v>0.16550000000000004</v>
      </c>
      <c r="J262" s="1">
        <v>0.68</v>
      </c>
      <c r="K262" s="1">
        <v>0.68</v>
      </c>
      <c r="L262" s="1">
        <v>0.64</v>
      </c>
      <c r="M262" s="1">
        <v>0.6</v>
      </c>
      <c r="N262" s="1">
        <v>0.61</v>
      </c>
    </row>
    <row r="263" spans="1:14" x14ac:dyDescent="0.3">
      <c r="A263" t="s">
        <v>299</v>
      </c>
      <c r="B263" t="s">
        <v>318</v>
      </c>
      <c r="C263" t="s">
        <v>16</v>
      </c>
      <c r="D263" s="1">
        <v>0.2</v>
      </c>
      <c r="E263" t="s">
        <v>19</v>
      </c>
      <c r="F263" s="1">
        <v>0.25</v>
      </c>
      <c r="G263" t="s">
        <v>20</v>
      </c>
      <c r="H263" s="1">
        <v>0.6</v>
      </c>
      <c r="I263" s="1"/>
      <c r="J263" s="1">
        <v>0.68</v>
      </c>
      <c r="K263" s="1">
        <v>0.68</v>
      </c>
      <c r="L263" s="1">
        <v>0.64</v>
      </c>
      <c r="M263" s="1">
        <v>0.6</v>
      </c>
      <c r="N263" s="1">
        <v>0.61</v>
      </c>
    </row>
    <row r="264" spans="1:14" x14ac:dyDescent="0.3">
      <c r="A264" t="s">
        <v>299</v>
      </c>
      <c r="B264" t="s">
        <v>318</v>
      </c>
      <c r="C264" t="s">
        <v>16</v>
      </c>
      <c r="D264" s="1">
        <v>0.2</v>
      </c>
      <c r="E264" t="s">
        <v>21</v>
      </c>
      <c r="F264" s="1">
        <v>0.2</v>
      </c>
      <c r="G264" t="s">
        <v>22</v>
      </c>
      <c r="H264" s="1">
        <v>0.85</v>
      </c>
      <c r="I264" s="1"/>
      <c r="J264" s="1">
        <v>0.68</v>
      </c>
      <c r="K264" s="1">
        <v>0.68</v>
      </c>
      <c r="L264" s="1">
        <v>0.64</v>
      </c>
      <c r="M264" s="1">
        <v>0.6</v>
      </c>
      <c r="N264" s="1">
        <v>0.61</v>
      </c>
    </row>
    <row r="265" spans="1:14" x14ac:dyDescent="0.3">
      <c r="A265" t="s">
        <v>299</v>
      </c>
      <c r="B265" t="s">
        <v>318</v>
      </c>
      <c r="C265" t="s">
        <v>16</v>
      </c>
      <c r="D265" s="1">
        <v>0.2</v>
      </c>
      <c r="E265" t="s">
        <v>23</v>
      </c>
      <c r="F265" s="1">
        <v>0.25</v>
      </c>
      <c r="G265" t="s">
        <v>24</v>
      </c>
      <c r="H265" s="1">
        <v>0.95</v>
      </c>
      <c r="I265" s="1"/>
      <c r="J265" s="1">
        <v>0.68</v>
      </c>
      <c r="K265" s="1">
        <v>0.68</v>
      </c>
      <c r="L265" s="1">
        <v>0.64</v>
      </c>
      <c r="M265" s="1">
        <v>0.6</v>
      </c>
      <c r="N265" s="1">
        <v>0.61</v>
      </c>
    </row>
    <row r="266" spans="1:14" x14ac:dyDescent="0.3">
      <c r="A266" t="s">
        <v>299</v>
      </c>
      <c r="B266" t="s">
        <v>318</v>
      </c>
      <c r="C266" t="s">
        <v>25</v>
      </c>
      <c r="D266" s="1">
        <v>0.15</v>
      </c>
      <c r="E266" t="s">
        <v>26</v>
      </c>
      <c r="F266" s="1">
        <v>0.25</v>
      </c>
      <c r="G266" t="s">
        <v>18</v>
      </c>
      <c r="H266" s="1">
        <v>0.9</v>
      </c>
      <c r="I266" s="1">
        <f>SUMPRODUCT(H266:H269,F266:F269)*D266</f>
        <v>9.3000000000000013E-2</v>
      </c>
      <c r="J266" s="1">
        <v>0.48</v>
      </c>
      <c r="K266" s="1">
        <v>0.48</v>
      </c>
      <c r="L266" s="1">
        <v>0.44</v>
      </c>
      <c r="M266" s="1">
        <v>0.4</v>
      </c>
      <c r="N266" s="1">
        <v>0.41</v>
      </c>
    </row>
    <row r="267" spans="1:14" x14ac:dyDescent="0.3">
      <c r="A267" t="s">
        <v>299</v>
      </c>
      <c r="B267" t="s">
        <v>318</v>
      </c>
      <c r="C267" t="s">
        <v>25</v>
      </c>
      <c r="D267" s="1">
        <v>0.15</v>
      </c>
      <c r="E267" t="s">
        <v>27</v>
      </c>
      <c r="F267" s="1">
        <v>0.25</v>
      </c>
      <c r="G267" t="s">
        <v>28</v>
      </c>
      <c r="H267" s="1">
        <v>0.7</v>
      </c>
      <c r="I267" s="1"/>
      <c r="J267" s="1">
        <v>0.48</v>
      </c>
      <c r="K267" s="1">
        <v>0.48</v>
      </c>
      <c r="L267" s="1">
        <v>0.44</v>
      </c>
      <c r="M267" s="1">
        <v>0.4</v>
      </c>
      <c r="N267" s="1">
        <v>0.41</v>
      </c>
    </row>
    <row r="268" spans="1:14" x14ac:dyDescent="0.3">
      <c r="A268" t="s">
        <v>299</v>
      </c>
      <c r="B268" t="s">
        <v>318</v>
      </c>
      <c r="C268" t="s">
        <v>25</v>
      </c>
      <c r="D268" s="1">
        <v>0.15</v>
      </c>
      <c r="E268" t="s">
        <v>29</v>
      </c>
      <c r="F268" s="1">
        <v>0.3</v>
      </c>
      <c r="G268" t="s">
        <v>30</v>
      </c>
      <c r="H268" s="1">
        <v>0.1</v>
      </c>
      <c r="I268" s="1"/>
      <c r="J268" s="1">
        <v>0.48</v>
      </c>
      <c r="K268" s="1">
        <v>0.48</v>
      </c>
      <c r="L268" s="1">
        <v>0.44</v>
      </c>
      <c r="M268" s="1">
        <v>0.4</v>
      </c>
      <c r="N268" s="1">
        <v>0.41</v>
      </c>
    </row>
    <row r="269" spans="1:14" x14ac:dyDescent="0.3">
      <c r="A269" t="s">
        <v>299</v>
      </c>
      <c r="B269" t="s">
        <v>318</v>
      </c>
      <c r="C269" t="s">
        <v>25</v>
      </c>
      <c r="D269" s="1">
        <v>0.15</v>
      </c>
      <c r="E269" t="s">
        <v>31</v>
      </c>
      <c r="F269" s="1">
        <v>0.2</v>
      </c>
      <c r="G269" t="s">
        <v>24</v>
      </c>
      <c r="H269" s="1">
        <v>0.95</v>
      </c>
      <c r="I269" s="1"/>
      <c r="J269" s="1">
        <v>0.48</v>
      </c>
      <c r="K269" s="1">
        <v>0.48</v>
      </c>
      <c r="L269" s="1">
        <v>0.44</v>
      </c>
      <c r="M269" s="1">
        <v>0.4</v>
      </c>
      <c r="N269" s="1">
        <v>0.41</v>
      </c>
    </row>
    <row r="270" spans="1:14" x14ac:dyDescent="0.3">
      <c r="A270" t="s">
        <v>299</v>
      </c>
      <c r="B270" t="s">
        <v>318</v>
      </c>
      <c r="C270" t="s">
        <v>37</v>
      </c>
      <c r="D270" s="1">
        <v>0.15</v>
      </c>
      <c r="E270" t="s">
        <v>38</v>
      </c>
      <c r="F270" s="1">
        <v>0.3</v>
      </c>
      <c r="G270" t="s">
        <v>18</v>
      </c>
      <c r="H270" s="1">
        <v>0.9</v>
      </c>
      <c r="I270" s="1">
        <f>SUMPRODUCT(H270:H273,F270:F273)*D270</f>
        <v>0.1215</v>
      </c>
      <c r="J270" s="1">
        <v>0.68</v>
      </c>
      <c r="K270" s="1">
        <v>0.68</v>
      </c>
      <c r="L270" s="1">
        <v>0.64</v>
      </c>
      <c r="M270" s="1">
        <v>0.6</v>
      </c>
      <c r="N270" s="1">
        <v>0.61</v>
      </c>
    </row>
    <row r="271" spans="1:14" x14ac:dyDescent="0.3">
      <c r="A271" t="s">
        <v>299</v>
      </c>
      <c r="B271" t="s">
        <v>318</v>
      </c>
      <c r="C271" t="s">
        <v>37</v>
      </c>
      <c r="D271" s="1">
        <v>0.15</v>
      </c>
      <c r="E271" t="s">
        <v>304</v>
      </c>
      <c r="F271" s="1">
        <v>0.25</v>
      </c>
      <c r="G271" t="s">
        <v>40</v>
      </c>
      <c r="H271" s="1">
        <v>0.7</v>
      </c>
      <c r="I271" s="1"/>
      <c r="J271" s="1">
        <v>0.68</v>
      </c>
      <c r="K271" s="1">
        <v>0.68</v>
      </c>
      <c r="L271" s="1">
        <v>0.64</v>
      </c>
      <c r="M271" s="1">
        <v>0.6</v>
      </c>
      <c r="N271" s="1">
        <v>0.61</v>
      </c>
    </row>
    <row r="272" spans="1:14" x14ac:dyDescent="0.3">
      <c r="A272" t="s">
        <v>299</v>
      </c>
      <c r="B272" t="s">
        <v>318</v>
      </c>
      <c r="C272" t="s">
        <v>37</v>
      </c>
      <c r="D272" s="1">
        <v>0.15</v>
      </c>
      <c r="E272" t="s">
        <v>41</v>
      </c>
      <c r="F272" s="1">
        <v>0.25</v>
      </c>
      <c r="G272" t="s">
        <v>28</v>
      </c>
      <c r="H272" s="1">
        <v>0.7</v>
      </c>
      <c r="I272" s="1"/>
      <c r="J272" s="1">
        <v>0.68</v>
      </c>
      <c r="K272" s="1">
        <v>0.68</v>
      </c>
      <c r="L272" s="1">
        <v>0.64</v>
      </c>
      <c r="M272" s="1">
        <v>0.6</v>
      </c>
      <c r="N272" s="1">
        <v>0.61</v>
      </c>
    </row>
    <row r="273" spans="1:14" x14ac:dyDescent="0.3">
      <c r="A273" t="s">
        <v>299</v>
      </c>
      <c r="B273" t="s">
        <v>318</v>
      </c>
      <c r="C273" t="s">
        <v>37</v>
      </c>
      <c r="D273" s="1">
        <v>0.15</v>
      </c>
      <c r="E273" t="s">
        <v>42</v>
      </c>
      <c r="F273" s="1">
        <v>0.2</v>
      </c>
      <c r="G273" t="s">
        <v>24</v>
      </c>
      <c r="H273" s="1">
        <v>0.95</v>
      </c>
      <c r="I273" s="1"/>
      <c r="J273" s="1">
        <v>0.68</v>
      </c>
      <c r="K273" s="1">
        <v>0.68</v>
      </c>
      <c r="L273" s="1">
        <v>0.64</v>
      </c>
      <c r="M273" s="1">
        <v>0.6</v>
      </c>
      <c r="N273" s="1">
        <v>0.61</v>
      </c>
    </row>
    <row r="274" spans="1:14" x14ac:dyDescent="0.3">
      <c r="A274" t="s">
        <v>299</v>
      </c>
      <c r="B274" t="s">
        <v>318</v>
      </c>
      <c r="C274" t="s">
        <v>151</v>
      </c>
      <c r="D274" s="1">
        <v>0.2</v>
      </c>
      <c r="E274" t="s">
        <v>208</v>
      </c>
      <c r="F274" s="1">
        <v>0.25</v>
      </c>
      <c r="G274" t="s">
        <v>40</v>
      </c>
      <c r="H274" s="1">
        <v>0.7</v>
      </c>
      <c r="I274" s="1">
        <f>SUMPRODUCT(H274:H277,F274:F277)*D274</f>
        <v>0.11749999999999999</v>
      </c>
      <c r="J274" s="1">
        <v>0.45</v>
      </c>
      <c r="K274" s="1">
        <v>0.45</v>
      </c>
      <c r="L274" s="1">
        <v>0.41</v>
      </c>
      <c r="M274" s="1">
        <v>0.37</v>
      </c>
      <c r="N274" s="1">
        <v>0.38</v>
      </c>
    </row>
    <row r="275" spans="1:14" x14ac:dyDescent="0.3">
      <c r="A275" t="s">
        <v>299</v>
      </c>
      <c r="B275" t="s">
        <v>318</v>
      </c>
      <c r="C275" t="s">
        <v>151</v>
      </c>
      <c r="D275" s="1">
        <v>0.2</v>
      </c>
      <c r="E275" t="s">
        <v>50</v>
      </c>
      <c r="F275" s="1">
        <v>0.25</v>
      </c>
      <c r="G275" t="s">
        <v>20</v>
      </c>
      <c r="H275" s="1">
        <v>0.6</v>
      </c>
      <c r="I275" s="1"/>
      <c r="J275" s="1">
        <v>0.45</v>
      </c>
      <c r="K275" s="1">
        <v>0.45</v>
      </c>
      <c r="L275" s="1">
        <v>0.41</v>
      </c>
      <c r="M275" s="1">
        <v>0.37</v>
      </c>
      <c r="N275" s="1">
        <v>0.38</v>
      </c>
    </row>
    <row r="276" spans="1:14" x14ac:dyDescent="0.3">
      <c r="A276" t="s">
        <v>299</v>
      </c>
      <c r="B276" t="s">
        <v>318</v>
      </c>
      <c r="C276" t="s">
        <v>151</v>
      </c>
      <c r="D276" s="1">
        <v>0.2</v>
      </c>
      <c r="E276" t="s">
        <v>210</v>
      </c>
      <c r="F276" s="1">
        <v>0.25</v>
      </c>
      <c r="G276" t="s">
        <v>30</v>
      </c>
      <c r="H276" s="1">
        <v>0.1</v>
      </c>
      <c r="I276" s="1"/>
      <c r="J276" s="1">
        <v>0.45</v>
      </c>
      <c r="K276" s="1">
        <v>0.45</v>
      </c>
      <c r="L276" s="1">
        <v>0.41</v>
      </c>
      <c r="M276" s="1">
        <v>0.37</v>
      </c>
      <c r="N276" s="1">
        <v>0.38</v>
      </c>
    </row>
    <row r="277" spans="1:14" x14ac:dyDescent="0.3">
      <c r="A277" t="s">
        <v>299</v>
      </c>
      <c r="B277" t="s">
        <v>318</v>
      </c>
      <c r="C277" t="s">
        <v>151</v>
      </c>
      <c r="D277" s="1">
        <v>0.2</v>
      </c>
      <c r="E277" t="s">
        <v>305</v>
      </c>
      <c r="F277" s="1">
        <v>0.25</v>
      </c>
      <c r="G277" t="s">
        <v>24</v>
      </c>
      <c r="H277" s="1">
        <v>0.95</v>
      </c>
      <c r="I277" s="1"/>
      <c r="J277" s="1">
        <v>0.45</v>
      </c>
      <c r="K277" s="1">
        <v>0.45</v>
      </c>
      <c r="L277" s="1">
        <v>0.41</v>
      </c>
      <c r="M277" s="1">
        <v>0.37</v>
      </c>
      <c r="N277" s="1">
        <v>0.38</v>
      </c>
    </row>
    <row r="278" spans="1:14" x14ac:dyDescent="0.3">
      <c r="A278" t="s">
        <v>299</v>
      </c>
      <c r="B278" t="s">
        <v>318</v>
      </c>
      <c r="C278" t="s">
        <v>306</v>
      </c>
      <c r="D278" s="1">
        <v>0.1</v>
      </c>
      <c r="E278" t="s">
        <v>55</v>
      </c>
      <c r="F278" s="1">
        <v>0.3</v>
      </c>
      <c r="G278" t="s">
        <v>56</v>
      </c>
      <c r="H278" s="1">
        <v>0.3</v>
      </c>
      <c r="I278" s="1">
        <f>SUMPRODUCT(H278:H281,F278:F281)*D278</f>
        <v>4.5500000000000006E-2</v>
      </c>
      <c r="J278" s="1">
        <v>0.35</v>
      </c>
      <c r="K278" s="1">
        <v>0.35</v>
      </c>
      <c r="L278" s="1">
        <v>0.31</v>
      </c>
      <c r="M278" s="1">
        <v>0.27</v>
      </c>
      <c r="N278" s="1">
        <v>0.28000000000000003</v>
      </c>
    </row>
    <row r="279" spans="1:14" x14ac:dyDescent="0.3">
      <c r="A279" t="s">
        <v>299</v>
      </c>
      <c r="B279" t="s">
        <v>318</v>
      </c>
      <c r="C279" t="s">
        <v>306</v>
      </c>
      <c r="D279" s="1">
        <v>0.1</v>
      </c>
      <c r="E279" t="s">
        <v>273</v>
      </c>
      <c r="F279" s="1">
        <v>0.25</v>
      </c>
      <c r="G279" t="s">
        <v>20</v>
      </c>
      <c r="H279" s="1">
        <v>0.6</v>
      </c>
      <c r="I279" s="1"/>
      <c r="J279" s="1">
        <v>0.35</v>
      </c>
      <c r="K279" s="1">
        <v>0.35</v>
      </c>
      <c r="L279" s="1">
        <v>0.31</v>
      </c>
      <c r="M279" s="1">
        <v>0.27</v>
      </c>
      <c r="N279" s="1">
        <v>0.28000000000000003</v>
      </c>
    </row>
    <row r="280" spans="1:14" x14ac:dyDescent="0.3">
      <c r="A280" t="s">
        <v>299</v>
      </c>
      <c r="B280" t="s">
        <v>318</v>
      </c>
      <c r="C280" t="s">
        <v>306</v>
      </c>
      <c r="D280" s="1">
        <v>0.1</v>
      </c>
      <c r="E280" t="s">
        <v>58</v>
      </c>
      <c r="F280" s="1">
        <v>0.25</v>
      </c>
      <c r="G280" t="s">
        <v>30</v>
      </c>
      <c r="H280" s="1">
        <v>0.1</v>
      </c>
      <c r="I280" s="1"/>
      <c r="J280" s="1">
        <v>0.35</v>
      </c>
      <c r="K280" s="1">
        <v>0.35</v>
      </c>
      <c r="L280" s="1">
        <v>0.31</v>
      </c>
      <c r="M280" s="1">
        <v>0.27</v>
      </c>
      <c r="N280" s="1">
        <v>0.28000000000000003</v>
      </c>
    </row>
    <row r="281" spans="1:14" x14ac:dyDescent="0.3">
      <c r="A281" t="s">
        <v>299</v>
      </c>
      <c r="B281" t="s">
        <v>318</v>
      </c>
      <c r="C281" t="s">
        <v>306</v>
      </c>
      <c r="D281" s="1">
        <v>0.1</v>
      </c>
      <c r="E281" t="s">
        <v>59</v>
      </c>
      <c r="F281" s="1">
        <v>0.2</v>
      </c>
      <c r="G281" t="s">
        <v>24</v>
      </c>
      <c r="H281" s="1">
        <v>0.95</v>
      </c>
      <c r="I281" s="1"/>
      <c r="J281" s="1">
        <v>0.35</v>
      </c>
      <c r="K281" s="1">
        <v>0.35</v>
      </c>
      <c r="L281" s="1">
        <v>0.31</v>
      </c>
      <c r="M281" s="1">
        <v>0.27</v>
      </c>
      <c r="N281" s="1">
        <v>0.28000000000000003</v>
      </c>
    </row>
    <row r="282" spans="1:14" x14ac:dyDescent="0.3">
      <c r="D282" s="1"/>
      <c r="F282" s="1"/>
      <c r="H282" s="1"/>
      <c r="I282" s="2">
        <f>SUM(I258:I280)</f>
        <v>0.63400000000000001</v>
      </c>
      <c r="J282" s="2">
        <f>+J262*$D262+J266*$D266+J270*$D270+J274*$D274+J278*$D278+$D258*J258</f>
        <v>0.50700000000000001</v>
      </c>
      <c r="K282" s="2">
        <f t="shared" ref="K282:N282" si="10">+K262*$D262+K266*$D266+K270*$D270+K274*$D274+K278*$D278+$D258*K258</f>
        <v>0.50700000000000001</v>
      </c>
      <c r="L282" s="2">
        <f t="shared" si="10"/>
        <v>0.46700000000000003</v>
      </c>
      <c r="M282" s="2">
        <f t="shared" si="10"/>
        <v>0.42700000000000005</v>
      </c>
      <c r="N282" s="2">
        <f t="shared" si="10"/>
        <v>0.43700000000000006</v>
      </c>
    </row>
    <row r="283" spans="1:14" x14ac:dyDescent="0.3">
      <c r="D283" s="1"/>
      <c r="F283" s="1"/>
      <c r="H283" s="1"/>
      <c r="I283" s="1"/>
      <c r="J283" s="1"/>
      <c r="K283" s="1"/>
      <c r="L283" s="1"/>
      <c r="M283" s="1"/>
      <c r="N283" s="1"/>
    </row>
    <row r="284" spans="1:14" x14ac:dyDescent="0.3">
      <c r="A284" t="s">
        <v>299</v>
      </c>
      <c r="B284" t="s">
        <v>319</v>
      </c>
      <c r="C284" t="s">
        <v>16</v>
      </c>
      <c r="D284" s="1">
        <v>0.2</v>
      </c>
      <c r="E284" t="s">
        <v>17</v>
      </c>
      <c r="F284" s="1">
        <v>0.3</v>
      </c>
      <c r="G284" t="s">
        <v>18</v>
      </c>
      <c r="H284" s="1">
        <v>0.9</v>
      </c>
      <c r="I284" s="1">
        <f>SUMPRODUCT(H284:H287,F284:F287)*D284</f>
        <v>0.16550000000000004</v>
      </c>
      <c r="J284" s="1">
        <v>0.68</v>
      </c>
      <c r="K284" s="1">
        <v>0.68</v>
      </c>
      <c r="L284" s="1">
        <v>0.65</v>
      </c>
      <c r="M284" s="1">
        <v>0.61</v>
      </c>
      <c r="N284" s="1">
        <v>0.59</v>
      </c>
    </row>
    <row r="285" spans="1:14" x14ac:dyDescent="0.3">
      <c r="A285" t="s">
        <v>299</v>
      </c>
      <c r="B285" t="s">
        <v>319</v>
      </c>
      <c r="C285" t="s">
        <v>16</v>
      </c>
      <c r="D285" s="1">
        <v>0.2</v>
      </c>
      <c r="E285" t="s">
        <v>19</v>
      </c>
      <c r="F285" s="1">
        <v>0.25</v>
      </c>
      <c r="G285" t="s">
        <v>20</v>
      </c>
      <c r="H285" s="1">
        <v>0.6</v>
      </c>
      <c r="I285" s="1"/>
      <c r="J285" s="1">
        <v>0.68</v>
      </c>
      <c r="K285" s="1">
        <v>0.68</v>
      </c>
      <c r="L285" s="1">
        <v>0.65</v>
      </c>
      <c r="M285" s="1">
        <v>0.61</v>
      </c>
      <c r="N285" s="1">
        <v>0.59</v>
      </c>
    </row>
    <row r="286" spans="1:14" x14ac:dyDescent="0.3">
      <c r="A286" t="s">
        <v>299</v>
      </c>
      <c r="B286" t="s">
        <v>319</v>
      </c>
      <c r="C286" t="s">
        <v>16</v>
      </c>
      <c r="D286" s="1">
        <v>0.2</v>
      </c>
      <c r="E286" t="s">
        <v>21</v>
      </c>
      <c r="F286" s="1">
        <v>0.2</v>
      </c>
      <c r="G286" t="s">
        <v>22</v>
      </c>
      <c r="H286" s="1">
        <v>0.85</v>
      </c>
      <c r="I286" s="1"/>
      <c r="J286" s="1">
        <v>0.68</v>
      </c>
      <c r="K286" s="1">
        <v>0.68</v>
      </c>
      <c r="L286" s="1">
        <v>0.65</v>
      </c>
      <c r="M286" s="1">
        <v>0.61</v>
      </c>
      <c r="N286" s="1">
        <v>0.59</v>
      </c>
    </row>
    <row r="287" spans="1:14" x14ac:dyDescent="0.3">
      <c r="A287" t="s">
        <v>299</v>
      </c>
      <c r="B287" t="s">
        <v>319</v>
      </c>
      <c r="C287" t="s">
        <v>16</v>
      </c>
      <c r="D287" s="1">
        <v>0.2</v>
      </c>
      <c r="E287" t="s">
        <v>23</v>
      </c>
      <c r="F287" s="1">
        <v>0.25</v>
      </c>
      <c r="G287" t="s">
        <v>24</v>
      </c>
      <c r="H287" s="1">
        <v>0.95</v>
      </c>
      <c r="I287" s="1"/>
      <c r="J287" s="1">
        <v>0.68</v>
      </c>
      <c r="K287" s="1">
        <v>0.68</v>
      </c>
      <c r="L287" s="1">
        <v>0.65</v>
      </c>
      <c r="M287" s="1">
        <v>0.61</v>
      </c>
      <c r="N287" s="1">
        <v>0.59</v>
      </c>
    </row>
    <row r="288" spans="1:14" x14ac:dyDescent="0.3">
      <c r="A288" t="s">
        <v>299</v>
      </c>
      <c r="B288" t="s">
        <v>319</v>
      </c>
      <c r="C288" t="s">
        <v>25</v>
      </c>
      <c r="D288" s="1">
        <v>0.15</v>
      </c>
      <c r="E288" t="s">
        <v>26</v>
      </c>
      <c r="F288" s="1">
        <v>0.25</v>
      </c>
      <c r="G288" t="s">
        <v>18</v>
      </c>
      <c r="H288" s="1">
        <v>0.9</v>
      </c>
      <c r="I288" s="1">
        <f>SUMPRODUCT(H288:H291,F288:F291)*D288</f>
        <v>9.3000000000000013E-2</v>
      </c>
      <c r="J288" s="1">
        <v>0.48</v>
      </c>
      <c r="K288" s="1">
        <v>0.48</v>
      </c>
      <c r="L288" s="1">
        <v>0.45</v>
      </c>
      <c r="M288" s="1">
        <v>0.41</v>
      </c>
      <c r="N288" s="1">
        <v>0.39</v>
      </c>
    </row>
    <row r="289" spans="1:14" x14ac:dyDescent="0.3">
      <c r="A289" t="s">
        <v>299</v>
      </c>
      <c r="B289" t="s">
        <v>319</v>
      </c>
      <c r="C289" t="s">
        <v>25</v>
      </c>
      <c r="D289" s="1">
        <v>0.15</v>
      </c>
      <c r="E289" t="s">
        <v>27</v>
      </c>
      <c r="F289" s="1">
        <v>0.25</v>
      </c>
      <c r="G289" t="s">
        <v>28</v>
      </c>
      <c r="H289" s="1">
        <v>0.7</v>
      </c>
      <c r="I289" s="1"/>
      <c r="J289" s="1">
        <v>0.48</v>
      </c>
      <c r="K289" s="1">
        <v>0.48</v>
      </c>
      <c r="L289" s="1">
        <v>0.45</v>
      </c>
      <c r="M289" s="1">
        <v>0.41</v>
      </c>
      <c r="N289" s="1">
        <v>0.39</v>
      </c>
    </row>
    <row r="290" spans="1:14" x14ac:dyDescent="0.3">
      <c r="A290" t="s">
        <v>299</v>
      </c>
      <c r="B290" t="s">
        <v>319</v>
      </c>
      <c r="C290" t="s">
        <v>25</v>
      </c>
      <c r="D290" s="1">
        <v>0.15</v>
      </c>
      <c r="E290" t="s">
        <v>29</v>
      </c>
      <c r="F290" s="1">
        <v>0.3</v>
      </c>
      <c r="G290" t="s">
        <v>30</v>
      </c>
      <c r="H290" s="1">
        <v>0.1</v>
      </c>
      <c r="I290" s="1"/>
      <c r="J290" s="1">
        <v>0.48</v>
      </c>
      <c r="K290" s="1">
        <v>0.48</v>
      </c>
      <c r="L290" s="1">
        <v>0.45</v>
      </c>
      <c r="M290" s="1">
        <v>0.41</v>
      </c>
      <c r="N290" s="1">
        <v>0.39</v>
      </c>
    </row>
    <row r="291" spans="1:14" x14ac:dyDescent="0.3">
      <c r="A291" t="s">
        <v>299</v>
      </c>
      <c r="B291" t="s">
        <v>319</v>
      </c>
      <c r="C291" t="s">
        <v>25</v>
      </c>
      <c r="D291" s="1">
        <v>0.15</v>
      </c>
      <c r="E291" t="s">
        <v>31</v>
      </c>
      <c r="F291" s="1">
        <v>0.2</v>
      </c>
      <c r="G291" t="s">
        <v>24</v>
      </c>
      <c r="H291" s="1">
        <v>0.95</v>
      </c>
      <c r="I291" s="1"/>
      <c r="J291" s="1">
        <v>0.48</v>
      </c>
      <c r="K291" s="1">
        <v>0.48</v>
      </c>
      <c r="L291" s="1">
        <v>0.45</v>
      </c>
      <c r="M291" s="1">
        <v>0.41</v>
      </c>
      <c r="N291" s="1">
        <v>0.39</v>
      </c>
    </row>
    <row r="292" spans="1:14" x14ac:dyDescent="0.3">
      <c r="A292" t="s">
        <v>299</v>
      </c>
      <c r="B292" t="s">
        <v>319</v>
      </c>
      <c r="C292" t="s">
        <v>37</v>
      </c>
      <c r="D292" s="1">
        <v>0.2</v>
      </c>
      <c r="E292" t="s">
        <v>38</v>
      </c>
      <c r="F292" s="1">
        <v>0.3</v>
      </c>
      <c r="G292" t="s">
        <v>18</v>
      </c>
      <c r="H292" s="1">
        <v>0.9</v>
      </c>
      <c r="I292" s="1">
        <f>SUMPRODUCT(H292:H295,F292:F295)*D292</f>
        <v>0.16200000000000003</v>
      </c>
      <c r="J292" s="1">
        <v>0.68</v>
      </c>
      <c r="K292" s="1">
        <v>0.68</v>
      </c>
      <c r="L292" s="1">
        <v>0.65</v>
      </c>
      <c r="M292" s="1">
        <v>0.61</v>
      </c>
      <c r="N292" s="1">
        <v>0.59</v>
      </c>
    </row>
    <row r="293" spans="1:14" x14ac:dyDescent="0.3">
      <c r="A293" t="s">
        <v>299</v>
      </c>
      <c r="B293" t="s">
        <v>319</v>
      </c>
      <c r="C293" t="s">
        <v>37</v>
      </c>
      <c r="D293" s="1">
        <v>0.2</v>
      </c>
      <c r="E293" t="s">
        <v>304</v>
      </c>
      <c r="F293" s="1">
        <v>0.25</v>
      </c>
      <c r="G293" t="s">
        <v>40</v>
      </c>
      <c r="H293" s="1">
        <v>0.7</v>
      </c>
      <c r="I293" s="1"/>
      <c r="J293" s="1">
        <v>0.68</v>
      </c>
      <c r="K293" s="1">
        <v>0.68</v>
      </c>
      <c r="L293" s="1">
        <v>0.65</v>
      </c>
      <c r="M293" s="1">
        <v>0.61</v>
      </c>
      <c r="N293" s="1">
        <v>0.59</v>
      </c>
    </row>
    <row r="294" spans="1:14" x14ac:dyDescent="0.3">
      <c r="A294" t="s">
        <v>299</v>
      </c>
      <c r="B294" t="s">
        <v>319</v>
      </c>
      <c r="C294" t="s">
        <v>37</v>
      </c>
      <c r="D294" s="1">
        <v>0.2</v>
      </c>
      <c r="E294" t="s">
        <v>41</v>
      </c>
      <c r="F294" s="1">
        <v>0.25</v>
      </c>
      <c r="G294" t="s">
        <v>28</v>
      </c>
      <c r="H294" s="1">
        <v>0.7</v>
      </c>
      <c r="I294" s="1"/>
      <c r="J294" s="1">
        <v>0.68</v>
      </c>
      <c r="K294" s="1">
        <v>0.68</v>
      </c>
      <c r="L294" s="1">
        <v>0.65</v>
      </c>
      <c r="M294" s="1">
        <v>0.61</v>
      </c>
      <c r="N294" s="1">
        <v>0.59</v>
      </c>
    </row>
    <row r="295" spans="1:14" x14ac:dyDescent="0.3">
      <c r="A295" t="s">
        <v>299</v>
      </c>
      <c r="B295" t="s">
        <v>319</v>
      </c>
      <c r="C295" t="s">
        <v>37</v>
      </c>
      <c r="D295" s="1">
        <v>0.2</v>
      </c>
      <c r="E295" t="s">
        <v>42</v>
      </c>
      <c r="F295" s="1">
        <v>0.2</v>
      </c>
      <c r="G295" t="s">
        <v>24</v>
      </c>
      <c r="H295" s="1">
        <v>0.95</v>
      </c>
      <c r="I295" s="1"/>
      <c r="J295" s="1">
        <v>0.68</v>
      </c>
      <c r="K295" s="1">
        <v>0.68</v>
      </c>
      <c r="L295" s="1">
        <v>0.65</v>
      </c>
      <c r="M295" s="1">
        <v>0.61</v>
      </c>
      <c r="N295" s="1">
        <v>0.59</v>
      </c>
    </row>
    <row r="296" spans="1:14" x14ac:dyDescent="0.3">
      <c r="A296" t="s">
        <v>299</v>
      </c>
      <c r="B296" t="s">
        <v>319</v>
      </c>
      <c r="C296" t="s">
        <v>151</v>
      </c>
      <c r="D296" s="1">
        <v>0.25</v>
      </c>
      <c r="E296" t="s">
        <v>208</v>
      </c>
      <c r="F296" s="1">
        <v>0.25</v>
      </c>
      <c r="G296" t="s">
        <v>40</v>
      </c>
      <c r="H296" s="1">
        <v>0.7</v>
      </c>
      <c r="I296" s="1">
        <f>SUMPRODUCT(H296:H299,F296:F299)*D296</f>
        <v>0.14687499999999998</v>
      </c>
      <c r="J296" s="1">
        <v>0.45</v>
      </c>
      <c r="K296" s="1">
        <v>0.45</v>
      </c>
      <c r="L296" s="1">
        <v>0.42</v>
      </c>
      <c r="M296" s="1">
        <v>0.38</v>
      </c>
      <c r="N296" s="1">
        <v>0.36</v>
      </c>
    </row>
    <row r="297" spans="1:14" x14ac:dyDescent="0.3">
      <c r="A297" t="s">
        <v>299</v>
      </c>
      <c r="B297" t="s">
        <v>319</v>
      </c>
      <c r="C297" t="s">
        <v>151</v>
      </c>
      <c r="D297" s="1">
        <v>0.25</v>
      </c>
      <c r="E297" t="s">
        <v>50</v>
      </c>
      <c r="F297" s="1">
        <v>0.25</v>
      </c>
      <c r="G297" t="s">
        <v>20</v>
      </c>
      <c r="H297" s="1">
        <v>0.6</v>
      </c>
      <c r="I297" s="1"/>
      <c r="J297" s="1">
        <v>0.45</v>
      </c>
      <c r="K297" s="1">
        <v>0.45</v>
      </c>
      <c r="L297" s="1">
        <v>0.42</v>
      </c>
      <c r="M297" s="1">
        <v>0.38</v>
      </c>
      <c r="N297" s="1">
        <v>0.36</v>
      </c>
    </row>
    <row r="298" spans="1:14" x14ac:dyDescent="0.3">
      <c r="A298" t="s">
        <v>299</v>
      </c>
      <c r="B298" t="s">
        <v>319</v>
      </c>
      <c r="C298" t="s">
        <v>151</v>
      </c>
      <c r="D298" s="1">
        <v>0.25</v>
      </c>
      <c r="E298" t="s">
        <v>210</v>
      </c>
      <c r="F298" s="1">
        <v>0.25</v>
      </c>
      <c r="G298" t="s">
        <v>30</v>
      </c>
      <c r="H298" s="1">
        <v>0.1</v>
      </c>
      <c r="I298" s="1"/>
      <c r="J298" s="1">
        <v>0.45</v>
      </c>
      <c r="K298" s="1">
        <v>0.45</v>
      </c>
      <c r="L298" s="1">
        <v>0.42</v>
      </c>
      <c r="M298" s="1">
        <v>0.38</v>
      </c>
      <c r="N298" s="1">
        <v>0.36</v>
      </c>
    </row>
    <row r="299" spans="1:14" x14ac:dyDescent="0.3">
      <c r="A299" t="s">
        <v>299</v>
      </c>
      <c r="B299" t="s">
        <v>319</v>
      </c>
      <c r="C299" t="s">
        <v>151</v>
      </c>
      <c r="D299" s="1">
        <v>0.25</v>
      </c>
      <c r="E299" t="s">
        <v>305</v>
      </c>
      <c r="F299" s="1">
        <v>0.25</v>
      </c>
      <c r="G299" t="s">
        <v>24</v>
      </c>
      <c r="H299" s="1">
        <v>0.95</v>
      </c>
      <c r="I299" s="1"/>
      <c r="J299" s="1">
        <v>0.45</v>
      </c>
      <c r="K299" s="1">
        <v>0.45</v>
      </c>
      <c r="L299" s="1">
        <v>0.42</v>
      </c>
      <c r="M299" s="1">
        <v>0.38</v>
      </c>
      <c r="N299" s="1">
        <v>0.36</v>
      </c>
    </row>
    <row r="300" spans="1:14" x14ac:dyDescent="0.3">
      <c r="A300" t="s">
        <v>299</v>
      </c>
      <c r="B300" t="s">
        <v>319</v>
      </c>
      <c r="C300" t="s">
        <v>306</v>
      </c>
      <c r="D300" s="1">
        <v>0.2</v>
      </c>
      <c r="E300" t="s">
        <v>55</v>
      </c>
      <c r="F300" s="1">
        <v>0.3</v>
      </c>
      <c r="G300" t="s">
        <v>56</v>
      </c>
      <c r="H300" s="1">
        <v>0.3</v>
      </c>
      <c r="I300" s="1">
        <f>SUMPRODUCT(H300:H303,F300:F303)*D300</f>
        <v>9.1000000000000011E-2</v>
      </c>
      <c r="J300" s="1">
        <v>0.35</v>
      </c>
      <c r="K300" s="1">
        <v>0.35</v>
      </c>
      <c r="L300" s="1">
        <v>0.32</v>
      </c>
      <c r="M300" s="1">
        <v>0.28000000000000003</v>
      </c>
      <c r="N300" s="1">
        <v>0.26</v>
      </c>
    </row>
    <row r="301" spans="1:14" x14ac:dyDescent="0.3">
      <c r="A301" t="s">
        <v>299</v>
      </c>
      <c r="B301" t="s">
        <v>319</v>
      </c>
      <c r="C301" t="s">
        <v>306</v>
      </c>
      <c r="D301" s="1">
        <v>0.2</v>
      </c>
      <c r="E301" t="s">
        <v>273</v>
      </c>
      <c r="F301" s="1">
        <v>0.25</v>
      </c>
      <c r="G301" t="s">
        <v>20</v>
      </c>
      <c r="H301" s="1">
        <v>0.6</v>
      </c>
      <c r="I301" s="1"/>
      <c r="J301" s="1">
        <v>0.35</v>
      </c>
      <c r="K301" s="1">
        <v>0.35</v>
      </c>
      <c r="L301" s="1">
        <v>0.32</v>
      </c>
      <c r="M301" s="1">
        <v>0.28000000000000003</v>
      </c>
      <c r="N301" s="1">
        <v>0.26</v>
      </c>
    </row>
    <row r="302" spans="1:14" x14ac:dyDescent="0.3">
      <c r="A302" t="s">
        <v>299</v>
      </c>
      <c r="B302" t="s">
        <v>319</v>
      </c>
      <c r="C302" t="s">
        <v>306</v>
      </c>
      <c r="D302" s="1">
        <v>0.2</v>
      </c>
      <c r="E302" t="s">
        <v>58</v>
      </c>
      <c r="F302" s="1">
        <v>0.25</v>
      </c>
      <c r="G302" t="s">
        <v>30</v>
      </c>
      <c r="H302" s="1">
        <v>0.1</v>
      </c>
      <c r="I302" s="1"/>
      <c r="J302" s="1">
        <v>0.35</v>
      </c>
      <c r="K302" s="1">
        <v>0.35</v>
      </c>
      <c r="L302" s="1">
        <v>0.32</v>
      </c>
      <c r="M302" s="1">
        <v>0.28000000000000003</v>
      </c>
      <c r="N302" s="1">
        <v>0.26</v>
      </c>
    </row>
    <row r="303" spans="1:14" x14ac:dyDescent="0.3">
      <c r="A303" t="s">
        <v>299</v>
      </c>
      <c r="B303" t="s">
        <v>319</v>
      </c>
      <c r="C303" t="s">
        <v>306</v>
      </c>
      <c r="D303" s="1">
        <v>0.2</v>
      </c>
      <c r="E303" t="s">
        <v>59</v>
      </c>
      <c r="F303" s="1">
        <v>0.2</v>
      </c>
      <c r="G303" t="s">
        <v>24</v>
      </c>
      <c r="H303" s="1">
        <v>0.95</v>
      </c>
      <c r="J303" s="1">
        <v>0.35</v>
      </c>
      <c r="K303" s="1">
        <v>0.35</v>
      </c>
      <c r="L303" s="1">
        <v>0.32</v>
      </c>
      <c r="M303" s="1">
        <v>0.28000000000000003</v>
      </c>
      <c r="N303" s="1">
        <v>0.26</v>
      </c>
    </row>
    <row r="304" spans="1:14" x14ac:dyDescent="0.3">
      <c r="D304" s="1"/>
      <c r="F304" s="1"/>
      <c r="H304" s="1"/>
      <c r="I304" s="2">
        <f>SUM(I284:I300)</f>
        <v>0.65837500000000004</v>
      </c>
      <c r="J304" s="2">
        <f>+J284*$D284+J288*$D288+J292*$D292+J296*$D296+J300*$D300</f>
        <v>0.52649999999999997</v>
      </c>
      <c r="K304" s="2">
        <f t="shared" ref="K304:N304" si="11">+K284*$D284+K288*$D288+K292*$D292+K296*$D296+K300*$D300</f>
        <v>0.52649999999999997</v>
      </c>
      <c r="L304" s="2">
        <f t="shared" si="11"/>
        <v>0.4965</v>
      </c>
      <c r="M304" s="2">
        <f t="shared" si="11"/>
        <v>0.45649999999999996</v>
      </c>
      <c r="N304" s="2">
        <f t="shared" si="11"/>
        <v>0.43649999999999994</v>
      </c>
    </row>
    <row r="305" spans="1:14" x14ac:dyDescent="0.3">
      <c r="D305" s="1"/>
      <c r="F305" s="1"/>
      <c r="H305" s="1"/>
      <c r="I305" s="1"/>
      <c r="J305" s="1"/>
      <c r="K305" s="1"/>
      <c r="L305" s="1"/>
      <c r="M305" s="1"/>
      <c r="N305" s="1"/>
    </row>
    <row r="306" spans="1:14" x14ac:dyDescent="0.3">
      <c r="A306" t="s">
        <v>299</v>
      </c>
      <c r="B306" t="s">
        <v>320</v>
      </c>
      <c r="C306" t="s">
        <v>301</v>
      </c>
      <c r="D306" s="1">
        <v>0.1</v>
      </c>
      <c r="E306" t="s">
        <v>72</v>
      </c>
      <c r="F306" s="1">
        <v>0.3</v>
      </c>
      <c r="G306" t="s">
        <v>73</v>
      </c>
      <c r="H306" s="1">
        <v>0.7</v>
      </c>
      <c r="I306" s="1">
        <f>SUMPRODUCT(H306:H309,F306:F309)*D306</f>
        <v>4.5500000000000006E-2</v>
      </c>
      <c r="J306" s="1">
        <v>0.36</v>
      </c>
      <c r="K306" s="1">
        <v>0.36</v>
      </c>
      <c r="L306" s="1">
        <v>0.32</v>
      </c>
      <c r="M306" s="1">
        <v>0.28999999999999998</v>
      </c>
      <c r="N306" s="1">
        <v>0.31</v>
      </c>
    </row>
    <row r="307" spans="1:14" x14ac:dyDescent="0.3">
      <c r="A307" t="s">
        <v>299</v>
      </c>
      <c r="B307" t="s">
        <v>320</v>
      </c>
      <c r="C307" t="s">
        <v>301</v>
      </c>
      <c r="D307" s="1">
        <v>0.1</v>
      </c>
      <c r="E307" t="s">
        <v>302</v>
      </c>
      <c r="F307" s="1">
        <v>0.25</v>
      </c>
      <c r="G307" t="s">
        <v>20</v>
      </c>
      <c r="H307" s="1">
        <v>0.6</v>
      </c>
      <c r="I307" s="1"/>
      <c r="J307" s="1">
        <v>0.36</v>
      </c>
      <c r="K307" s="1">
        <v>0.36</v>
      </c>
      <c r="L307" s="1">
        <v>0.32</v>
      </c>
      <c r="M307" s="1">
        <v>0.28999999999999998</v>
      </c>
      <c r="N307" s="1">
        <v>0.31</v>
      </c>
    </row>
    <row r="308" spans="1:14" x14ac:dyDescent="0.3">
      <c r="A308" t="s">
        <v>299</v>
      </c>
      <c r="B308" t="s">
        <v>320</v>
      </c>
      <c r="C308" t="s">
        <v>301</v>
      </c>
      <c r="D308" s="1">
        <v>0.1</v>
      </c>
      <c r="E308" t="s">
        <v>147</v>
      </c>
      <c r="F308" s="1">
        <v>0.25</v>
      </c>
      <c r="G308" t="s">
        <v>56</v>
      </c>
      <c r="H308" s="1">
        <v>0.3</v>
      </c>
      <c r="I308" s="1"/>
      <c r="J308" s="1">
        <v>0.36</v>
      </c>
      <c r="K308" s="1">
        <v>0.36</v>
      </c>
      <c r="L308" s="1">
        <v>0.32</v>
      </c>
      <c r="M308" s="1">
        <v>0.28999999999999998</v>
      </c>
      <c r="N308" s="1">
        <v>0.31</v>
      </c>
    </row>
    <row r="309" spans="1:14" x14ac:dyDescent="0.3">
      <c r="A309" t="s">
        <v>299</v>
      </c>
      <c r="B309" t="s">
        <v>320</v>
      </c>
      <c r="C309" t="s">
        <v>301</v>
      </c>
      <c r="D309" s="1">
        <v>0.1</v>
      </c>
      <c r="E309" t="s">
        <v>303</v>
      </c>
      <c r="F309" s="1">
        <v>0.2</v>
      </c>
      <c r="G309" t="s">
        <v>30</v>
      </c>
      <c r="H309" s="1">
        <v>0.1</v>
      </c>
      <c r="I309" s="1"/>
      <c r="J309" s="1">
        <v>0.36</v>
      </c>
      <c r="K309" s="1">
        <v>0.36</v>
      </c>
      <c r="L309" s="1">
        <v>0.32</v>
      </c>
      <c r="M309" s="1">
        <v>0.28999999999999998</v>
      </c>
      <c r="N309" s="1">
        <v>0.31</v>
      </c>
    </row>
    <row r="310" spans="1:14" x14ac:dyDescent="0.3">
      <c r="A310" t="s">
        <v>299</v>
      </c>
      <c r="B310" t="s">
        <v>320</v>
      </c>
      <c r="C310" t="s">
        <v>16</v>
      </c>
      <c r="D310" s="1">
        <v>0.2</v>
      </c>
      <c r="E310" t="s">
        <v>17</v>
      </c>
      <c r="F310" s="1">
        <v>0.3</v>
      </c>
      <c r="G310" t="s">
        <v>18</v>
      </c>
      <c r="H310" s="1">
        <v>0.9</v>
      </c>
      <c r="I310" s="1">
        <f>SUMPRODUCT(H310:H313,F310:F313)*D310</f>
        <v>0.16550000000000004</v>
      </c>
      <c r="J310" s="1">
        <v>0.68</v>
      </c>
      <c r="K310" s="1">
        <v>0.68</v>
      </c>
      <c r="L310" s="1">
        <v>0.64</v>
      </c>
      <c r="M310" s="1">
        <v>0.61</v>
      </c>
      <c r="N310" s="1">
        <v>0.63</v>
      </c>
    </row>
    <row r="311" spans="1:14" x14ac:dyDescent="0.3">
      <c r="A311" t="s">
        <v>299</v>
      </c>
      <c r="B311" t="s">
        <v>320</v>
      </c>
      <c r="C311" t="s">
        <v>16</v>
      </c>
      <c r="D311" s="1">
        <v>0.2</v>
      </c>
      <c r="E311" t="s">
        <v>19</v>
      </c>
      <c r="F311" s="1">
        <v>0.25</v>
      </c>
      <c r="G311" t="s">
        <v>20</v>
      </c>
      <c r="H311" s="1">
        <v>0.6</v>
      </c>
      <c r="I311" s="1"/>
      <c r="J311" s="1">
        <v>0.68</v>
      </c>
      <c r="K311" s="1">
        <v>0.68</v>
      </c>
      <c r="L311" s="1">
        <v>0.64</v>
      </c>
      <c r="M311" s="1">
        <v>0.61</v>
      </c>
      <c r="N311" s="1">
        <v>0.63</v>
      </c>
    </row>
    <row r="312" spans="1:14" x14ac:dyDescent="0.3">
      <c r="A312" t="s">
        <v>299</v>
      </c>
      <c r="B312" t="s">
        <v>320</v>
      </c>
      <c r="C312" t="s">
        <v>16</v>
      </c>
      <c r="D312" s="1">
        <v>0.2</v>
      </c>
      <c r="E312" t="s">
        <v>21</v>
      </c>
      <c r="F312" s="1">
        <v>0.2</v>
      </c>
      <c r="G312" t="s">
        <v>22</v>
      </c>
      <c r="H312" s="1">
        <v>0.85</v>
      </c>
      <c r="I312" s="1"/>
      <c r="J312" s="1">
        <v>0.68</v>
      </c>
      <c r="K312" s="1">
        <v>0.68</v>
      </c>
      <c r="L312" s="1">
        <v>0.64</v>
      </c>
      <c r="M312" s="1">
        <v>0.61</v>
      </c>
      <c r="N312" s="1">
        <v>0.63</v>
      </c>
    </row>
    <row r="313" spans="1:14" x14ac:dyDescent="0.3">
      <c r="A313" t="s">
        <v>299</v>
      </c>
      <c r="B313" t="s">
        <v>320</v>
      </c>
      <c r="C313" t="s">
        <v>16</v>
      </c>
      <c r="D313" s="1">
        <v>0.2</v>
      </c>
      <c r="E313" t="s">
        <v>23</v>
      </c>
      <c r="F313" s="1">
        <v>0.25</v>
      </c>
      <c r="G313" t="s">
        <v>24</v>
      </c>
      <c r="H313" s="1">
        <v>0.95</v>
      </c>
      <c r="I313" s="1"/>
      <c r="J313" s="1">
        <v>0.68</v>
      </c>
      <c r="K313" s="1">
        <v>0.68</v>
      </c>
      <c r="L313" s="1">
        <v>0.64</v>
      </c>
      <c r="M313" s="1">
        <v>0.61</v>
      </c>
      <c r="N313" s="1">
        <v>0.63</v>
      </c>
    </row>
    <row r="314" spans="1:14" x14ac:dyDescent="0.3">
      <c r="A314" t="s">
        <v>299</v>
      </c>
      <c r="B314" t="s">
        <v>320</v>
      </c>
      <c r="C314" t="s">
        <v>25</v>
      </c>
      <c r="D314" s="1">
        <v>0.15</v>
      </c>
      <c r="E314" t="s">
        <v>26</v>
      </c>
      <c r="F314" s="1">
        <v>0.25</v>
      </c>
      <c r="G314" t="s">
        <v>18</v>
      </c>
      <c r="H314" s="1">
        <v>0.9</v>
      </c>
      <c r="I314" s="1">
        <f>SUMPRODUCT(H314:H317,F314:F317)*D314</f>
        <v>9.3000000000000013E-2</v>
      </c>
      <c r="J314" s="1">
        <v>0.48</v>
      </c>
      <c r="K314" s="1">
        <v>0.48</v>
      </c>
      <c r="L314" s="1">
        <v>0.44</v>
      </c>
      <c r="M314" s="1">
        <v>0.41</v>
      </c>
      <c r="N314" s="1">
        <v>0.43</v>
      </c>
    </row>
    <row r="315" spans="1:14" x14ac:dyDescent="0.3">
      <c r="A315" t="s">
        <v>299</v>
      </c>
      <c r="B315" t="s">
        <v>320</v>
      </c>
      <c r="C315" t="s">
        <v>25</v>
      </c>
      <c r="D315" s="1">
        <v>0.15</v>
      </c>
      <c r="E315" t="s">
        <v>27</v>
      </c>
      <c r="F315" s="1">
        <v>0.25</v>
      </c>
      <c r="G315" t="s">
        <v>28</v>
      </c>
      <c r="H315" s="1">
        <v>0.7</v>
      </c>
      <c r="I315" s="1"/>
      <c r="J315" s="1">
        <v>0.48</v>
      </c>
      <c r="K315" s="1">
        <v>0.48</v>
      </c>
      <c r="L315" s="1">
        <v>0.44</v>
      </c>
      <c r="M315" s="1">
        <v>0.41</v>
      </c>
      <c r="N315" s="1">
        <v>0.43</v>
      </c>
    </row>
    <row r="316" spans="1:14" x14ac:dyDescent="0.3">
      <c r="A316" t="s">
        <v>299</v>
      </c>
      <c r="B316" t="s">
        <v>320</v>
      </c>
      <c r="C316" t="s">
        <v>25</v>
      </c>
      <c r="D316" s="1">
        <v>0.15</v>
      </c>
      <c r="E316" t="s">
        <v>29</v>
      </c>
      <c r="F316" s="1">
        <v>0.3</v>
      </c>
      <c r="G316" t="s">
        <v>30</v>
      </c>
      <c r="H316" s="1">
        <v>0.1</v>
      </c>
      <c r="I316" s="1"/>
      <c r="J316" s="1">
        <v>0.48</v>
      </c>
      <c r="K316" s="1">
        <v>0.48</v>
      </c>
      <c r="L316" s="1">
        <v>0.44</v>
      </c>
      <c r="M316" s="1">
        <v>0.41</v>
      </c>
      <c r="N316" s="1">
        <v>0.43</v>
      </c>
    </row>
    <row r="317" spans="1:14" x14ac:dyDescent="0.3">
      <c r="A317" t="s">
        <v>299</v>
      </c>
      <c r="B317" t="s">
        <v>320</v>
      </c>
      <c r="C317" t="s">
        <v>25</v>
      </c>
      <c r="D317" s="1">
        <v>0.15</v>
      </c>
      <c r="E317" t="s">
        <v>31</v>
      </c>
      <c r="F317" s="1">
        <v>0.2</v>
      </c>
      <c r="G317" t="s">
        <v>24</v>
      </c>
      <c r="H317" s="1">
        <v>0.95</v>
      </c>
      <c r="I317" s="1"/>
      <c r="J317" s="1">
        <v>0.48</v>
      </c>
      <c r="K317" s="1">
        <v>0.48</v>
      </c>
      <c r="L317" s="1">
        <v>0.44</v>
      </c>
      <c r="M317" s="1">
        <v>0.41</v>
      </c>
      <c r="N317" s="1">
        <v>0.43</v>
      </c>
    </row>
    <row r="318" spans="1:14" x14ac:dyDescent="0.3">
      <c r="A318" t="s">
        <v>299</v>
      </c>
      <c r="B318" t="s">
        <v>320</v>
      </c>
      <c r="C318" t="s">
        <v>37</v>
      </c>
      <c r="D318" s="1">
        <v>0.2</v>
      </c>
      <c r="E318" t="s">
        <v>38</v>
      </c>
      <c r="F318" s="1">
        <v>0.3</v>
      </c>
      <c r="G318" t="s">
        <v>18</v>
      </c>
      <c r="H318" s="1">
        <v>0.9</v>
      </c>
      <c r="I318" s="1">
        <f>SUMPRODUCT(H318:H321,F318:F321)*D318</f>
        <v>0.16200000000000003</v>
      </c>
      <c r="J318" s="1">
        <v>0.68</v>
      </c>
      <c r="K318" s="1">
        <v>0.68</v>
      </c>
      <c r="L318" s="1">
        <v>0.64</v>
      </c>
      <c r="M318" s="1">
        <v>0.61</v>
      </c>
      <c r="N318" s="1">
        <v>0.63</v>
      </c>
    </row>
    <row r="319" spans="1:14" x14ac:dyDescent="0.3">
      <c r="A319" t="s">
        <v>299</v>
      </c>
      <c r="B319" t="s">
        <v>320</v>
      </c>
      <c r="C319" t="s">
        <v>37</v>
      </c>
      <c r="D319" s="1">
        <v>0.2</v>
      </c>
      <c r="E319" t="s">
        <v>304</v>
      </c>
      <c r="F319" s="1">
        <v>0.25</v>
      </c>
      <c r="G319" t="s">
        <v>40</v>
      </c>
      <c r="H319" s="1">
        <v>0.7</v>
      </c>
      <c r="I319" s="1"/>
      <c r="J319" s="1">
        <v>0.68</v>
      </c>
      <c r="K319" s="1">
        <v>0.68</v>
      </c>
      <c r="L319" s="1">
        <v>0.64</v>
      </c>
      <c r="M319" s="1">
        <v>0.61</v>
      </c>
      <c r="N319" s="1">
        <v>0.63</v>
      </c>
    </row>
    <row r="320" spans="1:14" x14ac:dyDescent="0.3">
      <c r="A320" t="s">
        <v>299</v>
      </c>
      <c r="B320" t="s">
        <v>320</v>
      </c>
      <c r="C320" t="s">
        <v>37</v>
      </c>
      <c r="D320" s="1">
        <v>0.2</v>
      </c>
      <c r="E320" t="s">
        <v>41</v>
      </c>
      <c r="F320" s="1">
        <v>0.25</v>
      </c>
      <c r="G320" t="s">
        <v>28</v>
      </c>
      <c r="H320" s="1">
        <v>0.7</v>
      </c>
      <c r="I320" s="1"/>
      <c r="J320" s="1">
        <v>0.68</v>
      </c>
      <c r="K320" s="1">
        <v>0.68</v>
      </c>
      <c r="L320" s="1">
        <v>0.64</v>
      </c>
      <c r="M320" s="1">
        <v>0.61</v>
      </c>
      <c r="N320" s="1">
        <v>0.63</v>
      </c>
    </row>
    <row r="321" spans="1:14" x14ac:dyDescent="0.3">
      <c r="A321" t="s">
        <v>299</v>
      </c>
      <c r="B321" t="s">
        <v>320</v>
      </c>
      <c r="C321" t="s">
        <v>37</v>
      </c>
      <c r="D321" s="1">
        <v>0.2</v>
      </c>
      <c r="E321" t="s">
        <v>42</v>
      </c>
      <c r="F321" s="1">
        <v>0.2</v>
      </c>
      <c r="G321" t="s">
        <v>24</v>
      </c>
      <c r="H321" s="1">
        <v>0.95</v>
      </c>
      <c r="I321" s="1"/>
      <c r="J321" s="1">
        <v>0.68</v>
      </c>
      <c r="K321" s="1">
        <v>0.68</v>
      </c>
      <c r="L321" s="1">
        <v>0.64</v>
      </c>
      <c r="M321" s="1">
        <v>0.61</v>
      </c>
      <c r="N321" s="1">
        <v>0.63</v>
      </c>
    </row>
    <row r="322" spans="1:14" x14ac:dyDescent="0.3">
      <c r="A322" t="s">
        <v>299</v>
      </c>
      <c r="B322" t="s">
        <v>320</v>
      </c>
      <c r="C322" t="s">
        <v>151</v>
      </c>
      <c r="D322" s="1">
        <v>0.25</v>
      </c>
      <c r="E322" t="s">
        <v>208</v>
      </c>
      <c r="F322" s="1">
        <v>0.25</v>
      </c>
      <c r="G322" t="s">
        <v>40</v>
      </c>
      <c r="H322" s="1">
        <v>0.7</v>
      </c>
      <c r="I322" s="1">
        <f>SUMPRODUCT(H322:H325,F322:F325)*D322</f>
        <v>0.14687499999999998</v>
      </c>
      <c r="J322" s="1">
        <v>0.45</v>
      </c>
      <c r="K322" s="1">
        <v>0.45</v>
      </c>
      <c r="L322" s="1">
        <v>0.41</v>
      </c>
      <c r="M322" s="1">
        <v>0.38</v>
      </c>
      <c r="N322" s="1">
        <v>0.4</v>
      </c>
    </row>
    <row r="323" spans="1:14" x14ac:dyDescent="0.3">
      <c r="A323" t="s">
        <v>299</v>
      </c>
      <c r="B323" t="s">
        <v>320</v>
      </c>
      <c r="C323" t="s">
        <v>151</v>
      </c>
      <c r="D323" s="1">
        <v>0.25</v>
      </c>
      <c r="E323" t="s">
        <v>50</v>
      </c>
      <c r="F323" s="1">
        <v>0.25</v>
      </c>
      <c r="G323" t="s">
        <v>20</v>
      </c>
      <c r="H323" s="1">
        <v>0.6</v>
      </c>
      <c r="I323" s="1"/>
      <c r="J323" s="1">
        <v>0.45</v>
      </c>
      <c r="K323" s="1">
        <v>0.45</v>
      </c>
      <c r="L323" s="1">
        <v>0.41</v>
      </c>
      <c r="M323" s="1">
        <v>0.38</v>
      </c>
      <c r="N323" s="1">
        <v>0.4</v>
      </c>
    </row>
    <row r="324" spans="1:14" x14ac:dyDescent="0.3">
      <c r="A324" t="s">
        <v>299</v>
      </c>
      <c r="B324" t="s">
        <v>320</v>
      </c>
      <c r="C324" t="s">
        <v>151</v>
      </c>
      <c r="D324" s="1">
        <v>0.25</v>
      </c>
      <c r="E324" t="s">
        <v>210</v>
      </c>
      <c r="F324" s="1">
        <v>0.25</v>
      </c>
      <c r="G324" t="s">
        <v>30</v>
      </c>
      <c r="H324" s="1">
        <v>0.1</v>
      </c>
      <c r="I324" s="1"/>
      <c r="J324" s="1">
        <v>0.45</v>
      </c>
      <c r="K324" s="1">
        <v>0.45</v>
      </c>
      <c r="L324" s="1">
        <v>0.41</v>
      </c>
      <c r="M324" s="1">
        <v>0.38</v>
      </c>
      <c r="N324" s="1">
        <v>0.4</v>
      </c>
    </row>
    <row r="325" spans="1:14" x14ac:dyDescent="0.3">
      <c r="A325" t="s">
        <v>299</v>
      </c>
      <c r="B325" t="s">
        <v>320</v>
      </c>
      <c r="C325" t="s">
        <v>151</v>
      </c>
      <c r="D325" s="1">
        <v>0.25</v>
      </c>
      <c r="E325" t="s">
        <v>305</v>
      </c>
      <c r="F325" s="1">
        <v>0.25</v>
      </c>
      <c r="G325" t="s">
        <v>24</v>
      </c>
      <c r="H325" s="1">
        <v>0.95</v>
      </c>
      <c r="J325" s="1">
        <v>0.45</v>
      </c>
      <c r="K325" s="1">
        <v>0.45</v>
      </c>
      <c r="L325" s="1">
        <v>0.41</v>
      </c>
      <c r="M325" s="1">
        <v>0.38</v>
      </c>
      <c r="N325" s="1">
        <v>0.4</v>
      </c>
    </row>
    <row r="326" spans="1:14" x14ac:dyDescent="0.3">
      <c r="A326" t="s">
        <v>299</v>
      </c>
      <c r="B326" t="s">
        <v>320</v>
      </c>
      <c r="C326" t="s">
        <v>306</v>
      </c>
      <c r="D326" s="1">
        <v>0.1</v>
      </c>
      <c r="E326" t="s">
        <v>55</v>
      </c>
      <c r="F326" s="1">
        <v>0.3</v>
      </c>
      <c r="G326" t="s">
        <v>56</v>
      </c>
      <c r="H326" s="1">
        <v>0.3</v>
      </c>
      <c r="I326" s="1">
        <f>SUMPRODUCT(H326:H329,F326:F329)*D326</f>
        <v>4.5500000000000006E-2</v>
      </c>
      <c r="J326" s="1">
        <v>0.35</v>
      </c>
      <c r="K326" s="1">
        <v>0.35</v>
      </c>
      <c r="L326" s="1">
        <v>0.31</v>
      </c>
      <c r="M326" s="1">
        <v>0.28000000000000003</v>
      </c>
      <c r="N326" s="1">
        <v>0.3</v>
      </c>
    </row>
    <row r="327" spans="1:14" x14ac:dyDescent="0.3">
      <c r="A327" t="s">
        <v>299</v>
      </c>
      <c r="B327" t="s">
        <v>320</v>
      </c>
      <c r="C327" t="s">
        <v>306</v>
      </c>
      <c r="D327" s="1">
        <v>0.1</v>
      </c>
      <c r="E327" t="s">
        <v>273</v>
      </c>
      <c r="F327" s="1">
        <v>0.25</v>
      </c>
      <c r="G327" t="s">
        <v>20</v>
      </c>
      <c r="H327" s="1">
        <v>0.6</v>
      </c>
      <c r="I327" s="1"/>
      <c r="J327" s="1">
        <v>0.35</v>
      </c>
      <c r="K327" s="1">
        <v>0.35</v>
      </c>
      <c r="L327" s="1">
        <v>0.31</v>
      </c>
      <c r="M327" s="1">
        <v>0.28000000000000003</v>
      </c>
      <c r="N327" s="1">
        <v>0.3</v>
      </c>
    </row>
    <row r="328" spans="1:14" x14ac:dyDescent="0.3">
      <c r="A328" t="s">
        <v>299</v>
      </c>
      <c r="B328" t="s">
        <v>320</v>
      </c>
      <c r="C328" t="s">
        <v>306</v>
      </c>
      <c r="D328" s="1">
        <v>0.1</v>
      </c>
      <c r="E328" t="s">
        <v>58</v>
      </c>
      <c r="F328" s="1">
        <v>0.25</v>
      </c>
      <c r="G328" t="s">
        <v>30</v>
      </c>
      <c r="H328" s="1">
        <v>0.1</v>
      </c>
      <c r="I328" s="1"/>
      <c r="J328" s="1">
        <v>0.35</v>
      </c>
      <c r="K328" s="1">
        <v>0.35</v>
      </c>
      <c r="L328" s="1">
        <v>0.31</v>
      </c>
      <c r="M328" s="1">
        <v>0.28000000000000003</v>
      </c>
      <c r="N328" s="1">
        <v>0.3</v>
      </c>
    </row>
    <row r="329" spans="1:14" x14ac:dyDescent="0.3">
      <c r="A329" t="s">
        <v>299</v>
      </c>
      <c r="B329" t="s">
        <v>320</v>
      </c>
      <c r="C329" t="s">
        <v>306</v>
      </c>
      <c r="D329" s="1">
        <v>0.1</v>
      </c>
      <c r="E329" t="s">
        <v>59</v>
      </c>
      <c r="F329" s="1">
        <v>0.2</v>
      </c>
      <c r="G329" t="s">
        <v>24</v>
      </c>
      <c r="H329" s="1">
        <v>0.95</v>
      </c>
      <c r="I329" s="1"/>
      <c r="J329" s="1">
        <v>0.35</v>
      </c>
      <c r="K329" s="1">
        <v>0.35</v>
      </c>
      <c r="L329" s="1">
        <v>0.31</v>
      </c>
      <c r="M329" s="1">
        <v>0.28000000000000003</v>
      </c>
      <c r="N329" s="1">
        <v>0.3</v>
      </c>
    </row>
    <row r="330" spans="1:14" x14ac:dyDescent="0.3">
      <c r="I330" s="2">
        <f>SUM(I306:I326)</f>
        <v>0.65837500000000004</v>
      </c>
      <c r="J330" s="2">
        <f>+J310*$D310+J314*$D314+J318*$D318+J322*$D322+J326*$D326+$D306*J306</f>
        <v>0.52749999999999997</v>
      </c>
      <c r="K330" s="2">
        <f t="shared" ref="K330:N330" si="12">+K310*$D310+K314*$D314+K318*$D318+K322*$D322+K326*$D326+$D306*K306</f>
        <v>0.52749999999999997</v>
      </c>
      <c r="L330" s="2">
        <f t="shared" si="12"/>
        <v>0.48750000000000004</v>
      </c>
      <c r="M330" s="2">
        <f t="shared" si="12"/>
        <v>0.45750000000000002</v>
      </c>
      <c r="N330" s="2">
        <f t="shared" si="12"/>
        <v>0.47750000000000004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0"/>
  <sheetViews>
    <sheetView workbookViewId="0"/>
  </sheetViews>
  <sheetFormatPr defaultRowHeight="14.4" x14ac:dyDescent="0.3"/>
  <cols>
    <col min="2" max="2" width="18" customWidth="1"/>
    <col min="3" max="3" width="14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321</v>
      </c>
      <c r="B2" t="s">
        <v>322</v>
      </c>
      <c r="C2" t="s">
        <v>141</v>
      </c>
      <c r="D2" s="1">
        <v>0.25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0.13</v>
      </c>
      <c r="J2" s="1">
        <v>0.4</v>
      </c>
      <c r="K2" s="1">
        <v>0.4</v>
      </c>
      <c r="L2" s="1">
        <v>0.37</v>
      </c>
      <c r="M2" s="1">
        <v>0.33</v>
      </c>
      <c r="N2" s="1">
        <v>0.28000000000000003</v>
      </c>
    </row>
    <row r="3" spans="1:14" x14ac:dyDescent="0.3">
      <c r="A3" t="s">
        <v>321</v>
      </c>
      <c r="B3" t="s">
        <v>322</v>
      </c>
      <c r="C3" t="s">
        <v>141</v>
      </c>
      <c r="D3" s="1">
        <v>0.25</v>
      </c>
      <c r="E3" t="s">
        <v>252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0.33</v>
      </c>
      <c r="N3" s="1">
        <v>0.28000000000000003</v>
      </c>
    </row>
    <row r="4" spans="1:14" x14ac:dyDescent="0.3">
      <c r="A4" t="s">
        <v>321</v>
      </c>
      <c r="B4" t="s">
        <v>322</v>
      </c>
      <c r="C4" t="s">
        <v>141</v>
      </c>
      <c r="D4" s="1">
        <v>0.25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0.33</v>
      </c>
      <c r="N4" s="1">
        <v>0.28000000000000003</v>
      </c>
    </row>
    <row r="5" spans="1:14" x14ac:dyDescent="0.3">
      <c r="A5" t="s">
        <v>321</v>
      </c>
      <c r="B5" t="s">
        <v>322</v>
      </c>
      <c r="C5" t="s">
        <v>141</v>
      </c>
      <c r="D5" s="1">
        <v>0.25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0.33</v>
      </c>
      <c r="N5" s="1">
        <v>0.28000000000000003</v>
      </c>
    </row>
    <row r="6" spans="1:14" x14ac:dyDescent="0.3">
      <c r="A6" t="s">
        <v>321</v>
      </c>
      <c r="B6" t="s">
        <v>322</v>
      </c>
      <c r="C6" t="s">
        <v>82</v>
      </c>
      <c r="D6" s="1">
        <v>0.2</v>
      </c>
      <c r="E6" t="s">
        <v>72</v>
      </c>
      <c r="F6" s="1">
        <v>0.3</v>
      </c>
      <c r="G6" t="s">
        <v>73</v>
      </c>
      <c r="H6" s="1">
        <v>0.7</v>
      </c>
      <c r="I6" s="1">
        <f>SUMPRODUCT(H6:H9,F6:F9)*D6</f>
        <v>9.1000000000000011E-2</v>
      </c>
      <c r="J6" s="1">
        <v>0.35</v>
      </c>
      <c r="K6" s="1">
        <v>0.35</v>
      </c>
      <c r="L6" s="1">
        <v>0.32</v>
      </c>
      <c r="M6" s="1">
        <v>0.28000000000000003</v>
      </c>
      <c r="N6" s="1">
        <v>0.2</v>
      </c>
    </row>
    <row r="7" spans="1:14" x14ac:dyDescent="0.3">
      <c r="A7" t="s">
        <v>321</v>
      </c>
      <c r="B7" t="s">
        <v>322</v>
      </c>
      <c r="C7" t="s">
        <v>82</v>
      </c>
      <c r="D7" s="1">
        <v>0.2</v>
      </c>
      <c r="E7" t="s">
        <v>246</v>
      </c>
      <c r="F7" s="1">
        <v>0.25</v>
      </c>
      <c r="G7" t="s">
        <v>20</v>
      </c>
      <c r="H7" s="1">
        <v>0.6</v>
      </c>
      <c r="I7" s="1"/>
      <c r="J7" s="1">
        <v>0.35</v>
      </c>
      <c r="K7" s="1">
        <v>0.35</v>
      </c>
      <c r="L7" s="1">
        <v>0.32</v>
      </c>
      <c r="M7" s="1">
        <v>0.28000000000000003</v>
      </c>
      <c r="N7" s="1">
        <v>0.2</v>
      </c>
    </row>
    <row r="8" spans="1:14" x14ac:dyDescent="0.3">
      <c r="A8" t="s">
        <v>321</v>
      </c>
      <c r="B8" t="s">
        <v>322</v>
      </c>
      <c r="C8" t="s">
        <v>82</v>
      </c>
      <c r="D8" s="1">
        <v>0.2</v>
      </c>
      <c r="E8" t="s">
        <v>85</v>
      </c>
      <c r="F8" s="1">
        <v>0.25</v>
      </c>
      <c r="G8" t="s">
        <v>56</v>
      </c>
      <c r="H8" s="1">
        <v>0.3</v>
      </c>
      <c r="I8" s="1"/>
      <c r="J8" s="1">
        <v>0.35</v>
      </c>
      <c r="K8" s="1">
        <v>0.35</v>
      </c>
      <c r="L8" s="1">
        <v>0.32</v>
      </c>
      <c r="M8" s="1">
        <v>0.28000000000000003</v>
      </c>
      <c r="N8" s="1">
        <v>0.2</v>
      </c>
    </row>
    <row r="9" spans="1:14" x14ac:dyDescent="0.3">
      <c r="A9" t="s">
        <v>321</v>
      </c>
      <c r="B9" t="s">
        <v>322</v>
      </c>
      <c r="C9" t="s">
        <v>82</v>
      </c>
      <c r="D9" s="1">
        <v>0.2</v>
      </c>
      <c r="E9" t="s">
        <v>86</v>
      </c>
      <c r="F9" s="1">
        <v>0.2</v>
      </c>
      <c r="G9" t="s">
        <v>30</v>
      </c>
      <c r="H9" s="1">
        <v>0.1</v>
      </c>
      <c r="I9" s="1"/>
      <c r="J9" s="1">
        <v>0.35</v>
      </c>
      <c r="K9" s="1">
        <v>0.35</v>
      </c>
      <c r="L9" s="1">
        <v>0.32</v>
      </c>
      <c r="M9" s="1">
        <v>0.28000000000000003</v>
      </c>
      <c r="N9" s="1">
        <v>0.2</v>
      </c>
    </row>
    <row r="10" spans="1:14" x14ac:dyDescent="0.3">
      <c r="A10" t="s">
        <v>321</v>
      </c>
      <c r="B10" t="s">
        <v>322</v>
      </c>
      <c r="C10" t="s">
        <v>16</v>
      </c>
      <c r="D10" s="1">
        <v>0.2</v>
      </c>
      <c r="E10" t="s">
        <v>17</v>
      </c>
      <c r="F10" s="1">
        <v>0.3</v>
      </c>
      <c r="G10" t="s">
        <v>18</v>
      </c>
      <c r="H10" s="1">
        <v>0.9</v>
      </c>
      <c r="I10" s="1">
        <f>SUMPRODUCT(H10:H13,F10:F13)*D10</f>
        <v>0.16550000000000004</v>
      </c>
      <c r="J10" s="1">
        <v>0.65</v>
      </c>
      <c r="K10" s="1">
        <v>0.65</v>
      </c>
      <c r="L10" s="1">
        <v>0.6</v>
      </c>
      <c r="M10" s="1">
        <v>0.54</v>
      </c>
      <c r="N10" s="1">
        <v>0.42</v>
      </c>
    </row>
    <row r="11" spans="1:14" x14ac:dyDescent="0.3">
      <c r="A11" t="s">
        <v>321</v>
      </c>
      <c r="B11" t="s">
        <v>322</v>
      </c>
      <c r="C11" t="s">
        <v>16</v>
      </c>
      <c r="D11" s="1">
        <v>0.2</v>
      </c>
      <c r="E11" t="s">
        <v>19</v>
      </c>
      <c r="F11" s="1">
        <v>0.25</v>
      </c>
      <c r="G11" t="s">
        <v>20</v>
      </c>
      <c r="H11" s="1">
        <v>0.6</v>
      </c>
      <c r="I11" s="1"/>
      <c r="J11" s="1">
        <v>0.65</v>
      </c>
      <c r="K11" s="1">
        <v>0.65</v>
      </c>
      <c r="L11" s="1">
        <v>0.6</v>
      </c>
      <c r="M11" s="1">
        <v>0.54</v>
      </c>
      <c r="N11" s="1">
        <v>0.42</v>
      </c>
    </row>
    <row r="12" spans="1:14" x14ac:dyDescent="0.3">
      <c r="A12" t="s">
        <v>321</v>
      </c>
      <c r="B12" t="s">
        <v>322</v>
      </c>
      <c r="C12" t="s">
        <v>16</v>
      </c>
      <c r="D12" s="1">
        <v>0.2</v>
      </c>
      <c r="E12" t="s">
        <v>21</v>
      </c>
      <c r="F12" s="1">
        <v>0.2</v>
      </c>
      <c r="G12" t="s">
        <v>22</v>
      </c>
      <c r="H12" s="1">
        <v>0.85</v>
      </c>
      <c r="I12" s="1"/>
      <c r="J12" s="1">
        <v>0.65</v>
      </c>
      <c r="K12" s="1">
        <v>0.65</v>
      </c>
      <c r="L12" s="1">
        <v>0.6</v>
      </c>
      <c r="M12" s="1">
        <v>0.54</v>
      </c>
      <c r="N12" s="1">
        <v>0.42</v>
      </c>
    </row>
    <row r="13" spans="1:14" x14ac:dyDescent="0.3">
      <c r="A13" t="s">
        <v>321</v>
      </c>
      <c r="B13" t="s">
        <v>322</v>
      </c>
      <c r="C13" t="s">
        <v>16</v>
      </c>
      <c r="D13" s="1">
        <v>0.2</v>
      </c>
      <c r="E13" t="s">
        <v>23</v>
      </c>
      <c r="F13" s="1">
        <v>0.25</v>
      </c>
      <c r="G13" t="s">
        <v>24</v>
      </c>
      <c r="H13" s="1">
        <v>0.95</v>
      </c>
      <c r="I13" s="1"/>
      <c r="J13" s="1">
        <v>0.65</v>
      </c>
      <c r="K13" s="1">
        <v>0.65</v>
      </c>
      <c r="L13" s="1">
        <v>0.6</v>
      </c>
      <c r="M13" s="1">
        <v>0.54</v>
      </c>
      <c r="N13" s="1">
        <v>0.42</v>
      </c>
    </row>
    <row r="14" spans="1:14" x14ac:dyDescent="0.3">
      <c r="A14" t="s">
        <v>321</v>
      </c>
      <c r="B14" t="s">
        <v>322</v>
      </c>
      <c r="C14" t="s">
        <v>25</v>
      </c>
      <c r="D14" s="1">
        <v>0.1</v>
      </c>
      <c r="E14" t="s">
        <v>26</v>
      </c>
      <c r="F14" s="1">
        <v>0.25</v>
      </c>
      <c r="G14" t="s">
        <v>18</v>
      </c>
      <c r="H14" s="1">
        <v>0.9</v>
      </c>
      <c r="I14" s="1">
        <f>SUMPRODUCT(H14:H17,F14:F17)*D14</f>
        <v>6.2000000000000013E-2</v>
      </c>
      <c r="J14" s="1">
        <v>0.45</v>
      </c>
      <c r="K14" s="1">
        <v>0.45</v>
      </c>
      <c r="L14" s="1">
        <v>0.42</v>
      </c>
      <c r="M14" s="1">
        <v>0.37</v>
      </c>
      <c r="N14" s="1">
        <v>0.28000000000000003</v>
      </c>
    </row>
    <row r="15" spans="1:14" x14ac:dyDescent="0.3">
      <c r="A15" t="s">
        <v>321</v>
      </c>
      <c r="B15" t="s">
        <v>322</v>
      </c>
      <c r="C15" t="s">
        <v>25</v>
      </c>
      <c r="D15" s="1">
        <v>0.1</v>
      </c>
      <c r="E15" t="s">
        <v>27</v>
      </c>
      <c r="F15" s="1">
        <v>0.25</v>
      </c>
      <c r="G15" t="s">
        <v>28</v>
      </c>
      <c r="H15" s="1">
        <v>0.7</v>
      </c>
      <c r="I15" s="1"/>
      <c r="J15" s="1">
        <v>0.45</v>
      </c>
      <c r="K15" s="1">
        <v>0.45</v>
      </c>
      <c r="L15" s="1">
        <v>0.42</v>
      </c>
      <c r="M15" s="1">
        <v>0.37</v>
      </c>
      <c r="N15" s="1">
        <v>0.28000000000000003</v>
      </c>
    </row>
    <row r="16" spans="1:14" x14ac:dyDescent="0.3">
      <c r="A16" t="s">
        <v>321</v>
      </c>
      <c r="B16" t="s">
        <v>322</v>
      </c>
      <c r="C16" t="s">
        <v>25</v>
      </c>
      <c r="D16" s="1">
        <v>0.1</v>
      </c>
      <c r="E16" t="s">
        <v>29</v>
      </c>
      <c r="F16" s="1">
        <v>0.3</v>
      </c>
      <c r="G16" t="s">
        <v>30</v>
      </c>
      <c r="H16" s="1">
        <v>0.1</v>
      </c>
      <c r="I16" s="1"/>
      <c r="J16" s="1">
        <v>0.45</v>
      </c>
      <c r="K16" s="1">
        <v>0.45</v>
      </c>
      <c r="L16" s="1">
        <v>0.42</v>
      </c>
      <c r="M16" s="1">
        <v>0.37</v>
      </c>
      <c r="N16" s="1">
        <v>0.28000000000000003</v>
      </c>
    </row>
    <row r="17" spans="1:14" x14ac:dyDescent="0.3">
      <c r="A17" t="s">
        <v>321</v>
      </c>
      <c r="B17" t="s">
        <v>322</v>
      </c>
      <c r="C17" t="s">
        <v>25</v>
      </c>
      <c r="D17" s="1">
        <v>0.1</v>
      </c>
      <c r="E17" t="s">
        <v>31</v>
      </c>
      <c r="F17" s="1">
        <v>0.2</v>
      </c>
      <c r="G17" t="s">
        <v>24</v>
      </c>
      <c r="H17" s="1">
        <v>0.95</v>
      </c>
      <c r="I17" s="1"/>
      <c r="J17" s="1">
        <v>0.45</v>
      </c>
      <c r="K17" s="1">
        <v>0.45</v>
      </c>
      <c r="L17" s="1">
        <v>0.42</v>
      </c>
      <c r="M17" s="1">
        <v>0.37</v>
      </c>
      <c r="N17" s="1">
        <v>0.28000000000000003</v>
      </c>
    </row>
    <row r="18" spans="1:14" x14ac:dyDescent="0.3">
      <c r="A18" t="s">
        <v>321</v>
      </c>
      <c r="B18" t="s">
        <v>322</v>
      </c>
      <c r="C18" t="s">
        <v>37</v>
      </c>
      <c r="D18" s="1">
        <v>0.1</v>
      </c>
      <c r="E18" t="s">
        <v>38</v>
      </c>
      <c r="F18" s="1">
        <v>0.3</v>
      </c>
      <c r="G18" t="s">
        <v>18</v>
      </c>
      <c r="H18" s="1">
        <v>0.9</v>
      </c>
      <c r="I18" s="1">
        <f>SUMPRODUCT(H18:H21,F18:F21)*D18</f>
        <v>8.1000000000000016E-2</v>
      </c>
      <c r="J18" s="1">
        <v>0.65</v>
      </c>
      <c r="K18" s="1">
        <v>0.65</v>
      </c>
      <c r="L18" s="1">
        <v>0.61</v>
      </c>
      <c r="M18" s="1">
        <v>0.55000000000000004</v>
      </c>
      <c r="N18" s="1">
        <v>0.43</v>
      </c>
    </row>
    <row r="19" spans="1:14" x14ac:dyDescent="0.3">
      <c r="A19" t="s">
        <v>321</v>
      </c>
      <c r="B19" t="s">
        <v>322</v>
      </c>
      <c r="C19" t="s">
        <v>37</v>
      </c>
      <c r="D19" s="1">
        <v>0.1</v>
      </c>
      <c r="E19" t="s">
        <v>39</v>
      </c>
      <c r="F19" s="1">
        <v>0.25</v>
      </c>
      <c r="G19" t="s">
        <v>40</v>
      </c>
      <c r="H19" s="1">
        <v>0.7</v>
      </c>
      <c r="I19" s="1"/>
      <c r="J19" s="1">
        <v>0.65</v>
      </c>
      <c r="K19" s="1">
        <v>0.65</v>
      </c>
      <c r="L19" s="1">
        <v>0.61</v>
      </c>
      <c r="M19" s="1">
        <v>0.55000000000000004</v>
      </c>
      <c r="N19" s="1">
        <v>0.43</v>
      </c>
    </row>
    <row r="20" spans="1:14" x14ac:dyDescent="0.3">
      <c r="A20" t="s">
        <v>321</v>
      </c>
      <c r="B20" t="s">
        <v>322</v>
      </c>
      <c r="C20" t="s">
        <v>37</v>
      </c>
      <c r="D20" s="1">
        <v>0.1</v>
      </c>
      <c r="E20" t="s">
        <v>41</v>
      </c>
      <c r="F20" s="1">
        <v>0.25</v>
      </c>
      <c r="G20" t="s">
        <v>28</v>
      </c>
      <c r="H20" s="1">
        <v>0.7</v>
      </c>
      <c r="I20" s="1"/>
      <c r="J20" s="1">
        <v>0.65</v>
      </c>
      <c r="K20" s="1">
        <v>0.65</v>
      </c>
      <c r="L20" s="1">
        <v>0.61</v>
      </c>
      <c r="M20" s="1">
        <v>0.55000000000000004</v>
      </c>
      <c r="N20" s="1">
        <v>0.43</v>
      </c>
    </row>
    <row r="21" spans="1:14" x14ac:dyDescent="0.3">
      <c r="A21" t="s">
        <v>321</v>
      </c>
      <c r="B21" t="s">
        <v>322</v>
      </c>
      <c r="C21" t="s">
        <v>37</v>
      </c>
      <c r="D21" s="1">
        <v>0.1</v>
      </c>
      <c r="E21" t="s">
        <v>42</v>
      </c>
      <c r="F21" s="1">
        <v>0.2</v>
      </c>
      <c r="G21" t="s">
        <v>24</v>
      </c>
      <c r="H21" s="1">
        <v>0.95</v>
      </c>
      <c r="I21" s="1"/>
      <c r="J21" s="1">
        <v>0.65</v>
      </c>
      <c r="K21" s="1">
        <v>0.65</v>
      </c>
      <c r="L21" s="1">
        <v>0.61</v>
      </c>
      <c r="M21" s="1">
        <v>0.55000000000000004</v>
      </c>
      <c r="N21" s="1">
        <v>0.43</v>
      </c>
    </row>
    <row r="22" spans="1:14" x14ac:dyDescent="0.3">
      <c r="A22" t="s">
        <v>321</v>
      </c>
      <c r="B22" t="s">
        <v>322</v>
      </c>
      <c r="C22" t="s">
        <v>136</v>
      </c>
      <c r="D22" s="1">
        <v>0.15</v>
      </c>
      <c r="E22" t="s">
        <v>287</v>
      </c>
      <c r="F22" s="1">
        <v>0.25</v>
      </c>
      <c r="G22" t="s">
        <v>40</v>
      </c>
      <c r="H22" s="1">
        <v>0.7</v>
      </c>
      <c r="I22" s="1">
        <f>SUMPRODUCT(H22:H25,F22:F25)*D22</f>
        <v>8.8124999999999981E-2</v>
      </c>
      <c r="J22" s="1">
        <v>0.42</v>
      </c>
      <c r="K22" s="1">
        <v>0.42</v>
      </c>
      <c r="L22" s="1">
        <v>0.39</v>
      </c>
      <c r="M22" s="1">
        <v>0.34</v>
      </c>
      <c r="N22" s="1">
        <v>0.25</v>
      </c>
    </row>
    <row r="23" spans="1:14" x14ac:dyDescent="0.3">
      <c r="A23" t="s">
        <v>321</v>
      </c>
      <c r="B23" t="s">
        <v>322</v>
      </c>
      <c r="C23" t="s">
        <v>136</v>
      </c>
      <c r="D23" s="1">
        <v>0.15</v>
      </c>
      <c r="E23" t="s">
        <v>50</v>
      </c>
      <c r="F23" s="1">
        <v>0.25</v>
      </c>
      <c r="G23" t="s">
        <v>20</v>
      </c>
      <c r="H23" s="1">
        <v>0.6</v>
      </c>
      <c r="I23" s="1"/>
      <c r="J23" s="1">
        <v>0.42</v>
      </c>
      <c r="K23" s="1">
        <v>0.42</v>
      </c>
      <c r="L23" s="1">
        <v>0.39</v>
      </c>
      <c r="M23" s="1">
        <v>0.34</v>
      </c>
      <c r="N23" s="1">
        <v>0.25</v>
      </c>
    </row>
    <row r="24" spans="1:14" x14ac:dyDescent="0.3">
      <c r="A24" t="s">
        <v>321</v>
      </c>
      <c r="B24" t="s">
        <v>322</v>
      </c>
      <c r="C24" t="s">
        <v>136</v>
      </c>
      <c r="D24" s="1">
        <v>0.15</v>
      </c>
      <c r="E24" t="s">
        <v>323</v>
      </c>
      <c r="F24" s="1">
        <v>0.25</v>
      </c>
      <c r="G24" t="s">
        <v>30</v>
      </c>
      <c r="H24" s="1">
        <v>0.1</v>
      </c>
      <c r="I24" s="1"/>
      <c r="J24" s="1">
        <v>0.42</v>
      </c>
      <c r="K24" s="1">
        <v>0.42</v>
      </c>
      <c r="L24" s="1">
        <v>0.39</v>
      </c>
      <c r="M24" s="1">
        <v>0.34</v>
      </c>
      <c r="N24" s="1">
        <v>0.25</v>
      </c>
    </row>
    <row r="25" spans="1:14" x14ac:dyDescent="0.3">
      <c r="A25" t="s">
        <v>321</v>
      </c>
      <c r="B25" t="s">
        <v>322</v>
      </c>
      <c r="C25" t="s">
        <v>136</v>
      </c>
      <c r="D25" s="1">
        <v>0.15</v>
      </c>
      <c r="E25" t="s">
        <v>197</v>
      </c>
      <c r="F25" s="1">
        <v>0.25</v>
      </c>
      <c r="G25" t="s">
        <v>24</v>
      </c>
      <c r="H25" s="1">
        <v>0.95</v>
      </c>
      <c r="I25" s="1"/>
      <c r="J25" s="1">
        <v>0.42</v>
      </c>
      <c r="K25" s="1">
        <v>0.42</v>
      </c>
      <c r="L25" s="1">
        <v>0.39</v>
      </c>
      <c r="M25" s="1">
        <v>0.34</v>
      </c>
      <c r="N25" s="1">
        <v>0.25</v>
      </c>
    </row>
    <row r="26" spans="1:14" x14ac:dyDescent="0.3">
      <c r="D26" s="1"/>
      <c r="F26" s="1"/>
      <c r="H26" s="1"/>
      <c r="I26" s="2">
        <f>SUM(I2:I25)</f>
        <v>0.61762500000000009</v>
      </c>
      <c r="J26" s="2">
        <f>+J6*$D6+J10*$D10+J14*$D14+J18*$D18+J22*$D22+$D2*J2</f>
        <v>0.47300000000000009</v>
      </c>
      <c r="K26" s="2">
        <f t="shared" ref="K26:N26" si="0">+K6*$D6+K10*$D10+K14*$D14+K18*$D18+K22*$D22+$D2*K2</f>
        <v>0.47300000000000009</v>
      </c>
      <c r="L26" s="2">
        <f t="shared" si="0"/>
        <v>0.43800000000000006</v>
      </c>
      <c r="M26" s="2">
        <f t="shared" si="0"/>
        <v>0.38950000000000007</v>
      </c>
      <c r="N26" s="2">
        <f t="shared" si="0"/>
        <v>0.30250000000000005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321</v>
      </c>
      <c r="B28" t="s">
        <v>324</v>
      </c>
      <c r="C28" t="s">
        <v>325</v>
      </c>
      <c r="D28" s="1">
        <v>0.25</v>
      </c>
      <c r="E28" t="s">
        <v>326</v>
      </c>
      <c r="F28" s="1">
        <v>0.25</v>
      </c>
      <c r="G28" t="s">
        <v>28</v>
      </c>
      <c r="H28" s="1">
        <v>0.7</v>
      </c>
      <c r="I28" s="1">
        <f>SUMPRODUCT(H28:H31,F28:F31)*D28</f>
        <v>0.13</v>
      </c>
      <c r="J28" s="1">
        <v>0.4</v>
      </c>
      <c r="K28" s="1">
        <v>0.4</v>
      </c>
      <c r="L28" s="1">
        <v>0.37</v>
      </c>
      <c r="M28" s="1">
        <v>0.33</v>
      </c>
      <c r="N28" s="1">
        <v>0.27</v>
      </c>
    </row>
    <row r="29" spans="1:14" x14ac:dyDescent="0.3">
      <c r="A29" t="s">
        <v>321</v>
      </c>
      <c r="B29" t="s">
        <v>324</v>
      </c>
      <c r="C29" t="s">
        <v>325</v>
      </c>
      <c r="D29" s="1">
        <v>0.25</v>
      </c>
      <c r="E29" t="s">
        <v>327</v>
      </c>
      <c r="F29" s="1">
        <v>0.35</v>
      </c>
      <c r="G29" t="s">
        <v>30</v>
      </c>
      <c r="H29" s="1">
        <v>0.1</v>
      </c>
      <c r="I29" s="1"/>
      <c r="J29" s="1">
        <v>0.4</v>
      </c>
      <c r="K29" s="1">
        <v>0.4</v>
      </c>
      <c r="L29" s="1">
        <v>0.37</v>
      </c>
      <c r="M29" s="1">
        <v>0.33</v>
      </c>
      <c r="N29" s="1">
        <v>0.27</v>
      </c>
    </row>
    <row r="30" spans="1:14" x14ac:dyDescent="0.3">
      <c r="A30" t="s">
        <v>321</v>
      </c>
      <c r="B30" t="s">
        <v>324</v>
      </c>
      <c r="C30" t="s">
        <v>325</v>
      </c>
      <c r="D30" s="1">
        <v>0.25</v>
      </c>
      <c r="E30" t="s">
        <v>328</v>
      </c>
      <c r="F30" s="1">
        <v>0.2</v>
      </c>
      <c r="G30" t="s">
        <v>20</v>
      </c>
      <c r="H30" s="1">
        <v>0.6</v>
      </c>
      <c r="I30" s="1"/>
      <c r="J30" s="1">
        <v>0.4</v>
      </c>
      <c r="K30" s="1">
        <v>0.4</v>
      </c>
      <c r="L30" s="1">
        <v>0.37</v>
      </c>
      <c r="M30" s="1">
        <v>0.33</v>
      </c>
      <c r="N30" s="1">
        <v>0.27</v>
      </c>
    </row>
    <row r="31" spans="1:14" x14ac:dyDescent="0.3">
      <c r="A31" t="s">
        <v>321</v>
      </c>
      <c r="B31" t="s">
        <v>324</v>
      </c>
      <c r="C31" t="s">
        <v>325</v>
      </c>
      <c r="D31" s="1">
        <v>0.25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0.4</v>
      </c>
      <c r="K31" s="1">
        <v>0.4</v>
      </c>
      <c r="L31" s="1">
        <v>0.37</v>
      </c>
      <c r="M31" s="1">
        <v>0.33</v>
      </c>
      <c r="N31" s="1">
        <v>0.27</v>
      </c>
    </row>
    <row r="32" spans="1:14" x14ac:dyDescent="0.3">
      <c r="A32" t="s">
        <v>321</v>
      </c>
      <c r="B32" t="s">
        <v>324</v>
      </c>
      <c r="C32" t="s">
        <v>240</v>
      </c>
      <c r="D32" s="1">
        <v>0.15</v>
      </c>
      <c r="E32" t="s">
        <v>72</v>
      </c>
      <c r="F32" s="1">
        <v>0.3</v>
      </c>
      <c r="G32" t="s">
        <v>73</v>
      </c>
      <c r="H32" s="1">
        <v>0.7</v>
      </c>
      <c r="I32" s="1">
        <f>SUMPRODUCT(H32:H35,F32:F35)*D32</f>
        <v>6.8250000000000005E-2</v>
      </c>
      <c r="J32" s="1">
        <v>0.35</v>
      </c>
      <c r="K32" s="1">
        <v>0.35</v>
      </c>
      <c r="L32" s="1">
        <v>0.32</v>
      </c>
      <c r="M32" s="1">
        <v>0.28000000000000003</v>
      </c>
      <c r="N32" s="1">
        <v>0.2</v>
      </c>
    </row>
    <row r="33" spans="1:14" x14ac:dyDescent="0.3">
      <c r="A33" t="s">
        <v>321</v>
      </c>
      <c r="B33" t="s">
        <v>324</v>
      </c>
      <c r="C33" t="s">
        <v>240</v>
      </c>
      <c r="D33" s="1">
        <v>0.15</v>
      </c>
      <c r="E33" t="s">
        <v>302</v>
      </c>
      <c r="F33" s="1">
        <v>0.25</v>
      </c>
      <c r="G33" t="s">
        <v>20</v>
      </c>
      <c r="H33" s="1">
        <v>0.6</v>
      </c>
      <c r="I33" s="1"/>
      <c r="J33" s="1">
        <v>0.35</v>
      </c>
      <c r="K33" s="1">
        <v>0.35</v>
      </c>
      <c r="L33" s="1">
        <v>0.32</v>
      </c>
      <c r="M33" s="1">
        <v>0.28000000000000003</v>
      </c>
      <c r="N33" s="1">
        <v>0.2</v>
      </c>
    </row>
    <row r="34" spans="1:14" x14ac:dyDescent="0.3">
      <c r="A34" t="s">
        <v>321</v>
      </c>
      <c r="B34" t="s">
        <v>324</v>
      </c>
      <c r="C34" t="s">
        <v>240</v>
      </c>
      <c r="D34" s="1">
        <v>0.15</v>
      </c>
      <c r="E34" t="s">
        <v>85</v>
      </c>
      <c r="F34" s="1">
        <v>0.25</v>
      </c>
      <c r="G34" t="s">
        <v>56</v>
      </c>
      <c r="H34" s="1">
        <v>0.3</v>
      </c>
      <c r="I34" s="1"/>
      <c r="J34" s="1">
        <v>0.35</v>
      </c>
      <c r="K34" s="1">
        <v>0.35</v>
      </c>
      <c r="L34" s="1">
        <v>0.32</v>
      </c>
      <c r="M34" s="1">
        <v>0.28000000000000003</v>
      </c>
      <c r="N34" s="1">
        <v>0.2</v>
      </c>
    </row>
    <row r="35" spans="1:14" x14ac:dyDescent="0.3">
      <c r="A35" t="s">
        <v>321</v>
      </c>
      <c r="B35" t="s">
        <v>324</v>
      </c>
      <c r="C35" t="s">
        <v>240</v>
      </c>
      <c r="D35" s="1">
        <v>0.15</v>
      </c>
      <c r="E35" t="s">
        <v>329</v>
      </c>
      <c r="F35" s="1">
        <v>0.2</v>
      </c>
      <c r="G35" t="s">
        <v>30</v>
      </c>
      <c r="H35" s="1">
        <v>0.1</v>
      </c>
      <c r="I35" s="1"/>
      <c r="J35" s="1">
        <v>0.35</v>
      </c>
      <c r="K35" s="1">
        <v>0.35</v>
      </c>
      <c r="L35" s="1">
        <v>0.32</v>
      </c>
      <c r="M35" s="1">
        <v>0.28000000000000003</v>
      </c>
      <c r="N35" s="1">
        <v>0.2</v>
      </c>
    </row>
    <row r="36" spans="1:14" x14ac:dyDescent="0.3">
      <c r="A36" t="s">
        <v>321</v>
      </c>
      <c r="B36" t="s">
        <v>324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0.65</v>
      </c>
      <c r="K36" s="1">
        <v>0.65</v>
      </c>
      <c r="L36" s="1">
        <v>0.6</v>
      </c>
      <c r="M36" s="1">
        <v>0.54</v>
      </c>
      <c r="N36" s="1">
        <v>0.43</v>
      </c>
    </row>
    <row r="37" spans="1:14" x14ac:dyDescent="0.3">
      <c r="A37" t="s">
        <v>321</v>
      </c>
      <c r="B37" t="s">
        <v>324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0.65</v>
      </c>
      <c r="K37" s="1">
        <v>0.65</v>
      </c>
      <c r="L37" s="1">
        <v>0.6</v>
      </c>
      <c r="M37" s="1">
        <v>0.54</v>
      </c>
      <c r="N37" s="1">
        <v>0.43</v>
      </c>
    </row>
    <row r="38" spans="1:14" x14ac:dyDescent="0.3">
      <c r="A38" t="s">
        <v>321</v>
      </c>
      <c r="B38" t="s">
        <v>324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0.65</v>
      </c>
      <c r="K38" s="1">
        <v>0.65</v>
      </c>
      <c r="L38" s="1">
        <v>0.6</v>
      </c>
      <c r="M38" s="1">
        <v>0.54</v>
      </c>
      <c r="N38" s="1">
        <v>0.43</v>
      </c>
    </row>
    <row r="39" spans="1:14" x14ac:dyDescent="0.3">
      <c r="A39" t="s">
        <v>321</v>
      </c>
      <c r="B39" t="s">
        <v>324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0.65</v>
      </c>
      <c r="K39" s="1">
        <v>0.65</v>
      </c>
      <c r="L39" s="1">
        <v>0.6</v>
      </c>
      <c r="M39" s="1">
        <v>0.54</v>
      </c>
      <c r="N39" s="1">
        <v>0.43</v>
      </c>
    </row>
    <row r="40" spans="1:14" x14ac:dyDescent="0.3">
      <c r="A40" t="s">
        <v>321</v>
      </c>
      <c r="B40" t="s">
        <v>324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0.45</v>
      </c>
      <c r="K40" s="1">
        <v>0.45</v>
      </c>
      <c r="L40" s="1">
        <v>0.42</v>
      </c>
      <c r="M40" s="1">
        <v>0.37</v>
      </c>
      <c r="N40" s="1">
        <v>0.28999999999999998</v>
      </c>
    </row>
    <row r="41" spans="1:14" x14ac:dyDescent="0.3">
      <c r="A41" t="s">
        <v>321</v>
      </c>
      <c r="B41" t="s">
        <v>324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0.45</v>
      </c>
      <c r="K41" s="1">
        <v>0.45</v>
      </c>
      <c r="L41" s="1">
        <v>0.42</v>
      </c>
      <c r="M41" s="1">
        <v>0.37</v>
      </c>
      <c r="N41" s="1">
        <v>0.28999999999999998</v>
      </c>
    </row>
    <row r="42" spans="1:14" x14ac:dyDescent="0.3">
      <c r="A42" t="s">
        <v>321</v>
      </c>
      <c r="B42" t="s">
        <v>324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0.45</v>
      </c>
      <c r="K42" s="1">
        <v>0.45</v>
      </c>
      <c r="L42" s="1">
        <v>0.42</v>
      </c>
      <c r="M42" s="1">
        <v>0.37</v>
      </c>
      <c r="N42" s="1">
        <v>0.28999999999999998</v>
      </c>
    </row>
    <row r="43" spans="1:14" x14ac:dyDescent="0.3">
      <c r="A43" t="s">
        <v>321</v>
      </c>
      <c r="B43" t="s">
        <v>324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0.45</v>
      </c>
      <c r="K43" s="1">
        <v>0.45</v>
      </c>
      <c r="L43" s="1">
        <v>0.42</v>
      </c>
      <c r="M43" s="1">
        <v>0.37</v>
      </c>
      <c r="N43" s="1">
        <v>0.28999999999999998</v>
      </c>
    </row>
    <row r="44" spans="1:14" x14ac:dyDescent="0.3">
      <c r="A44" t="s">
        <v>321</v>
      </c>
      <c r="B44" t="s">
        <v>324</v>
      </c>
      <c r="C44" t="s">
        <v>37</v>
      </c>
      <c r="D44" s="1">
        <v>0.1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8.1000000000000016E-2</v>
      </c>
      <c r="J44" s="1">
        <v>0.65</v>
      </c>
      <c r="K44" s="1">
        <v>0.65</v>
      </c>
      <c r="L44" s="1">
        <v>0.61</v>
      </c>
      <c r="M44" s="1">
        <v>0.55000000000000004</v>
      </c>
      <c r="N44" s="1">
        <v>0.44</v>
      </c>
    </row>
    <row r="45" spans="1:14" x14ac:dyDescent="0.3">
      <c r="A45" t="s">
        <v>321</v>
      </c>
      <c r="B45" t="s">
        <v>324</v>
      </c>
      <c r="C45" t="s">
        <v>37</v>
      </c>
      <c r="D45" s="1">
        <v>0.1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0.65</v>
      </c>
      <c r="K45" s="1">
        <v>0.65</v>
      </c>
      <c r="L45" s="1">
        <v>0.61</v>
      </c>
      <c r="M45" s="1">
        <v>0.55000000000000004</v>
      </c>
      <c r="N45" s="1">
        <v>0.44</v>
      </c>
    </row>
    <row r="46" spans="1:14" x14ac:dyDescent="0.3">
      <c r="A46" t="s">
        <v>321</v>
      </c>
      <c r="B46" t="s">
        <v>324</v>
      </c>
      <c r="C46" t="s">
        <v>37</v>
      </c>
      <c r="D46" s="1">
        <v>0.1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0.65</v>
      </c>
      <c r="K46" s="1">
        <v>0.65</v>
      </c>
      <c r="L46" s="1">
        <v>0.61</v>
      </c>
      <c r="M46" s="1">
        <v>0.55000000000000004</v>
      </c>
      <c r="N46" s="1">
        <v>0.44</v>
      </c>
    </row>
    <row r="47" spans="1:14" x14ac:dyDescent="0.3">
      <c r="A47" t="s">
        <v>321</v>
      </c>
      <c r="B47" t="s">
        <v>324</v>
      </c>
      <c r="C47" t="s">
        <v>37</v>
      </c>
      <c r="D47" s="1">
        <v>0.1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0.65</v>
      </c>
      <c r="K47" s="1">
        <v>0.65</v>
      </c>
      <c r="L47" s="1">
        <v>0.61</v>
      </c>
      <c r="M47" s="1">
        <v>0.55000000000000004</v>
      </c>
      <c r="N47" s="1">
        <v>0.44</v>
      </c>
    </row>
    <row r="48" spans="1:14" x14ac:dyDescent="0.3">
      <c r="A48" t="s">
        <v>321</v>
      </c>
      <c r="B48" t="s">
        <v>324</v>
      </c>
      <c r="C48" t="s">
        <v>151</v>
      </c>
      <c r="D48" s="1">
        <v>0.15</v>
      </c>
      <c r="E48" t="s">
        <v>123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0.42</v>
      </c>
      <c r="K48" s="1">
        <v>0.42</v>
      </c>
      <c r="L48" s="1">
        <v>0.39</v>
      </c>
      <c r="M48" s="1">
        <v>0.34</v>
      </c>
      <c r="N48" s="1">
        <v>0.26</v>
      </c>
    </row>
    <row r="49" spans="1:14" x14ac:dyDescent="0.3">
      <c r="A49" t="s">
        <v>321</v>
      </c>
      <c r="B49" t="s">
        <v>324</v>
      </c>
      <c r="C49" t="s">
        <v>151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0.42</v>
      </c>
      <c r="K49" s="1">
        <v>0.42</v>
      </c>
      <c r="L49" s="1">
        <v>0.39</v>
      </c>
      <c r="M49" s="1">
        <v>0.34</v>
      </c>
      <c r="N49" s="1">
        <v>0.26</v>
      </c>
    </row>
    <row r="50" spans="1:14" x14ac:dyDescent="0.3">
      <c r="A50" t="s">
        <v>321</v>
      </c>
      <c r="B50" t="s">
        <v>324</v>
      </c>
      <c r="C50" t="s">
        <v>151</v>
      </c>
      <c r="D50" s="1">
        <v>0.15</v>
      </c>
      <c r="E50" t="s">
        <v>210</v>
      </c>
      <c r="F50" s="1">
        <v>0.25</v>
      </c>
      <c r="G50" t="s">
        <v>30</v>
      </c>
      <c r="H50" s="1">
        <v>0.1</v>
      </c>
      <c r="I50" s="1"/>
      <c r="J50" s="1">
        <v>0.42</v>
      </c>
      <c r="K50" s="1">
        <v>0.42</v>
      </c>
      <c r="L50" s="1">
        <v>0.39</v>
      </c>
      <c r="M50" s="1">
        <v>0.34</v>
      </c>
      <c r="N50" s="1">
        <v>0.26</v>
      </c>
    </row>
    <row r="51" spans="1:14" x14ac:dyDescent="0.3">
      <c r="A51" t="s">
        <v>321</v>
      </c>
      <c r="B51" t="s">
        <v>324</v>
      </c>
      <c r="C51" t="s">
        <v>151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0.42</v>
      </c>
      <c r="K51" s="1">
        <v>0.42</v>
      </c>
      <c r="L51" s="1">
        <v>0.39</v>
      </c>
      <c r="M51" s="1">
        <v>0.34</v>
      </c>
      <c r="N51" s="1">
        <v>0.26</v>
      </c>
    </row>
    <row r="52" spans="1:14" x14ac:dyDescent="0.3">
      <c r="D52" s="1"/>
      <c r="F52" s="1"/>
      <c r="H52" s="1"/>
      <c r="I52" s="2">
        <f>SUM(I28:I51)</f>
        <v>0.62587500000000007</v>
      </c>
      <c r="J52" s="2">
        <f>+J32*$D32+J36*$D36+J40*$D40+J44*$D44+J48*$D48+$D28*J28</f>
        <v>0.47799999999999998</v>
      </c>
      <c r="K52" s="2">
        <f t="shared" ref="K52:N52" si="1">+K32*$D32+K36*$D36+K40*$D40+K44*$D44+K48*$D48+$D28*K28</f>
        <v>0.47799999999999998</v>
      </c>
      <c r="L52" s="2">
        <f t="shared" si="1"/>
        <v>0.44299999999999995</v>
      </c>
      <c r="M52" s="2">
        <f t="shared" si="1"/>
        <v>0.39400000000000002</v>
      </c>
      <c r="N52" s="2">
        <f t="shared" si="1"/>
        <v>0.31000000000000005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321</v>
      </c>
      <c r="B54" t="s">
        <v>330</v>
      </c>
      <c r="C54" t="s">
        <v>141</v>
      </c>
      <c r="D54" s="1">
        <v>0.3</v>
      </c>
      <c r="E54" t="s">
        <v>331</v>
      </c>
      <c r="F54" s="1">
        <v>0.25</v>
      </c>
      <c r="G54" t="s">
        <v>28</v>
      </c>
      <c r="H54" s="1">
        <v>0.7</v>
      </c>
      <c r="I54" s="1">
        <f>SUMPRODUCT(H54:H57,F54:F57)*D54</f>
        <v>0.156</v>
      </c>
      <c r="J54" s="1">
        <v>0.38</v>
      </c>
      <c r="K54" s="1">
        <v>0.38</v>
      </c>
      <c r="L54" s="1">
        <v>0.35</v>
      </c>
      <c r="M54" s="1">
        <v>0.31</v>
      </c>
      <c r="N54" s="1">
        <v>0.24</v>
      </c>
    </row>
    <row r="55" spans="1:14" x14ac:dyDescent="0.3">
      <c r="A55" t="s">
        <v>321</v>
      </c>
      <c r="B55" t="s">
        <v>330</v>
      </c>
      <c r="C55" t="s">
        <v>141</v>
      </c>
      <c r="D55" s="1">
        <v>0.3</v>
      </c>
      <c r="E55" t="s">
        <v>332</v>
      </c>
      <c r="F55" s="1">
        <v>0.35</v>
      </c>
      <c r="G55" t="s">
        <v>30</v>
      </c>
      <c r="H55" s="1">
        <v>0.1</v>
      </c>
      <c r="I55" s="1"/>
      <c r="J55" s="1">
        <v>0.38</v>
      </c>
      <c r="K55" s="1">
        <v>0.38</v>
      </c>
      <c r="L55" s="1">
        <v>0.35</v>
      </c>
      <c r="M55" s="1">
        <v>0.31</v>
      </c>
      <c r="N55" s="1">
        <v>0.24</v>
      </c>
    </row>
    <row r="56" spans="1:14" x14ac:dyDescent="0.3">
      <c r="A56" t="s">
        <v>321</v>
      </c>
      <c r="B56" t="s">
        <v>330</v>
      </c>
      <c r="C56" t="s">
        <v>141</v>
      </c>
      <c r="D56" s="1">
        <v>0.3</v>
      </c>
      <c r="E56" t="s">
        <v>333</v>
      </c>
      <c r="F56" s="1">
        <v>0.2</v>
      </c>
      <c r="G56" t="s">
        <v>20</v>
      </c>
      <c r="H56" s="1">
        <v>0.6</v>
      </c>
      <c r="I56" s="1"/>
      <c r="J56" s="1">
        <v>0.38</v>
      </c>
      <c r="K56" s="1">
        <v>0.38</v>
      </c>
      <c r="L56" s="1">
        <v>0.35</v>
      </c>
      <c r="M56" s="1">
        <v>0.31</v>
      </c>
      <c r="N56" s="1">
        <v>0.24</v>
      </c>
    </row>
    <row r="57" spans="1:14" x14ac:dyDescent="0.3">
      <c r="A57" t="s">
        <v>321</v>
      </c>
      <c r="B57" t="s">
        <v>330</v>
      </c>
      <c r="C57" t="s">
        <v>141</v>
      </c>
      <c r="D57" s="1">
        <v>0.3</v>
      </c>
      <c r="E57" t="s">
        <v>108</v>
      </c>
      <c r="F57" s="1">
        <v>0.2</v>
      </c>
      <c r="G57" t="s">
        <v>24</v>
      </c>
      <c r="H57" s="1">
        <v>0.95</v>
      </c>
      <c r="I57" s="1"/>
      <c r="J57" s="1">
        <v>0.38</v>
      </c>
      <c r="K57" s="1">
        <v>0.38</v>
      </c>
      <c r="L57" s="1">
        <v>0.35</v>
      </c>
      <c r="M57" s="1">
        <v>0.31</v>
      </c>
      <c r="N57" s="1">
        <v>0.24</v>
      </c>
    </row>
    <row r="58" spans="1:14" x14ac:dyDescent="0.3">
      <c r="A58" t="s">
        <v>321</v>
      </c>
      <c r="B58" t="s">
        <v>330</v>
      </c>
      <c r="C58" t="s">
        <v>334</v>
      </c>
      <c r="D58" s="1">
        <v>0.15</v>
      </c>
      <c r="E58" t="s">
        <v>335</v>
      </c>
      <c r="F58" s="1">
        <v>0.3</v>
      </c>
      <c r="G58" t="s">
        <v>73</v>
      </c>
      <c r="H58" s="1">
        <v>0.7</v>
      </c>
      <c r="I58" s="1">
        <f>SUMPRODUCT(H58:H61,F58:F61)*D58</f>
        <v>6.8250000000000005E-2</v>
      </c>
      <c r="J58" s="1">
        <v>0.33</v>
      </c>
      <c r="K58" s="1">
        <v>0.33</v>
      </c>
      <c r="L58" s="1">
        <v>0.3</v>
      </c>
      <c r="M58" s="1">
        <v>0.26</v>
      </c>
      <c r="N58" s="1">
        <v>0.19</v>
      </c>
    </row>
    <row r="59" spans="1:14" x14ac:dyDescent="0.3">
      <c r="A59" t="s">
        <v>321</v>
      </c>
      <c r="B59" t="s">
        <v>330</v>
      </c>
      <c r="C59" t="s">
        <v>334</v>
      </c>
      <c r="D59" s="1">
        <v>0.15</v>
      </c>
      <c r="E59" t="s">
        <v>336</v>
      </c>
      <c r="F59" s="1">
        <v>0.25</v>
      </c>
      <c r="G59" t="s">
        <v>20</v>
      </c>
      <c r="H59" s="1">
        <v>0.6</v>
      </c>
      <c r="I59" s="1"/>
      <c r="J59" s="1">
        <v>0.33</v>
      </c>
      <c r="K59" s="1">
        <v>0.33</v>
      </c>
      <c r="L59" s="1">
        <v>0.3</v>
      </c>
      <c r="M59" s="1">
        <v>0.26</v>
      </c>
      <c r="N59" s="1">
        <v>0.19</v>
      </c>
    </row>
    <row r="60" spans="1:14" x14ac:dyDescent="0.3">
      <c r="A60" t="s">
        <v>321</v>
      </c>
      <c r="B60" t="s">
        <v>330</v>
      </c>
      <c r="C60" t="s">
        <v>334</v>
      </c>
      <c r="D60" s="1">
        <v>0.15</v>
      </c>
      <c r="E60" t="s">
        <v>337</v>
      </c>
      <c r="F60" s="1">
        <v>0.25</v>
      </c>
      <c r="G60" t="s">
        <v>56</v>
      </c>
      <c r="H60" s="1">
        <v>0.3</v>
      </c>
      <c r="I60" s="1"/>
      <c r="J60" s="1">
        <v>0.33</v>
      </c>
      <c r="K60" s="1">
        <v>0.33</v>
      </c>
      <c r="L60" s="1">
        <v>0.3</v>
      </c>
      <c r="M60" s="1">
        <v>0.26</v>
      </c>
      <c r="N60" s="1">
        <v>0.19</v>
      </c>
    </row>
    <row r="61" spans="1:14" x14ac:dyDescent="0.3">
      <c r="A61" t="s">
        <v>321</v>
      </c>
      <c r="B61" t="s">
        <v>330</v>
      </c>
      <c r="C61" t="s">
        <v>334</v>
      </c>
      <c r="D61" s="1">
        <v>0.15</v>
      </c>
      <c r="E61" t="s">
        <v>76</v>
      </c>
      <c r="F61" s="1">
        <v>0.2</v>
      </c>
      <c r="G61" t="s">
        <v>30</v>
      </c>
      <c r="H61" s="1">
        <v>0.1</v>
      </c>
      <c r="I61" s="1"/>
      <c r="J61" s="1">
        <v>0.33</v>
      </c>
      <c r="K61" s="1">
        <v>0.33</v>
      </c>
      <c r="L61" s="1">
        <v>0.3</v>
      </c>
      <c r="M61" s="1">
        <v>0.26</v>
      </c>
      <c r="N61" s="1">
        <v>0.19</v>
      </c>
    </row>
    <row r="62" spans="1:14" x14ac:dyDescent="0.3">
      <c r="A62" t="s">
        <v>321</v>
      </c>
      <c r="B62" t="s">
        <v>330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0.62</v>
      </c>
      <c r="K62" s="1">
        <v>0.62</v>
      </c>
      <c r="L62" s="1">
        <v>0.56999999999999995</v>
      </c>
      <c r="M62" s="1">
        <v>0.51</v>
      </c>
      <c r="N62" s="1">
        <v>0.39</v>
      </c>
    </row>
    <row r="63" spans="1:14" x14ac:dyDescent="0.3">
      <c r="A63" t="s">
        <v>321</v>
      </c>
      <c r="B63" t="s">
        <v>330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0.62</v>
      </c>
      <c r="K63" s="1">
        <v>0.62</v>
      </c>
      <c r="L63" s="1">
        <v>0.56999999999999995</v>
      </c>
      <c r="M63" s="1">
        <v>0.51</v>
      </c>
      <c r="N63" s="1">
        <v>0.39</v>
      </c>
    </row>
    <row r="64" spans="1:14" x14ac:dyDescent="0.3">
      <c r="A64" t="s">
        <v>321</v>
      </c>
      <c r="B64" t="s">
        <v>330</v>
      </c>
      <c r="C64" t="s">
        <v>16</v>
      </c>
      <c r="D64" s="1">
        <v>0.2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0.62</v>
      </c>
      <c r="K64" s="1">
        <v>0.62</v>
      </c>
      <c r="L64" s="1">
        <v>0.56999999999999995</v>
      </c>
      <c r="M64" s="1">
        <v>0.51</v>
      </c>
      <c r="N64" s="1">
        <v>0.39</v>
      </c>
    </row>
    <row r="65" spans="1:14" x14ac:dyDescent="0.3">
      <c r="A65" t="s">
        <v>321</v>
      </c>
      <c r="B65" t="s">
        <v>330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0.62</v>
      </c>
      <c r="K65" s="1">
        <v>0.62</v>
      </c>
      <c r="L65" s="1">
        <v>0.56999999999999995</v>
      </c>
      <c r="M65" s="1">
        <v>0.51</v>
      </c>
      <c r="N65" s="1">
        <v>0.39</v>
      </c>
    </row>
    <row r="66" spans="1:14" x14ac:dyDescent="0.3">
      <c r="A66" t="s">
        <v>321</v>
      </c>
      <c r="B66" t="s">
        <v>330</v>
      </c>
      <c r="C66" t="s">
        <v>25</v>
      </c>
      <c r="D66" s="1">
        <v>0.1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6.2000000000000013E-2</v>
      </c>
      <c r="J66" s="1">
        <v>0.43</v>
      </c>
      <c r="K66" s="1">
        <v>0.43</v>
      </c>
      <c r="L66" s="1">
        <v>0.4</v>
      </c>
      <c r="M66" s="1">
        <v>0.35</v>
      </c>
      <c r="N66" s="1">
        <v>0.26</v>
      </c>
    </row>
    <row r="67" spans="1:14" x14ac:dyDescent="0.3">
      <c r="A67" t="s">
        <v>321</v>
      </c>
      <c r="B67" t="s">
        <v>330</v>
      </c>
      <c r="C67" t="s">
        <v>25</v>
      </c>
      <c r="D67" s="1">
        <v>0.1</v>
      </c>
      <c r="E67" t="s">
        <v>27</v>
      </c>
      <c r="F67" s="1">
        <v>0.25</v>
      </c>
      <c r="G67" t="s">
        <v>28</v>
      </c>
      <c r="H67" s="1">
        <v>0.7</v>
      </c>
      <c r="I67" s="1"/>
      <c r="J67" s="1">
        <v>0.43</v>
      </c>
      <c r="K67" s="1">
        <v>0.43</v>
      </c>
      <c r="L67" s="1">
        <v>0.4</v>
      </c>
      <c r="M67" s="1">
        <v>0.35</v>
      </c>
      <c r="N67" s="1">
        <v>0.26</v>
      </c>
    </row>
    <row r="68" spans="1:14" x14ac:dyDescent="0.3">
      <c r="A68" t="s">
        <v>321</v>
      </c>
      <c r="B68" t="s">
        <v>330</v>
      </c>
      <c r="C68" t="s">
        <v>25</v>
      </c>
      <c r="D68" s="1">
        <v>0.1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0.43</v>
      </c>
      <c r="K68" s="1">
        <v>0.43</v>
      </c>
      <c r="L68" s="1">
        <v>0.4</v>
      </c>
      <c r="M68" s="1">
        <v>0.35</v>
      </c>
      <c r="N68" s="1">
        <v>0.26</v>
      </c>
    </row>
    <row r="69" spans="1:14" x14ac:dyDescent="0.3">
      <c r="A69" t="s">
        <v>321</v>
      </c>
      <c r="B69" t="s">
        <v>330</v>
      </c>
      <c r="C69" t="s">
        <v>25</v>
      </c>
      <c r="D69" s="1">
        <v>0.1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0.43</v>
      </c>
      <c r="K69" s="1">
        <v>0.43</v>
      </c>
      <c r="L69" s="1">
        <v>0.4</v>
      </c>
      <c r="M69" s="1">
        <v>0.35</v>
      </c>
      <c r="N69" s="1">
        <v>0.26</v>
      </c>
    </row>
    <row r="70" spans="1:14" x14ac:dyDescent="0.3">
      <c r="A70" t="s">
        <v>321</v>
      </c>
      <c r="B70" t="s">
        <v>330</v>
      </c>
      <c r="C70" t="s">
        <v>37</v>
      </c>
      <c r="D70" s="1">
        <v>0.1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8.1000000000000016E-2</v>
      </c>
      <c r="J70" s="1">
        <v>0.62</v>
      </c>
      <c r="K70" s="1">
        <v>0.62</v>
      </c>
      <c r="L70" s="1">
        <v>0.57999999999999996</v>
      </c>
      <c r="M70" s="1">
        <v>0.52</v>
      </c>
      <c r="N70" s="1">
        <v>0.4</v>
      </c>
    </row>
    <row r="71" spans="1:14" x14ac:dyDescent="0.3">
      <c r="A71" t="s">
        <v>321</v>
      </c>
      <c r="B71" t="s">
        <v>330</v>
      </c>
      <c r="C71" t="s">
        <v>37</v>
      </c>
      <c r="D71" s="1">
        <v>0.1</v>
      </c>
      <c r="E71" t="s">
        <v>39</v>
      </c>
      <c r="F71" s="1">
        <v>0.25</v>
      </c>
      <c r="G71" t="s">
        <v>40</v>
      </c>
      <c r="H71" s="1">
        <v>0.7</v>
      </c>
      <c r="I71" s="1"/>
      <c r="J71" s="1">
        <v>0.62</v>
      </c>
      <c r="K71" s="1">
        <v>0.62</v>
      </c>
      <c r="L71" s="1">
        <v>0.57999999999999996</v>
      </c>
      <c r="M71" s="1">
        <v>0.52</v>
      </c>
      <c r="N71" s="1">
        <v>0.4</v>
      </c>
    </row>
    <row r="72" spans="1:14" x14ac:dyDescent="0.3">
      <c r="A72" t="s">
        <v>321</v>
      </c>
      <c r="B72" t="s">
        <v>330</v>
      </c>
      <c r="C72" t="s">
        <v>37</v>
      </c>
      <c r="D72" s="1">
        <v>0.1</v>
      </c>
      <c r="E72" t="s">
        <v>150</v>
      </c>
      <c r="F72" s="1">
        <v>0.25</v>
      </c>
      <c r="G72" t="s">
        <v>28</v>
      </c>
      <c r="H72" s="1">
        <v>0.7</v>
      </c>
      <c r="I72" s="1"/>
      <c r="J72" s="1">
        <v>0.62</v>
      </c>
      <c r="K72" s="1">
        <v>0.62</v>
      </c>
      <c r="L72" s="1">
        <v>0.57999999999999996</v>
      </c>
      <c r="M72" s="1">
        <v>0.52</v>
      </c>
      <c r="N72" s="1">
        <v>0.4</v>
      </c>
    </row>
    <row r="73" spans="1:14" x14ac:dyDescent="0.3">
      <c r="A73" t="s">
        <v>321</v>
      </c>
      <c r="B73" t="s">
        <v>330</v>
      </c>
      <c r="C73" t="s">
        <v>37</v>
      </c>
      <c r="D73" s="1">
        <v>0.1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0.62</v>
      </c>
      <c r="K73" s="1">
        <v>0.62</v>
      </c>
      <c r="L73" s="1">
        <v>0.57999999999999996</v>
      </c>
      <c r="M73" s="1">
        <v>0.52</v>
      </c>
      <c r="N73" s="1">
        <v>0.4</v>
      </c>
    </row>
    <row r="74" spans="1:14" x14ac:dyDescent="0.3">
      <c r="A74" t="s">
        <v>321</v>
      </c>
      <c r="B74" t="s">
        <v>330</v>
      </c>
      <c r="C74" t="s">
        <v>136</v>
      </c>
      <c r="D74" s="1">
        <v>0.15</v>
      </c>
      <c r="E74" t="s">
        <v>287</v>
      </c>
      <c r="F74" s="1">
        <v>0.25</v>
      </c>
      <c r="G74" t="s">
        <v>40</v>
      </c>
      <c r="H74" s="1">
        <v>0.7</v>
      </c>
      <c r="I74" s="1">
        <f>SUMPRODUCT(H74:H77,F74:F77)*D74</f>
        <v>9.0374999999999997E-2</v>
      </c>
      <c r="J74" s="1">
        <v>0.4</v>
      </c>
      <c r="K74" s="1">
        <v>0.4</v>
      </c>
      <c r="L74" s="1">
        <v>0.37</v>
      </c>
      <c r="M74" s="1">
        <v>0.32</v>
      </c>
      <c r="N74" s="1">
        <v>0.24</v>
      </c>
    </row>
    <row r="75" spans="1:14" x14ac:dyDescent="0.3">
      <c r="A75" t="s">
        <v>321</v>
      </c>
      <c r="B75" t="s">
        <v>330</v>
      </c>
      <c r="C75" t="s">
        <v>136</v>
      </c>
      <c r="D75" s="1">
        <v>0.15</v>
      </c>
      <c r="E75" t="s">
        <v>50</v>
      </c>
      <c r="F75" s="1">
        <v>0.25</v>
      </c>
      <c r="G75" t="s">
        <v>20</v>
      </c>
      <c r="H75" s="1">
        <v>0.6</v>
      </c>
      <c r="I75" s="1"/>
      <c r="J75" s="1">
        <v>0.4</v>
      </c>
      <c r="K75" s="1">
        <v>0.4</v>
      </c>
      <c r="L75" s="1">
        <v>0.37</v>
      </c>
      <c r="M75" s="1">
        <v>0.32</v>
      </c>
      <c r="N75" s="1">
        <v>0.24</v>
      </c>
    </row>
    <row r="76" spans="1:14" x14ac:dyDescent="0.3">
      <c r="A76" t="s">
        <v>321</v>
      </c>
      <c r="B76" t="s">
        <v>330</v>
      </c>
      <c r="C76" t="s">
        <v>338</v>
      </c>
      <c r="D76" s="1">
        <v>0.25</v>
      </c>
      <c r="E76" t="s">
        <v>30</v>
      </c>
      <c r="F76" s="1">
        <v>0.1</v>
      </c>
      <c r="G76" s="1">
        <v>0.59</v>
      </c>
      <c r="H76" s="1">
        <v>0.4</v>
      </c>
      <c r="I76" s="1"/>
      <c r="J76" s="1">
        <v>0.37</v>
      </c>
      <c r="K76" s="1">
        <v>0.32</v>
      </c>
      <c r="L76" s="1">
        <v>0.24</v>
      </c>
    </row>
    <row r="77" spans="1:14" x14ac:dyDescent="0.3">
      <c r="A77" t="s">
        <v>321</v>
      </c>
      <c r="B77" t="s">
        <v>330</v>
      </c>
      <c r="C77" t="s">
        <v>136</v>
      </c>
      <c r="D77" s="1">
        <v>0.15</v>
      </c>
      <c r="E77" t="s">
        <v>197</v>
      </c>
      <c r="F77" s="1">
        <v>0.25</v>
      </c>
      <c r="G77" t="s">
        <v>24</v>
      </c>
      <c r="H77" s="1">
        <v>0.95</v>
      </c>
      <c r="I77" s="1"/>
      <c r="J77" s="1">
        <v>0.4</v>
      </c>
      <c r="K77" s="1">
        <v>0.4</v>
      </c>
      <c r="L77" s="1">
        <v>0.37</v>
      </c>
      <c r="M77" s="1">
        <v>0.32</v>
      </c>
      <c r="N77" s="1">
        <v>0.24</v>
      </c>
    </row>
    <row r="78" spans="1:14" x14ac:dyDescent="0.3">
      <c r="D78" s="1"/>
      <c r="F78" s="1"/>
      <c r="H78" s="1"/>
      <c r="I78" s="2">
        <f>SUM(I54:I77)</f>
        <v>0.62312500000000004</v>
      </c>
      <c r="J78" s="2">
        <f>+J58*$D58+J62*$D62+J66*$D66+J70*$D70+J74*$D74+$D54*J54</f>
        <v>0.45249999999999996</v>
      </c>
      <c r="K78" s="2">
        <f t="shared" ref="K78:N78" si="2">+K58*$D58+K62*$D62+K66*$D66+K70*$D70+K74*$D74+$D54*K54</f>
        <v>0.45249999999999996</v>
      </c>
      <c r="L78" s="2">
        <f t="shared" si="2"/>
        <v>0.41749999999999998</v>
      </c>
      <c r="M78" s="2">
        <f t="shared" si="2"/>
        <v>0.36899999999999999</v>
      </c>
      <c r="N78" s="2">
        <f t="shared" si="2"/>
        <v>0.28050000000000003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321</v>
      </c>
      <c r="B80" t="s">
        <v>339</v>
      </c>
      <c r="C80" t="s">
        <v>61</v>
      </c>
      <c r="D80" s="1">
        <v>0.3</v>
      </c>
      <c r="E80" t="s">
        <v>340</v>
      </c>
      <c r="F80" s="1">
        <v>0.35</v>
      </c>
      <c r="G80" t="s">
        <v>18</v>
      </c>
      <c r="H80" s="1">
        <v>0.9</v>
      </c>
      <c r="I80" s="1">
        <f>SUMPRODUCT(H80:H83,F80:F83)*D80</f>
        <v>0.255</v>
      </c>
      <c r="J80" s="1">
        <v>0.65</v>
      </c>
      <c r="K80" s="1">
        <v>0.65</v>
      </c>
      <c r="L80" s="1">
        <v>0.6</v>
      </c>
      <c r="M80" s="1">
        <v>0.53</v>
      </c>
      <c r="N80" s="1">
        <v>0.4</v>
      </c>
    </row>
    <row r="81" spans="1:14" x14ac:dyDescent="0.3">
      <c r="A81" t="s">
        <v>321</v>
      </c>
      <c r="B81" t="s">
        <v>339</v>
      </c>
      <c r="C81" t="s">
        <v>61</v>
      </c>
      <c r="D81" s="1">
        <v>0.3</v>
      </c>
      <c r="E81" t="s">
        <v>341</v>
      </c>
      <c r="F81" s="1">
        <v>0.25</v>
      </c>
      <c r="G81" t="s">
        <v>18</v>
      </c>
      <c r="H81" s="1">
        <v>0.9</v>
      </c>
      <c r="I81" s="1"/>
      <c r="J81" s="1">
        <v>0.65</v>
      </c>
      <c r="K81" s="1">
        <v>0.65</v>
      </c>
      <c r="L81" s="1">
        <v>0.6</v>
      </c>
      <c r="M81" s="1">
        <v>0.53</v>
      </c>
      <c r="N81" s="1">
        <v>0.4</v>
      </c>
    </row>
    <row r="82" spans="1:14" x14ac:dyDescent="0.3">
      <c r="A82" t="s">
        <v>321</v>
      </c>
      <c r="B82" t="s">
        <v>339</v>
      </c>
      <c r="C82" t="s">
        <v>61</v>
      </c>
      <c r="D82" s="1">
        <v>0.3</v>
      </c>
      <c r="E82" t="s">
        <v>112</v>
      </c>
      <c r="F82" s="1">
        <v>0.2</v>
      </c>
      <c r="G82" t="s">
        <v>20</v>
      </c>
      <c r="H82" s="1">
        <v>0.6</v>
      </c>
      <c r="I82" s="1"/>
      <c r="J82" s="1">
        <v>0.65</v>
      </c>
      <c r="K82" s="1">
        <v>0.65</v>
      </c>
      <c r="L82" s="1">
        <v>0.6</v>
      </c>
      <c r="M82" s="1">
        <v>0.53</v>
      </c>
      <c r="N82" s="1">
        <v>0.4</v>
      </c>
    </row>
    <row r="83" spans="1:14" x14ac:dyDescent="0.3">
      <c r="A83" t="s">
        <v>321</v>
      </c>
      <c r="B83" t="s">
        <v>339</v>
      </c>
      <c r="C83" t="s">
        <v>61</v>
      </c>
      <c r="D83" s="1">
        <v>0.3</v>
      </c>
      <c r="E83" t="s">
        <v>342</v>
      </c>
      <c r="F83" s="1">
        <v>0.2</v>
      </c>
      <c r="G83" t="s">
        <v>24</v>
      </c>
      <c r="H83" s="1">
        <v>0.95</v>
      </c>
      <c r="I83" s="1"/>
      <c r="J83" s="1">
        <v>0.65</v>
      </c>
      <c r="K83" s="1">
        <v>0.65</v>
      </c>
      <c r="L83" s="1">
        <v>0.6</v>
      </c>
      <c r="M83" s="1">
        <v>0.53</v>
      </c>
      <c r="N83" s="1">
        <v>0.4</v>
      </c>
    </row>
    <row r="84" spans="1:14" x14ac:dyDescent="0.3">
      <c r="A84" t="s">
        <v>321</v>
      </c>
      <c r="B84" t="s">
        <v>339</v>
      </c>
      <c r="C84" t="s">
        <v>343</v>
      </c>
      <c r="D84" s="1">
        <v>0.2</v>
      </c>
      <c r="E84" t="s">
        <v>344</v>
      </c>
      <c r="F84" s="1">
        <v>0.25</v>
      </c>
      <c r="G84" t="s">
        <v>28</v>
      </c>
      <c r="H84" s="1">
        <v>0.7</v>
      </c>
      <c r="I84" s="1">
        <f>SUMPRODUCT(H84:H87,F84:F87)*D84</f>
        <v>9.4E-2</v>
      </c>
      <c r="J84" s="1">
        <v>0.38</v>
      </c>
      <c r="K84" s="1">
        <v>0.38</v>
      </c>
      <c r="L84" s="1">
        <v>0.35</v>
      </c>
      <c r="M84" s="1">
        <v>0.3</v>
      </c>
      <c r="N84" s="1">
        <v>0.22</v>
      </c>
    </row>
    <row r="85" spans="1:14" x14ac:dyDescent="0.3">
      <c r="A85" t="s">
        <v>321</v>
      </c>
      <c r="B85" t="s">
        <v>339</v>
      </c>
      <c r="C85" t="s">
        <v>343</v>
      </c>
      <c r="D85" s="1">
        <v>0.2</v>
      </c>
      <c r="E85" t="s">
        <v>345</v>
      </c>
      <c r="F85" s="1">
        <v>0.35</v>
      </c>
      <c r="G85" t="s">
        <v>30</v>
      </c>
      <c r="H85" s="1">
        <v>0.1</v>
      </c>
      <c r="I85" s="1"/>
      <c r="J85" s="1">
        <v>0.38</v>
      </c>
      <c r="K85" s="1">
        <v>0.38</v>
      </c>
      <c r="L85" s="1">
        <v>0.35</v>
      </c>
      <c r="M85" s="1">
        <v>0.3</v>
      </c>
      <c r="N85" s="1">
        <v>0.22</v>
      </c>
    </row>
    <row r="86" spans="1:14" x14ac:dyDescent="0.3">
      <c r="A86" t="s">
        <v>321</v>
      </c>
      <c r="B86" t="s">
        <v>339</v>
      </c>
      <c r="C86" t="s">
        <v>343</v>
      </c>
      <c r="D86" s="1">
        <v>0.2</v>
      </c>
      <c r="E86" t="s">
        <v>346</v>
      </c>
      <c r="F86" s="1">
        <v>0.2</v>
      </c>
      <c r="G86" t="s">
        <v>20</v>
      </c>
      <c r="H86" s="1">
        <v>0.6</v>
      </c>
      <c r="I86" s="1"/>
      <c r="J86" s="1">
        <v>0.38</v>
      </c>
      <c r="K86" s="1">
        <v>0.38</v>
      </c>
      <c r="L86" s="1">
        <v>0.35</v>
      </c>
      <c r="M86" s="1">
        <v>0.3</v>
      </c>
      <c r="N86" s="1">
        <v>0.22</v>
      </c>
    </row>
    <row r="87" spans="1:14" x14ac:dyDescent="0.3">
      <c r="A87" t="s">
        <v>321</v>
      </c>
      <c r="B87" t="s">
        <v>339</v>
      </c>
      <c r="C87" t="s">
        <v>343</v>
      </c>
      <c r="D87" s="1">
        <v>0.2</v>
      </c>
      <c r="E87" t="s">
        <v>347</v>
      </c>
      <c r="F87" s="1">
        <v>0.2</v>
      </c>
      <c r="G87" t="s">
        <v>73</v>
      </c>
      <c r="H87" s="1">
        <v>0.7</v>
      </c>
      <c r="I87" s="1"/>
      <c r="J87" s="1">
        <v>0.38</v>
      </c>
      <c r="K87" s="1">
        <v>0.38</v>
      </c>
      <c r="L87" s="1">
        <v>0.35</v>
      </c>
      <c r="M87" s="1">
        <v>0.3</v>
      </c>
      <c r="N87" s="1">
        <v>0.22</v>
      </c>
    </row>
    <row r="88" spans="1:14" x14ac:dyDescent="0.3">
      <c r="A88" t="s">
        <v>321</v>
      </c>
      <c r="B88" t="s">
        <v>339</v>
      </c>
      <c r="C88" t="s">
        <v>16</v>
      </c>
      <c r="D88" s="1">
        <v>0.2</v>
      </c>
      <c r="E88" t="s">
        <v>17</v>
      </c>
      <c r="F88" s="1">
        <v>0.3</v>
      </c>
      <c r="G88" t="s">
        <v>18</v>
      </c>
      <c r="H88" s="1">
        <v>0.9</v>
      </c>
      <c r="I88" s="1">
        <f>SUMPRODUCT(H88:H91,F88:F91)*D88</f>
        <v>0.16550000000000004</v>
      </c>
      <c r="J88" s="1">
        <v>0.62</v>
      </c>
      <c r="K88" s="1">
        <v>0.62</v>
      </c>
      <c r="L88" s="1">
        <v>0.56999999999999995</v>
      </c>
      <c r="M88" s="1">
        <v>0.5</v>
      </c>
      <c r="N88" s="1">
        <v>0.38</v>
      </c>
    </row>
    <row r="89" spans="1:14" x14ac:dyDescent="0.3">
      <c r="A89" t="s">
        <v>321</v>
      </c>
      <c r="B89" t="s">
        <v>339</v>
      </c>
      <c r="C89" t="s">
        <v>16</v>
      </c>
      <c r="D89" s="1">
        <v>0.2</v>
      </c>
      <c r="E89" t="s">
        <v>19</v>
      </c>
      <c r="F89" s="1">
        <v>0.25</v>
      </c>
      <c r="G89" t="s">
        <v>20</v>
      </c>
      <c r="H89" s="1">
        <v>0.6</v>
      </c>
      <c r="I89" s="1"/>
      <c r="J89" s="1">
        <v>0.62</v>
      </c>
      <c r="K89" s="1">
        <v>0.62</v>
      </c>
      <c r="L89" s="1">
        <v>0.56999999999999995</v>
      </c>
      <c r="M89" s="1">
        <v>0.5</v>
      </c>
      <c r="N89" s="1">
        <v>0.38</v>
      </c>
    </row>
    <row r="90" spans="1:14" x14ac:dyDescent="0.3">
      <c r="A90" t="s">
        <v>321</v>
      </c>
      <c r="B90" t="s">
        <v>339</v>
      </c>
      <c r="C90" t="s">
        <v>16</v>
      </c>
      <c r="D90" s="1">
        <v>0.2</v>
      </c>
      <c r="E90" t="s">
        <v>21</v>
      </c>
      <c r="F90" s="1">
        <v>0.2</v>
      </c>
      <c r="G90" t="s">
        <v>22</v>
      </c>
      <c r="H90" s="1">
        <v>0.85</v>
      </c>
      <c r="I90" s="1"/>
      <c r="J90" s="1">
        <v>0.62</v>
      </c>
      <c r="K90" s="1">
        <v>0.62</v>
      </c>
      <c r="L90" s="1">
        <v>0.56999999999999995</v>
      </c>
      <c r="M90" s="1">
        <v>0.5</v>
      </c>
      <c r="N90" s="1">
        <v>0.38</v>
      </c>
    </row>
    <row r="91" spans="1:14" x14ac:dyDescent="0.3">
      <c r="A91" t="s">
        <v>321</v>
      </c>
      <c r="B91" t="s">
        <v>339</v>
      </c>
      <c r="C91" t="s">
        <v>16</v>
      </c>
      <c r="D91" s="1">
        <v>0.2</v>
      </c>
      <c r="E91" t="s">
        <v>23</v>
      </c>
      <c r="F91" s="1">
        <v>0.25</v>
      </c>
      <c r="G91" t="s">
        <v>24</v>
      </c>
      <c r="H91" s="1">
        <v>0.95</v>
      </c>
      <c r="I91" s="1"/>
      <c r="J91" s="1">
        <v>0.62</v>
      </c>
      <c r="K91" s="1">
        <v>0.62</v>
      </c>
      <c r="L91" s="1">
        <v>0.56999999999999995</v>
      </c>
      <c r="M91" s="1">
        <v>0.5</v>
      </c>
      <c r="N91" s="1">
        <v>0.38</v>
      </c>
    </row>
    <row r="92" spans="1:14" x14ac:dyDescent="0.3">
      <c r="A92" t="s">
        <v>321</v>
      </c>
      <c r="B92" t="s">
        <v>339</v>
      </c>
      <c r="C92" t="s">
        <v>25</v>
      </c>
      <c r="D92" s="1">
        <v>0.15</v>
      </c>
      <c r="E92" t="s">
        <v>26</v>
      </c>
      <c r="F92" s="1">
        <v>0.25</v>
      </c>
      <c r="G92" t="s">
        <v>18</v>
      </c>
      <c r="H92" s="1">
        <v>0.9</v>
      </c>
      <c r="I92" s="1">
        <f>SUMPRODUCT(H92:H95,F92:F95)*D92</f>
        <v>9.3000000000000013E-2</v>
      </c>
      <c r="J92" s="1">
        <v>0.43</v>
      </c>
      <c r="K92" s="1">
        <v>0.43</v>
      </c>
      <c r="L92" s="1">
        <v>0.4</v>
      </c>
      <c r="M92" s="1">
        <v>0.35</v>
      </c>
      <c r="N92" s="1">
        <v>0.25</v>
      </c>
    </row>
    <row r="93" spans="1:14" x14ac:dyDescent="0.3">
      <c r="A93" t="s">
        <v>321</v>
      </c>
      <c r="B93" t="s">
        <v>339</v>
      </c>
      <c r="C93" t="s">
        <v>25</v>
      </c>
      <c r="D93" s="1">
        <v>0.15</v>
      </c>
      <c r="E93" t="s">
        <v>27</v>
      </c>
      <c r="F93" s="1">
        <v>0.25</v>
      </c>
      <c r="G93" t="s">
        <v>28</v>
      </c>
      <c r="H93" s="1">
        <v>0.7</v>
      </c>
      <c r="I93" s="1"/>
      <c r="J93" s="1">
        <v>0.43</v>
      </c>
      <c r="K93" s="1">
        <v>0.43</v>
      </c>
      <c r="L93" s="1">
        <v>0.4</v>
      </c>
      <c r="M93" s="1">
        <v>0.35</v>
      </c>
      <c r="N93" s="1">
        <v>0.25</v>
      </c>
    </row>
    <row r="94" spans="1:14" x14ac:dyDescent="0.3">
      <c r="A94" t="s">
        <v>321</v>
      </c>
      <c r="B94" t="s">
        <v>339</v>
      </c>
      <c r="C94" t="s">
        <v>25</v>
      </c>
      <c r="D94" s="1">
        <v>0.15</v>
      </c>
      <c r="E94" t="s">
        <v>29</v>
      </c>
      <c r="F94" s="1">
        <v>0.3</v>
      </c>
      <c r="G94" t="s">
        <v>30</v>
      </c>
      <c r="H94" s="1">
        <v>0.1</v>
      </c>
      <c r="I94" s="1"/>
      <c r="J94" s="1">
        <v>0.43</v>
      </c>
      <c r="K94" s="1">
        <v>0.43</v>
      </c>
      <c r="L94" s="1">
        <v>0.4</v>
      </c>
      <c r="M94" s="1">
        <v>0.35</v>
      </c>
      <c r="N94" s="1">
        <v>0.25</v>
      </c>
    </row>
    <row r="95" spans="1:14" x14ac:dyDescent="0.3">
      <c r="A95" t="s">
        <v>321</v>
      </c>
      <c r="B95" t="s">
        <v>339</v>
      </c>
      <c r="C95" t="s">
        <v>25</v>
      </c>
      <c r="D95" s="1">
        <v>0.15</v>
      </c>
      <c r="E95" t="s">
        <v>31</v>
      </c>
      <c r="F95" s="1">
        <v>0.2</v>
      </c>
      <c r="G95" t="s">
        <v>24</v>
      </c>
      <c r="H95" s="1">
        <v>0.95</v>
      </c>
      <c r="I95" s="1"/>
      <c r="J95" s="1">
        <v>0.43</v>
      </c>
      <c r="K95" s="1">
        <v>0.43</v>
      </c>
      <c r="L95" s="1">
        <v>0.4</v>
      </c>
      <c r="M95" s="1">
        <v>0.35</v>
      </c>
      <c r="N95" s="1">
        <v>0.25</v>
      </c>
    </row>
    <row r="96" spans="1:14" x14ac:dyDescent="0.3">
      <c r="A96" t="s">
        <v>321</v>
      </c>
      <c r="B96" t="s">
        <v>339</v>
      </c>
      <c r="C96" t="s">
        <v>348</v>
      </c>
      <c r="D96" s="1">
        <v>0.15</v>
      </c>
      <c r="E96" t="s">
        <v>148</v>
      </c>
      <c r="F96" s="1">
        <v>0.3</v>
      </c>
      <c r="G96" t="s">
        <v>18</v>
      </c>
      <c r="H96" s="1">
        <v>0.9</v>
      </c>
      <c r="I96" s="1">
        <f>SUMPRODUCT(H96:H99,F96:F99)*D96</f>
        <v>0.1215</v>
      </c>
      <c r="J96" s="1">
        <v>0.62</v>
      </c>
      <c r="K96" s="1">
        <v>0.62</v>
      </c>
      <c r="L96" s="1">
        <v>0.57999999999999996</v>
      </c>
      <c r="M96" s="1">
        <v>0.51</v>
      </c>
      <c r="N96" s="1">
        <v>0.39</v>
      </c>
    </row>
    <row r="97" spans="1:14" x14ac:dyDescent="0.3">
      <c r="A97" t="s">
        <v>321</v>
      </c>
      <c r="B97" t="s">
        <v>339</v>
      </c>
      <c r="C97" t="s">
        <v>348</v>
      </c>
      <c r="D97" s="1">
        <v>0.15</v>
      </c>
      <c r="E97" t="s">
        <v>193</v>
      </c>
      <c r="F97" s="1">
        <v>0.25</v>
      </c>
      <c r="G97" t="s">
        <v>40</v>
      </c>
      <c r="H97" s="1">
        <v>0.7</v>
      </c>
      <c r="I97" s="1"/>
      <c r="J97" s="1">
        <v>0.62</v>
      </c>
      <c r="K97" s="1">
        <v>0.62</v>
      </c>
      <c r="L97" s="1">
        <v>0.57999999999999996</v>
      </c>
      <c r="M97" s="1">
        <v>0.51</v>
      </c>
      <c r="N97" s="1">
        <v>0.39</v>
      </c>
    </row>
    <row r="98" spans="1:14" x14ac:dyDescent="0.3">
      <c r="A98" t="s">
        <v>321</v>
      </c>
      <c r="B98" t="s">
        <v>339</v>
      </c>
      <c r="C98" t="s">
        <v>348</v>
      </c>
      <c r="D98" s="1">
        <v>0.15</v>
      </c>
      <c r="E98" t="s">
        <v>349</v>
      </c>
      <c r="F98" s="1">
        <v>0.25</v>
      </c>
      <c r="G98" t="s">
        <v>28</v>
      </c>
      <c r="H98" s="1">
        <v>0.7</v>
      </c>
      <c r="I98" s="1"/>
      <c r="J98" s="1">
        <v>0.62</v>
      </c>
      <c r="K98" s="1">
        <v>0.62</v>
      </c>
      <c r="L98" s="1">
        <v>0.57999999999999996</v>
      </c>
      <c r="M98" s="1">
        <v>0.51</v>
      </c>
      <c r="N98" s="1">
        <v>0.39</v>
      </c>
    </row>
    <row r="99" spans="1:14" x14ac:dyDescent="0.3">
      <c r="A99" t="s">
        <v>321</v>
      </c>
      <c r="B99" t="s">
        <v>339</v>
      </c>
      <c r="C99" t="s">
        <v>348</v>
      </c>
      <c r="D99" s="1">
        <v>0.15</v>
      </c>
      <c r="E99" t="s">
        <v>350</v>
      </c>
      <c r="F99" s="1">
        <v>0.2</v>
      </c>
      <c r="G99" t="s">
        <v>24</v>
      </c>
      <c r="H99" s="1">
        <v>0.95</v>
      </c>
      <c r="I99" s="1"/>
      <c r="J99" s="1">
        <v>0.62</v>
      </c>
      <c r="K99" s="1">
        <v>0.62</v>
      </c>
      <c r="L99" s="1">
        <v>0.57999999999999996</v>
      </c>
      <c r="M99" s="1">
        <v>0.51</v>
      </c>
      <c r="N99" s="1">
        <v>0.39</v>
      </c>
    </row>
    <row r="100" spans="1:14" x14ac:dyDescent="0.3">
      <c r="D100" s="1"/>
      <c r="F100" s="1"/>
      <c r="H100" s="1"/>
      <c r="I100" s="2">
        <f>SUM(I80:I96)</f>
        <v>0.72899999999999987</v>
      </c>
      <c r="J100" s="2">
        <f>+J80*$D80+J84*$D84+J88*$D88+J92*$D92+J96*$D96</f>
        <v>0.55249999999999999</v>
      </c>
      <c r="K100" s="2">
        <f t="shared" ref="K100:N100" si="3">+K80*$D80+K84*$D84+K88*$D88+K92*$D92+K96*$D96</f>
        <v>0.55249999999999999</v>
      </c>
      <c r="L100" s="2">
        <f t="shared" si="3"/>
        <v>0.51100000000000001</v>
      </c>
      <c r="M100" s="2">
        <f t="shared" si="3"/>
        <v>0.44800000000000001</v>
      </c>
      <c r="N100" s="2">
        <f t="shared" si="3"/>
        <v>0.33600000000000002</v>
      </c>
    </row>
    <row r="101" spans="1:14" x14ac:dyDescent="0.3">
      <c r="D101" s="1"/>
      <c r="F101" s="1"/>
      <c r="H101" s="1"/>
      <c r="I101" s="1"/>
      <c r="J101" s="1"/>
      <c r="K101" s="1"/>
      <c r="L101" s="1"/>
      <c r="M101" s="1"/>
      <c r="N101" s="1"/>
    </row>
    <row r="102" spans="1:14" x14ac:dyDescent="0.3">
      <c r="A102" t="s">
        <v>321</v>
      </c>
      <c r="B102" t="s">
        <v>351</v>
      </c>
      <c r="C102" t="s">
        <v>352</v>
      </c>
      <c r="D102" s="1">
        <v>0.3</v>
      </c>
      <c r="E102" t="s">
        <v>353</v>
      </c>
      <c r="F102" s="1">
        <v>0.35</v>
      </c>
      <c r="G102" t="s">
        <v>18</v>
      </c>
      <c r="H102" s="1">
        <v>0.9</v>
      </c>
      <c r="I102" s="1">
        <f>SUMPRODUCT(H102:H105,F102:F105)*D102</f>
        <v>0.255</v>
      </c>
      <c r="J102" s="1">
        <v>0.68</v>
      </c>
      <c r="K102" s="1">
        <v>0.68</v>
      </c>
      <c r="L102" s="1">
        <v>0.63</v>
      </c>
      <c r="M102" s="1">
        <v>0.56999999999999995</v>
      </c>
      <c r="N102" s="1">
        <v>0.47</v>
      </c>
    </row>
    <row r="103" spans="1:14" x14ac:dyDescent="0.3">
      <c r="A103" t="s">
        <v>321</v>
      </c>
      <c r="B103" t="s">
        <v>351</v>
      </c>
      <c r="C103" t="s">
        <v>352</v>
      </c>
      <c r="D103" s="1">
        <v>0.3</v>
      </c>
      <c r="E103" t="s">
        <v>354</v>
      </c>
      <c r="F103" s="1">
        <v>0.25</v>
      </c>
      <c r="G103" t="s">
        <v>18</v>
      </c>
      <c r="H103" s="1">
        <v>0.9</v>
      </c>
      <c r="I103" s="1"/>
      <c r="J103" s="1">
        <v>0.68</v>
      </c>
      <c r="K103" s="1">
        <v>0.68</v>
      </c>
      <c r="L103" s="1">
        <v>0.63</v>
      </c>
      <c r="M103" s="1">
        <v>0.56999999999999995</v>
      </c>
      <c r="N103" s="1">
        <v>0.47</v>
      </c>
    </row>
    <row r="104" spans="1:14" x14ac:dyDescent="0.3">
      <c r="A104" t="s">
        <v>321</v>
      </c>
      <c r="B104" t="s">
        <v>351</v>
      </c>
      <c r="C104" t="s">
        <v>352</v>
      </c>
      <c r="D104" s="1">
        <v>0.3</v>
      </c>
      <c r="E104" t="s">
        <v>355</v>
      </c>
      <c r="F104" s="1">
        <v>0.2</v>
      </c>
      <c r="G104" t="s">
        <v>20</v>
      </c>
      <c r="H104" s="1">
        <v>0.6</v>
      </c>
      <c r="I104" s="1"/>
      <c r="J104" s="1">
        <v>0.68</v>
      </c>
      <c r="K104" s="1">
        <v>0.68</v>
      </c>
      <c r="L104" s="1">
        <v>0.63</v>
      </c>
      <c r="M104" s="1">
        <v>0.56999999999999995</v>
      </c>
      <c r="N104" s="1">
        <v>0.47</v>
      </c>
    </row>
    <row r="105" spans="1:14" x14ac:dyDescent="0.3">
      <c r="A105" t="s">
        <v>321</v>
      </c>
      <c r="B105" t="s">
        <v>351</v>
      </c>
      <c r="C105" t="s">
        <v>352</v>
      </c>
      <c r="D105" s="1">
        <v>0.3</v>
      </c>
      <c r="E105" t="s">
        <v>284</v>
      </c>
      <c r="F105" s="1">
        <v>0.2</v>
      </c>
      <c r="G105" t="s">
        <v>24</v>
      </c>
      <c r="H105" s="1">
        <v>0.95</v>
      </c>
      <c r="I105" s="1"/>
      <c r="J105" s="1">
        <v>0.68</v>
      </c>
      <c r="K105" s="1">
        <v>0.68</v>
      </c>
      <c r="L105" s="1">
        <v>0.63</v>
      </c>
      <c r="M105" s="1">
        <v>0.56999999999999995</v>
      </c>
      <c r="N105" s="1">
        <v>0.47</v>
      </c>
    </row>
    <row r="106" spans="1:14" x14ac:dyDescent="0.3">
      <c r="A106" t="s">
        <v>321</v>
      </c>
      <c r="B106" t="s">
        <v>351</v>
      </c>
      <c r="C106" t="s">
        <v>356</v>
      </c>
      <c r="D106" s="1">
        <v>0.25</v>
      </c>
      <c r="E106" t="s">
        <v>357</v>
      </c>
      <c r="F106" s="1">
        <v>0.25</v>
      </c>
      <c r="G106" t="s">
        <v>28</v>
      </c>
      <c r="H106" s="1">
        <v>0.7</v>
      </c>
      <c r="I106" s="1">
        <f>SUMPRODUCT(H106:H109,F106:F109)*D106</f>
        <v>0.14874999999999999</v>
      </c>
      <c r="J106" s="1">
        <v>0.52</v>
      </c>
      <c r="K106" s="1">
        <v>0.52</v>
      </c>
      <c r="L106" s="1">
        <v>0.48</v>
      </c>
      <c r="M106" s="1">
        <v>0.43</v>
      </c>
      <c r="N106" s="1">
        <v>0.34</v>
      </c>
    </row>
    <row r="107" spans="1:14" x14ac:dyDescent="0.3">
      <c r="A107" t="s">
        <v>321</v>
      </c>
      <c r="B107" t="s">
        <v>351</v>
      </c>
      <c r="C107" t="s">
        <v>356</v>
      </c>
      <c r="D107" s="1">
        <v>0.25</v>
      </c>
      <c r="E107" t="s">
        <v>358</v>
      </c>
      <c r="F107" s="1">
        <v>0.25</v>
      </c>
      <c r="G107" t="s">
        <v>30</v>
      </c>
      <c r="H107" s="1">
        <v>0.1</v>
      </c>
      <c r="I107" s="1"/>
      <c r="J107" s="1">
        <v>0.52</v>
      </c>
      <c r="K107" s="1">
        <v>0.52</v>
      </c>
      <c r="L107" s="1">
        <v>0.48</v>
      </c>
      <c r="M107" s="1">
        <v>0.43</v>
      </c>
      <c r="N107" s="1">
        <v>0.34</v>
      </c>
    </row>
    <row r="108" spans="1:14" x14ac:dyDescent="0.3">
      <c r="A108" t="s">
        <v>321</v>
      </c>
      <c r="B108" t="s">
        <v>351</v>
      </c>
      <c r="C108" t="s">
        <v>356</v>
      </c>
      <c r="D108" s="1">
        <v>0.25</v>
      </c>
      <c r="E108" t="s">
        <v>359</v>
      </c>
      <c r="F108" s="1">
        <v>0.3</v>
      </c>
      <c r="G108" t="s">
        <v>22</v>
      </c>
      <c r="H108" s="1">
        <v>0.85</v>
      </c>
      <c r="I108" s="1"/>
      <c r="J108" s="1">
        <v>0.52</v>
      </c>
      <c r="K108" s="1">
        <v>0.52</v>
      </c>
      <c r="L108" s="1">
        <v>0.48</v>
      </c>
      <c r="M108" s="1">
        <v>0.43</v>
      </c>
      <c r="N108" s="1">
        <v>0.34</v>
      </c>
    </row>
    <row r="109" spans="1:14" x14ac:dyDescent="0.3">
      <c r="A109" t="s">
        <v>321</v>
      </c>
      <c r="B109" t="s">
        <v>351</v>
      </c>
      <c r="C109" t="s">
        <v>356</v>
      </c>
      <c r="D109" s="1">
        <v>0.25</v>
      </c>
      <c r="E109" t="s">
        <v>347</v>
      </c>
      <c r="F109" s="1">
        <v>0.2</v>
      </c>
      <c r="G109" t="s">
        <v>73</v>
      </c>
      <c r="H109" s="1">
        <v>0.7</v>
      </c>
      <c r="I109" s="1"/>
      <c r="J109" s="1">
        <v>0.52</v>
      </c>
      <c r="K109" s="1">
        <v>0.52</v>
      </c>
      <c r="L109" s="1">
        <v>0.48</v>
      </c>
      <c r="M109" s="1">
        <v>0.43</v>
      </c>
      <c r="N109" s="1">
        <v>0.34</v>
      </c>
    </row>
    <row r="110" spans="1:14" x14ac:dyDescent="0.3">
      <c r="A110" t="s">
        <v>321</v>
      </c>
      <c r="B110" t="s">
        <v>351</v>
      </c>
      <c r="C110" t="s">
        <v>16</v>
      </c>
      <c r="D110" s="1">
        <v>0.2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0.16550000000000004</v>
      </c>
      <c r="J110" s="1">
        <v>0.65</v>
      </c>
      <c r="K110" s="1">
        <v>0.65</v>
      </c>
      <c r="L110" s="1">
        <v>0.6</v>
      </c>
      <c r="M110" s="1">
        <v>0.54</v>
      </c>
      <c r="N110" s="1">
        <v>0.44</v>
      </c>
    </row>
    <row r="111" spans="1:14" x14ac:dyDescent="0.3">
      <c r="A111" t="s">
        <v>321</v>
      </c>
      <c r="B111" t="s">
        <v>351</v>
      </c>
      <c r="C111" t="s">
        <v>16</v>
      </c>
      <c r="D111" s="1">
        <v>0.2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0.65</v>
      </c>
      <c r="K111" s="1">
        <v>0.65</v>
      </c>
      <c r="L111" s="1">
        <v>0.6</v>
      </c>
      <c r="M111" s="1">
        <v>0.54</v>
      </c>
      <c r="N111" s="1">
        <v>0.44</v>
      </c>
    </row>
    <row r="112" spans="1:14" x14ac:dyDescent="0.3">
      <c r="A112" t="s">
        <v>321</v>
      </c>
      <c r="B112" t="s">
        <v>351</v>
      </c>
      <c r="C112" t="s">
        <v>16</v>
      </c>
      <c r="D112" s="1">
        <v>0.2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0.65</v>
      </c>
      <c r="K112" s="1">
        <v>0.65</v>
      </c>
      <c r="L112" s="1">
        <v>0.6</v>
      </c>
      <c r="M112" s="1">
        <v>0.54</v>
      </c>
      <c r="N112" s="1">
        <v>0.44</v>
      </c>
    </row>
    <row r="113" spans="1:14" x14ac:dyDescent="0.3">
      <c r="A113" t="s">
        <v>321</v>
      </c>
      <c r="B113" t="s">
        <v>351</v>
      </c>
      <c r="C113" t="s">
        <v>16</v>
      </c>
      <c r="D113" s="1">
        <v>0.2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0.65</v>
      </c>
      <c r="K113" s="1">
        <v>0.65</v>
      </c>
      <c r="L113" s="1">
        <v>0.6</v>
      </c>
      <c r="M113" s="1">
        <v>0.54</v>
      </c>
      <c r="N113" s="1">
        <v>0.44</v>
      </c>
    </row>
    <row r="114" spans="1:14" x14ac:dyDescent="0.3">
      <c r="A114" t="s">
        <v>321</v>
      </c>
      <c r="B114" t="s">
        <v>351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0.45</v>
      </c>
      <c r="K114" s="1">
        <v>0.45</v>
      </c>
      <c r="L114" s="1">
        <v>0.42</v>
      </c>
      <c r="M114" s="1">
        <v>0.37</v>
      </c>
      <c r="N114" s="1">
        <v>0.28999999999999998</v>
      </c>
    </row>
    <row r="115" spans="1:14" x14ac:dyDescent="0.3">
      <c r="A115" t="s">
        <v>321</v>
      </c>
      <c r="B115" t="s">
        <v>351</v>
      </c>
      <c r="C115" t="s">
        <v>25</v>
      </c>
      <c r="D115" s="1">
        <v>0.15</v>
      </c>
      <c r="E115" t="s">
        <v>360</v>
      </c>
      <c r="F115" s="1">
        <v>0.25</v>
      </c>
      <c r="G115" t="s">
        <v>28</v>
      </c>
      <c r="H115" s="1">
        <v>0.7</v>
      </c>
      <c r="I115" s="1"/>
      <c r="J115" s="1">
        <v>0.45</v>
      </c>
      <c r="K115" s="1">
        <v>0.45</v>
      </c>
      <c r="L115" s="1">
        <v>0.42</v>
      </c>
      <c r="M115" s="1">
        <v>0.37</v>
      </c>
      <c r="N115" s="1">
        <v>0.28999999999999998</v>
      </c>
    </row>
    <row r="116" spans="1:14" x14ac:dyDescent="0.3">
      <c r="A116" t="s">
        <v>321</v>
      </c>
      <c r="B116" t="s">
        <v>351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0.45</v>
      </c>
      <c r="K116" s="1">
        <v>0.45</v>
      </c>
      <c r="L116" s="1">
        <v>0.42</v>
      </c>
      <c r="M116" s="1">
        <v>0.37</v>
      </c>
      <c r="N116" s="1">
        <v>0.28999999999999998</v>
      </c>
    </row>
    <row r="117" spans="1:14" x14ac:dyDescent="0.3">
      <c r="A117" t="s">
        <v>321</v>
      </c>
      <c r="B117" t="s">
        <v>351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0.45</v>
      </c>
      <c r="K117" s="1">
        <v>0.45</v>
      </c>
      <c r="L117" s="1">
        <v>0.42</v>
      </c>
      <c r="M117" s="1">
        <v>0.37</v>
      </c>
      <c r="N117" s="1">
        <v>0.28999999999999998</v>
      </c>
    </row>
    <row r="118" spans="1:14" x14ac:dyDescent="0.3">
      <c r="A118" t="s">
        <v>321</v>
      </c>
      <c r="B118" t="s">
        <v>351</v>
      </c>
      <c r="C118" t="s">
        <v>361</v>
      </c>
      <c r="D118" s="1">
        <v>0.1</v>
      </c>
      <c r="E118" t="s">
        <v>362</v>
      </c>
      <c r="F118" s="1">
        <v>0.25</v>
      </c>
      <c r="G118" t="s">
        <v>18</v>
      </c>
      <c r="H118" s="1">
        <v>0.9</v>
      </c>
      <c r="I118" s="1">
        <f>SUMPRODUCT(H118:H121,F118:F121)*D118</f>
        <v>7.8750000000000014E-2</v>
      </c>
      <c r="J118" s="1">
        <v>0.55000000000000004</v>
      </c>
      <c r="K118" s="1">
        <v>0.55000000000000004</v>
      </c>
      <c r="L118" s="1">
        <v>0.51</v>
      </c>
      <c r="M118" s="1">
        <v>0.46</v>
      </c>
      <c r="N118" s="1">
        <v>0.36</v>
      </c>
    </row>
    <row r="119" spans="1:14" x14ac:dyDescent="0.3">
      <c r="A119" t="s">
        <v>321</v>
      </c>
      <c r="B119" t="s">
        <v>351</v>
      </c>
      <c r="C119" t="s">
        <v>361</v>
      </c>
      <c r="D119" s="1">
        <v>0.1</v>
      </c>
      <c r="E119" t="s">
        <v>363</v>
      </c>
      <c r="F119" s="1">
        <v>0.25</v>
      </c>
      <c r="G119" t="s">
        <v>40</v>
      </c>
      <c r="H119" s="1">
        <v>0.7</v>
      </c>
      <c r="I119" s="1"/>
      <c r="J119" s="1">
        <v>0.55000000000000004</v>
      </c>
      <c r="K119" s="1">
        <v>0.55000000000000004</v>
      </c>
      <c r="L119" s="1">
        <v>0.51</v>
      </c>
      <c r="M119" s="1">
        <v>0.46</v>
      </c>
      <c r="N119" s="1">
        <v>0.36</v>
      </c>
    </row>
    <row r="120" spans="1:14" x14ac:dyDescent="0.3">
      <c r="A120" t="s">
        <v>321</v>
      </c>
      <c r="B120" t="s">
        <v>351</v>
      </c>
      <c r="C120" t="s">
        <v>361</v>
      </c>
      <c r="D120" s="1">
        <v>0.1</v>
      </c>
      <c r="E120" t="s">
        <v>364</v>
      </c>
      <c r="F120" s="1">
        <v>0.25</v>
      </c>
      <c r="G120" t="s">
        <v>20</v>
      </c>
      <c r="H120" s="1">
        <v>0.6</v>
      </c>
      <c r="I120" s="1"/>
      <c r="J120" s="1">
        <v>0.55000000000000004</v>
      </c>
      <c r="K120" s="1">
        <v>0.55000000000000004</v>
      </c>
      <c r="L120" s="1">
        <v>0.51</v>
      </c>
      <c r="M120" s="1">
        <v>0.46</v>
      </c>
      <c r="N120" s="1">
        <v>0.36</v>
      </c>
    </row>
    <row r="121" spans="1:14" x14ac:dyDescent="0.3">
      <c r="A121" t="s">
        <v>321</v>
      </c>
      <c r="B121" t="s">
        <v>351</v>
      </c>
      <c r="C121" t="s">
        <v>361</v>
      </c>
      <c r="D121" s="1">
        <v>0.1</v>
      </c>
      <c r="E121" t="s">
        <v>365</v>
      </c>
      <c r="F121" s="1">
        <v>0.25</v>
      </c>
      <c r="G121" t="s">
        <v>24</v>
      </c>
      <c r="H121" s="1">
        <v>0.95</v>
      </c>
      <c r="I121" s="1"/>
      <c r="J121" s="1">
        <v>0.55000000000000004</v>
      </c>
      <c r="K121" s="1">
        <v>0.55000000000000004</v>
      </c>
      <c r="L121" s="1">
        <v>0.51</v>
      </c>
      <c r="M121" s="1">
        <v>0.46</v>
      </c>
      <c r="N121" s="1">
        <v>0.36</v>
      </c>
    </row>
    <row r="122" spans="1:14" x14ac:dyDescent="0.3">
      <c r="D122" s="1"/>
      <c r="F122" s="1"/>
      <c r="H122" s="1"/>
      <c r="I122" s="2">
        <f>SUM(I102:I118)</f>
        <v>0.74099999999999999</v>
      </c>
      <c r="J122" s="2">
        <f>+J102*$D102+J106*$D106+J110*$D110+J114*$D114+J118*$D118</f>
        <v>0.58650000000000013</v>
      </c>
      <c r="K122" s="2">
        <f t="shared" ref="K122:N122" si="4">+K102*$D102+K106*$D106+K110*$D110+K114*$D114+K118*$D118</f>
        <v>0.58650000000000013</v>
      </c>
      <c r="L122" s="2">
        <f t="shared" si="4"/>
        <v>0.54300000000000004</v>
      </c>
      <c r="M122" s="2">
        <f t="shared" si="4"/>
        <v>0.48799999999999993</v>
      </c>
      <c r="N122" s="2">
        <f t="shared" si="4"/>
        <v>0.39349999999999996</v>
      </c>
    </row>
    <row r="123" spans="1:14" x14ac:dyDescent="0.3">
      <c r="D123" s="1"/>
      <c r="F123" s="1"/>
      <c r="H123" s="1"/>
      <c r="I123" s="1"/>
      <c r="J123" s="1"/>
      <c r="K123" s="1"/>
      <c r="L123" s="1"/>
      <c r="M123" s="1"/>
      <c r="N123" s="1"/>
    </row>
    <row r="124" spans="1:14" x14ac:dyDescent="0.3">
      <c r="A124" t="s">
        <v>321</v>
      </c>
      <c r="B124" t="s">
        <v>366</v>
      </c>
      <c r="C124" t="s">
        <v>367</v>
      </c>
      <c r="D124" s="1">
        <v>0.25</v>
      </c>
      <c r="E124" t="s">
        <v>368</v>
      </c>
      <c r="F124" s="1">
        <v>0.35</v>
      </c>
      <c r="G124" t="s">
        <v>18</v>
      </c>
      <c r="H124" s="1">
        <v>0.9</v>
      </c>
      <c r="I124" s="1">
        <f>SUMPRODUCT(H124:H127,F124:F127)*D124</f>
        <v>0.21250000000000002</v>
      </c>
      <c r="J124" s="1">
        <v>0.65</v>
      </c>
      <c r="K124" s="1">
        <v>0.65</v>
      </c>
      <c r="L124" s="1">
        <v>0.6</v>
      </c>
      <c r="M124" s="1">
        <v>0.53</v>
      </c>
      <c r="N124" s="1">
        <v>0.41</v>
      </c>
    </row>
    <row r="125" spans="1:14" x14ac:dyDescent="0.3">
      <c r="A125" t="s">
        <v>321</v>
      </c>
      <c r="B125" t="s">
        <v>366</v>
      </c>
      <c r="C125" t="s">
        <v>367</v>
      </c>
      <c r="D125" s="1">
        <v>0.25</v>
      </c>
      <c r="E125" t="s">
        <v>369</v>
      </c>
      <c r="F125" s="1">
        <v>0.25</v>
      </c>
      <c r="G125" t="s">
        <v>18</v>
      </c>
      <c r="H125" s="1">
        <v>0.9</v>
      </c>
      <c r="I125" s="1"/>
      <c r="J125" s="1">
        <v>0.65</v>
      </c>
      <c r="K125" s="1">
        <v>0.65</v>
      </c>
      <c r="L125" s="1">
        <v>0.6</v>
      </c>
      <c r="M125" s="1">
        <v>0.53</v>
      </c>
      <c r="N125" s="1">
        <v>0.41</v>
      </c>
    </row>
    <row r="126" spans="1:14" x14ac:dyDescent="0.3">
      <c r="A126" t="s">
        <v>321</v>
      </c>
      <c r="B126" t="s">
        <v>366</v>
      </c>
      <c r="C126" t="s">
        <v>367</v>
      </c>
      <c r="D126" s="1">
        <v>0.25</v>
      </c>
      <c r="E126" t="s">
        <v>112</v>
      </c>
      <c r="F126" s="1">
        <v>0.2</v>
      </c>
      <c r="G126" t="s">
        <v>20</v>
      </c>
      <c r="H126" s="1">
        <v>0.6</v>
      </c>
      <c r="I126" s="1"/>
      <c r="J126" s="1">
        <v>0.65</v>
      </c>
      <c r="K126" s="1">
        <v>0.65</v>
      </c>
      <c r="L126" s="1">
        <v>0.6</v>
      </c>
      <c r="M126" s="1">
        <v>0.53</v>
      </c>
      <c r="N126" s="1">
        <v>0.41</v>
      </c>
    </row>
    <row r="127" spans="1:14" x14ac:dyDescent="0.3">
      <c r="A127" t="s">
        <v>321</v>
      </c>
      <c r="B127" t="s">
        <v>366</v>
      </c>
      <c r="C127" t="s">
        <v>367</v>
      </c>
      <c r="D127" s="1">
        <v>0.25</v>
      </c>
      <c r="E127" t="s">
        <v>284</v>
      </c>
      <c r="F127" s="1">
        <v>0.2</v>
      </c>
      <c r="G127" t="s">
        <v>24</v>
      </c>
      <c r="H127" s="1">
        <v>0.95</v>
      </c>
      <c r="I127" s="1"/>
      <c r="J127" s="1">
        <v>0.65</v>
      </c>
      <c r="K127" s="1">
        <v>0.65</v>
      </c>
      <c r="L127" s="1">
        <v>0.6</v>
      </c>
      <c r="M127" s="1">
        <v>0.53</v>
      </c>
      <c r="N127" s="1">
        <v>0.41</v>
      </c>
    </row>
    <row r="128" spans="1:14" x14ac:dyDescent="0.3">
      <c r="A128" t="s">
        <v>321</v>
      </c>
      <c r="B128" t="s">
        <v>366</v>
      </c>
      <c r="C128" t="s">
        <v>370</v>
      </c>
      <c r="D128" s="1">
        <v>0.25</v>
      </c>
      <c r="E128" t="s">
        <v>371</v>
      </c>
      <c r="F128" s="1">
        <v>0.25</v>
      </c>
      <c r="G128" t="s">
        <v>28</v>
      </c>
      <c r="H128" s="1">
        <v>0.7</v>
      </c>
      <c r="I128" s="1">
        <f>SUMPRODUCT(H128:H131,F128:F131)*D128</f>
        <v>0.11749999999999999</v>
      </c>
      <c r="J128" s="1">
        <v>0.4</v>
      </c>
      <c r="K128" s="1">
        <v>0.4</v>
      </c>
      <c r="L128" s="1">
        <v>0.37</v>
      </c>
      <c r="M128" s="1">
        <v>0.32</v>
      </c>
      <c r="N128" s="1">
        <v>0.24</v>
      </c>
    </row>
    <row r="129" spans="1:14" x14ac:dyDescent="0.3">
      <c r="A129" t="s">
        <v>321</v>
      </c>
      <c r="B129" t="s">
        <v>366</v>
      </c>
      <c r="C129" t="s">
        <v>370</v>
      </c>
      <c r="D129" s="1">
        <v>0.25</v>
      </c>
      <c r="E129" t="s">
        <v>372</v>
      </c>
      <c r="F129" s="1">
        <v>0.35</v>
      </c>
      <c r="G129" t="s">
        <v>30</v>
      </c>
      <c r="H129" s="1">
        <v>0.1</v>
      </c>
      <c r="I129" s="1"/>
      <c r="J129" s="1">
        <v>0.4</v>
      </c>
      <c r="K129" s="1">
        <v>0.4</v>
      </c>
      <c r="L129" s="1">
        <v>0.37</v>
      </c>
      <c r="M129" s="1">
        <v>0.32</v>
      </c>
      <c r="N129" s="1">
        <v>0.24</v>
      </c>
    </row>
    <row r="130" spans="1:14" x14ac:dyDescent="0.3">
      <c r="A130" t="s">
        <v>321</v>
      </c>
      <c r="B130" t="s">
        <v>366</v>
      </c>
      <c r="C130" t="s">
        <v>370</v>
      </c>
      <c r="D130" s="1">
        <v>0.25</v>
      </c>
      <c r="E130" t="s">
        <v>373</v>
      </c>
      <c r="F130" s="1">
        <v>0.2</v>
      </c>
      <c r="G130" t="s">
        <v>20</v>
      </c>
      <c r="H130" s="1">
        <v>0.6</v>
      </c>
      <c r="I130" s="1"/>
      <c r="J130" s="1">
        <v>0.4</v>
      </c>
      <c r="K130" s="1">
        <v>0.4</v>
      </c>
      <c r="L130" s="1">
        <v>0.37</v>
      </c>
      <c r="M130" s="1">
        <v>0.32</v>
      </c>
      <c r="N130" s="1">
        <v>0.24</v>
      </c>
    </row>
    <row r="131" spans="1:14" x14ac:dyDescent="0.3">
      <c r="A131" t="s">
        <v>321</v>
      </c>
      <c r="B131" t="s">
        <v>366</v>
      </c>
      <c r="C131" t="s">
        <v>370</v>
      </c>
      <c r="D131" s="1">
        <v>0.25</v>
      </c>
      <c r="E131" t="s">
        <v>374</v>
      </c>
      <c r="F131" s="1">
        <v>0.2</v>
      </c>
      <c r="G131" t="s">
        <v>73</v>
      </c>
      <c r="H131" s="1">
        <v>0.7</v>
      </c>
      <c r="I131" s="1"/>
      <c r="J131" s="1">
        <v>0.4</v>
      </c>
      <c r="K131" s="1">
        <v>0.4</v>
      </c>
      <c r="L131" s="1">
        <v>0.37</v>
      </c>
      <c r="M131" s="1">
        <v>0.32</v>
      </c>
      <c r="N131" s="1">
        <v>0.24</v>
      </c>
    </row>
    <row r="132" spans="1:14" x14ac:dyDescent="0.3">
      <c r="A132" t="s">
        <v>321</v>
      </c>
      <c r="B132" t="s">
        <v>366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0.62</v>
      </c>
      <c r="K132" s="1">
        <v>0.62</v>
      </c>
      <c r="L132" s="1">
        <v>0.56999999999999995</v>
      </c>
      <c r="M132" s="1">
        <v>0.5</v>
      </c>
      <c r="N132" s="1">
        <v>0.39</v>
      </c>
    </row>
    <row r="133" spans="1:14" x14ac:dyDescent="0.3">
      <c r="A133" t="s">
        <v>321</v>
      </c>
      <c r="B133" t="s">
        <v>366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0.62</v>
      </c>
      <c r="K133" s="1">
        <v>0.62</v>
      </c>
      <c r="L133" s="1">
        <v>0.56999999999999995</v>
      </c>
      <c r="M133" s="1">
        <v>0.5</v>
      </c>
      <c r="N133" s="1">
        <v>0.39</v>
      </c>
    </row>
    <row r="134" spans="1:14" x14ac:dyDescent="0.3">
      <c r="A134" t="s">
        <v>321</v>
      </c>
      <c r="B134" t="s">
        <v>366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0.62</v>
      </c>
      <c r="K134" s="1">
        <v>0.62</v>
      </c>
      <c r="L134" s="1">
        <v>0.56999999999999995</v>
      </c>
      <c r="M134" s="1">
        <v>0.5</v>
      </c>
      <c r="N134" s="1">
        <v>0.39</v>
      </c>
    </row>
    <row r="135" spans="1:14" x14ac:dyDescent="0.3">
      <c r="A135" t="s">
        <v>321</v>
      </c>
      <c r="B135" t="s">
        <v>366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0.62</v>
      </c>
      <c r="K135" s="1">
        <v>0.62</v>
      </c>
      <c r="L135" s="1">
        <v>0.56999999999999995</v>
      </c>
      <c r="M135" s="1">
        <v>0.5</v>
      </c>
      <c r="N135" s="1">
        <v>0.39</v>
      </c>
    </row>
    <row r="136" spans="1:14" x14ac:dyDescent="0.3">
      <c r="A136" t="s">
        <v>321</v>
      </c>
      <c r="B136" t="s">
        <v>366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0.43</v>
      </c>
      <c r="K136" s="1">
        <v>0.43</v>
      </c>
      <c r="L136" s="1">
        <v>0.4</v>
      </c>
      <c r="M136" s="1">
        <v>0.35</v>
      </c>
      <c r="N136" s="1">
        <v>0.26</v>
      </c>
    </row>
    <row r="137" spans="1:14" x14ac:dyDescent="0.3">
      <c r="A137" t="s">
        <v>321</v>
      </c>
      <c r="B137" t="s">
        <v>366</v>
      </c>
      <c r="C137" t="s">
        <v>25</v>
      </c>
      <c r="D137" s="1">
        <v>0.15</v>
      </c>
      <c r="E137" t="s">
        <v>375</v>
      </c>
      <c r="F137" s="1">
        <v>0.25</v>
      </c>
      <c r="G137" t="s">
        <v>28</v>
      </c>
      <c r="H137" s="1">
        <v>0.7</v>
      </c>
      <c r="I137" s="1"/>
      <c r="J137" s="1">
        <v>0.43</v>
      </c>
      <c r="K137" s="1">
        <v>0.43</v>
      </c>
      <c r="L137" s="1">
        <v>0.4</v>
      </c>
      <c r="M137" s="1">
        <v>0.35</v>
      </c>
      <c r="N137" s="1">
        <v>0.26</v>
      </c>
    </row>
    <row r="138" spans="1:14" x14ac:dyDescent="0.3">
      <c r="A138" t="s">
        <v>321</v>
      </c>
      <c r="B138" t="s">
        <v>366</v>
      </c>
      <c r="C138" t="s">
        <v>25</v>
      </c>
      <c r="D138" s="1">
        <v>0.15</v>
      </c>
      <c r="E138" t="s">
        <v>219</v>
      </c>
      <c r="F138" s="1">
        <v>0.3</v>
      </c>
      <c r="G138" t="s">
        <v>30</v>
      </c>
      <c r="H138" s="1">
        <v>0.1</v>
      </c>
      <c r="I138" s="1"/>
      <c r="J138" s="1">
        <v>0.43</v>
      </c>
      <c r="K138" s="1">
        <v>0.43</v>
      </c>
      <c r="L138" s="1">
        <v>0.4</v>
      </c>
      <c r="M138" s="1">
        <v>0.35</v>
      </c>
      <c r="N138" s="1">
        <v>0.26</v>
      </c>
    </row>
    <row r="139" spans="1:14" x14ac:dyDescent="0.3">
      <c r="A139" t="s">
        <v>321</v>
      </c>
      <c r="B139" t="s">
        <v>366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0.43</v>
      </c>
      <c r="K139" s="1">
        <v>0.43</v>
      </c>
      <c r="L139" s="1">
        <v>0.4</v>
      </c>
      <c r="M139" s="1">
        <v>0.35</v>
      </c>
      <c r="N139" s="1">
        <v>0.26</v>
      </c>
    </row>
    <row r="140" spans="1:14" x14ac:dyDescent="0.3">
      <c r="A140" t="s">
        <v>321</v>
      </c>
      <c r="B140" t="s">
        <v>366</v>
      </c>
      <c r="C140" t="s">
        <v>361</v>
      </c>
      <c r="D140" s="1">
        <v>0.15</v>
      </c>
      <c r="E140" t="s">
        <v>362</v>
      </c>
      <c r="F140" s="1">
        <v>0.25</v>
      </c>
      <c r="G140" t="s">
        <v>18</v>
      </c>
      <c r="H140" s="1">
        <v>0.9</v>
      </c>
      <c r="I140" s="1">
        <f>SUMPRODUCT(H140:H143,F140:F143)*D140</f>
        <v>0.11812500000000001</v>
      </c>
      <c r="J140" s="1">
        <v>0.53</v>
      </c>
      <c r="K140" s="1">
        <v>0.53</v>
      </c>
      <c r="L140" s="1">
        <v>0.49</v>
      </c>
      <c r="M140" s="1">
        <v>0.44</v>
      </c>
      <c r="N140" s="1">
        <v>0.34</v>
      </c>
    </row>
    <row r="141" spans="1:14" x14ac:dyDescent="0.3">
      <c r="A141" t="s">
        <v>321</v>
      </c>
      <c r="B141" t="s">
        <v>366</v>
      </c>
      <c r="C141" t="s">
        <v>361</v>
      </c>
      <c r="D141" s="1">
        <v>0.15</v>
      </c>
      <c r="E141" t="s">
        <v>363</v>
      </c>
      <c r="F141" s="1">
        <v>0.25</v>
      </c>
      <c r="G141" t="s">
        <v>40</v>
      </c>
      <c r="H141" s="1">
        <v>0.7</v>
      </c>
      <c r="I141" s="1"/>
      <c r="J141" s="1">
        <v>0.53</v>
      </c>
      <c r="K141" s="1">
        <v>0.53</v>
      </c>
      <c r="L141" s="1">
        <v>0.49</v>
      </c>
      <c r="M141" s="1">
        <v>0.44</v>
      </c>
      <c r="N141" s="1">
        <v>0.34</v>
      </c>
    </row>
    <row r="142" spans="1:14" x14ac:dyDescent="0.3">
      <c r="A142" t="s">
        <v>321</v>
      </c>
      <c r="B142" t="s">
        <v>366</v>
      </c>
      <c r="C142" t="s">
        <v>361</v>
      </c>
      <c r="D142" s="1">
        <v>0.15</v>
      </c>
      <c r="E142" t="s">
        <v>364</v>
      </c>
      <c r="F142" s="1">
        <v>0.25</v>
      </c>
      <c r="G142" t="s">
        <v>20</v>
      </c>
      <c r="H142" s="1">
        <v>0.6</v>
      </c>
      <c r="I142" s="1"/>
      <c r="J142" s="1">
        <v>0.53</v>
      </c>
      <c r="K142" s="1">
        <v>0.53</v>
      </c>
      <c r="L142" s="1">
        <v>0.49</v>
      </c>
      <c r="M142" s="1">
        <v>0.44</v>
      </c>
      <c r="N142" s="1">
        <v>0.34</v>
      </c>
    </row>
    <row r="143" spans="1:14" x14ac:dyDescent="0.3">
      <c r="A143" t="s">
        <v>321</v>
      </c>
      <c r="B143" t="s">
        <v>366</v>
      </c>
      <c r="C143" t="s">
        <v>361</v>
      </c>
      <c r="D143" s="1">
        <v>0.15</v>
      </c>
      <c r="E143" t="s">
        <v>365</v>
      </c>
      <c r="F143" s="1">
        <v>0.25</v>
      </c>
      <c r="G143" t="s">
        <v>24</v>
      </c>
      <c r="H143" s="1">
        <v>0.95</v>
      </c>
      <c r="I143" s="1"/>
      <c r="J143" s="1">
        <v>0.53</v>
      </c>
      <c r="K143" s="1">
        <v>0.53</v>
      </c>
      <c r="L143" s="1">
        <v>0.49</v>
      </c>
      <c r="M143" s="1">
        <v>0.44</v>
      </c>
      <c r="N143" s="1">
        <v>0.34</v>
      </c>
    </row>
    <row r="144" spans="1:14" x14ac:dyDescent="0.3">
      <c r="D144" s="1"/>
      <c r="F144" s="1"/>
      <c r="H144" s="1"/>
      <c r="I144" s="2">
        <f>SUM(I124:I140)</f>
        <v>0.70662500000000006</v>
      </c>
      <c r="J144" s="2">
        <f>+J124*$D124+J128*$D128+J132*$D132+J136*$D136+J140*$D140</f>
        <v>0.53049999999999997</v>
      </c>
      <c r="K144" s="2">
        <f t="shared" ref="K144:N144" si="5">+K124*$D124+K128*$D128+K132*$D132+K136*$D136+K140*$D140</f>
        <v>0.53049999999999997</v>
      </c>
      <c r="L144" s="2">
        <f t="shared" si="5"/>
        <v>0.49</v>
      </c>
      <c r="M144" s="2">
        <f t="shared" si="5"/>
        <v>0.43099999999999999</v>
      </c>
      <c r="N144" s="2">
        <f t="shared" si="5"/>
        <v>0.33049999999999996</v>
      </c>
    </row>
    <row r="145" spans="1:14" x14ac:dyDescent="0.3">
      <c r="D145" s="1"/>
      <c r="F145" s="1"/>
      <c r="H145" s="1"/>
      <c r="I145" s="1"/>
      <c r="J145" s="1"/>
      <c r="K145" s="1"/>
      <c r="L145" s="1"/>
      <c r="M145" s="1"/>
      <c r="N145" s="1"/>
    </row>
    <row r="146" spans="1:14" x14ac:dyDescent="0.3">
      <c r="A146" t="s">
        <v>321</v>
      </c>
      <c r="B146" t="s">
        <v>376</v>
      </c>
      <c r="C146" t="s">
        <v>377</v>
      </c>
      <c r="D146" s="1">
        <v>0.25</v>
      </c>
      <c r="E146" t="s">
        <v>378</v>
      </c>
      <c r="F146" s="1">
        <v>0.35</v>
      </c>
      <c r="G146" t="s">
        <v>18</v>
      </c>
      <c r="H146" s="1">
        <v>0.9</v>
      </c>
      <c r="I146" s="1">
        <f>SUMPRODUCT(H146:H149,F146:F149)*D146</f>
        <v>0.21250000000000002</v>
      </c>
      <c r="J146" s="1">
        <v>0.62</v>
      </c>
      <c r="K146" s="1">
        <v>0.62</v>
      </c>
      <c r="L146" s="1">
        <v>0.56999999999999995</v>
      </c>
      <c r="M146" s="1">
        <v>0.5</v>
      </c>
      <c r="N146" s="1">
        <v>0.37</v>
      </c>
    </row>
    <row r="147" spans="1:14" x14ac:dyDescent="0.3">
      <c r="A147" t="s">
        <v>321</v>
      </c>
      <c r="B147" t="s">
        <v>376</v>
      </c>
      <c r="C147" t="s">
        <v>377</v>
      </c>
      <c r="D147" s="1">
        <v>0.25</v>
      </c>
      <c r="E147" t="s">
        <v>379</v>
      </c>
      <c r="F147" s="1">
        <v>0.25</v>
      </c>
      <c r="G147" t="s">
        <v>18</v>
      </c>
      <c r="H147" s="1">
        <v>0.9</v>
      </c>
      <c r="I147" s="1"/>
      <c r="J147" s="1">
        <v>0.62</v>
      </c>
      <c r="K147" s="1">
        <v>0.62</v>
      </c>
      <c r="L147" s="1">
        <v>0.56999999999999995</v>
      </c>
      <c r="M147" s="1">
        <v>0.5</v>
      </c>
      <c r="N147" s="1">
        <v>0.37</v>
      </c>
    </row>
    <row r="148" spans="1:14" x14ac:dyDescent="0.3">
      <c r="A148" t="s">
        <v>321</v>
      </c>
      <c r="B148" t="s">
        <v>376</v>
      </c>
      <c r="C148" t="s">
        <v>377</v>
      </c>
      <c r="D148" s="1">
        <v>0.25</v>
      </c>
      <c r="E148" t="s">
        <v>380</v>
      </c>
      <c r="F148" s="1">
        <v>0.2</v>
      </c>
      <c r="G148" t="s">
        <v>20</v>
      </c>
      <c r="H148" s="1">
        <v>0.6</v>
      </c>
      <c r="I148" s="1"/>
      <c r="J148" s="1">
        <v>0.62</v>
      </c>
      <c r="K148" s="1">
        <v>0.62</v>
      </c>
      <c r="L148" s="1">
        <v>0.56999999999999995</v>
      </c>
      <c r="M148" s="1">
        <v>0.5</v>
      </c>
      <c r="N148" s="1">
        <v>0.37</v>
      </c>
    </row>
    <row r="149" spans="1:14" x14ac:dyDescent="0.3">
      <c r="A149" t="s">
        <v>321</v>
      </c>
      <c r="B149" t="s">
        <v>376</v>
      </c>
      <c r="C149" t="s">
        <v>377</v>
      </c>
      <c r="D149" s="1">
        <v>0.25</v>
      </c>
      <c r="E149" t="s">
        <v>381</v>
      </c>
      <c r="F149" s="1">
        <v>0.2</v>
      </c>
      <c r="G149" t="s">
        <v>24</v>
      </c>
      <c r="H149" s="1">
        <v>0.95</v>
      </c>
      <c r="I149" s="1"/>
      <c r="J149" s="1">
        <v>0.62</v>
      </c>
      <c r="K149" s="1">
        <v>0.62</v>
      </c>
      <c r="L149" s="1">
        <v>0.56999999999999995</v>
      </c>
      <c r="M149" s="1">
        <v>0.5</v>
      </c>
      <c r="N149" s="1">
        <v>0.37</v>
      </c>
    </row>
    <row r="150" spans="1:14" x14ac:dyDescent="0.3">
      <c r="A150" t="s">
        <v>321</v>
      </c>
      <c r="B150" t="s">
        <v>376</v>
      </c>
      <c r="C150" t="s">
        <v>356</v>
      </c>
      <c r="D150" s="1">
        <v>0.25</v>
      </c>
      <c r="E150" t="s">
        <v>357</v>
      </c>
      <c r="F150" s="1">
        <v>0.25</v>
      </c>
      <c r="G150" t="s">
        <v>28</v>
      </c>
      <c r="H150" s="1">
        <v>0.7</v>
      </c>
      <c r="I150" s="1">
        <f>SUMPRODUCT(H150:H153,F150:F153)*D150</f>
        <v>0.14874999999999999</v>
      </c>
      <c r="J150" s="1">
        <v>0.48</v>
      </c>
      <c r="K150" s="1">
        <v>0.48</v>
      </c>
      <c r="L150" s="1">
        <v>0.44</v>
      </c>
      <c r="M150" s="1">
        <v>0.38</v>
      </c>
      <c r="N150" s="1">
        <v>0.27</v>
      </c>
    </row>
    <row r="151" spans="1:14" x14ac:dyDescent="0.3">
      <c r="A151" t="s">
        <v>321</v>
      </c>
      <c r="B151" t="s">
        <v>376</v>
      </c>
      <c r="C151" t="s">
        <v>356</v>
      </c>
      <c r="D151" s="1">
        <v>0.25</v>
      </c>
      <c r="E151" t="s">
        <v>382</v>
      </c>
      <c r="F151" s="1">
        <v>0.25</v>
      </c>
      <c r="G151" t="s">
        <v>30</v>
      </c>
      <c r="H151" s="1">
        <v>0.1</v>
      </c>
      <c r="I151" s="1"/>
      <c r="J151" s="1">
        <v>0.48</v>
      </c>
      <c r="K151" s="1">
        <v>0.48</v>
      </c>
      <c r="L151" s="1">
        <v>0.44</v>
      </c>
      <c r="M151" s="1">
        <v>0.38</v>
      </c>
      <c r="N151" s="1">
        <v>0.27</v>
      </c>
    </row>
    <row r="152" spans="1:14" x14ac:dyDescent="0.3">
      <c r="A152" t="s">
        <v>321</v>
      </c>
      <c r="B152" t="s">
        <v>376</v>
      </c>
      <c r="C152" t="s">
        <v>356</v>
      </c>
      <c r="D152" s="1">
        <v>0.25</v>
      </c>
      <c r="E152" t="s">
        <v>359</v>
      </c>
      <c r="F152" s="1">
        <v>0.3</v>
      </c>
      <c r="G152" t="s">
        <v>22</v>
      </c>
      <c r="H152" s="1">
        <v>0.85</v>
      </c>
      <c r="I152" s="1"/>
      <c r="J152" s="1">
        <v>0.48</v>
      </c>
      <c r="K152" s="1">
        <v>0.48</v>
      </c>
      <c r="L152" s="1">
        <v>0.44</v>
      </c>
      <c r="M152" s="1">
        <v>0.38</v>
      </c>
      <c r="N152" s="1">
        <v>0.27</v>
      </c>
    </row>
    <row r="153" spans="1:14" x14ac:dyDescent="0.3">
      <c r="A153" t="s">
        <v>321</v>
      </c>
      <c r="B153" t="s">
        <v>376</v>
      </c>
      <c r="C153" t="s">
        <v>356</v>
      </c>
      <c r="D153" s="1">
        <v>0.25</v>
      </c>
      <c r="E153" t="s">
        <v>347</v>
      </c>
      <c r="F153" s="1">
        <v>0.2</v>
      </c>
      <c r="G153" t="s">
        <v>73</v>
      </c>
      <c r="H153" s="1">
        <v>0.7</v>
      </c>
      <c r="I153" s="1"/>
      <c r="J153" s="1">
        <v>0.48</v>
      </c>
      <c r="K153" s="1">
        <v>0.48</v>
      </c>
      <c r="L153" s="1">
        <v>0.44</v>
      </c>
      <c r="M153" s="1">
        <v>0.38</v>
      </c>
      <c r="N153" s="1">
        <v>0.27</v>
      </c>
    </row>
    <row r="154" spans="1:14" x14ac:dyDescent="0.3">
      <c r="A154" t="s">
        <v>321</v>
      </c>
      <c r="B154" t="s">
        <v>376</v>
      </c>
      <c r="C154" t="s">
        <v>16</v>
      </c>
      <c r="D154" s="1">
        <v>0.2</v>
      </c>
      <c r="E154" t="s">
        <v>17</v>
      </c>
      <c r="F154" s="1">
        <v>0.3</v>
      </c>
      <c r="G154" t="s">
        <v>18</v>
      </c>
      <c r="H154" s="1">
        <v>0.9</v>
      </c>
      <c r="I154" s="1">
        <f>SUMPRODUCT(H154:H157,F154:F157)*D154</f>
        <v>0.16550000000000004</v>
      </c>
      <c r="J154" s="1">
        <v>0.6</v>
      </c>
      <c r="K154" s="1">
        <v>0.6</v>
      </c>
      <c r="L154" s="1">
        <v>0.55000000000000004</v>
      </c>
      <c r="M154" s="1">
        <v>0.48</v>
      </c>
      <c r="N154" s="1">
        <v>0.35</v>
      </c>
    </row>
    <row r="155" spans="1:14" x14ac:dyDescent="0.3">
      <c r="A155" t="s">
        <v>321</v>
      </c>
      <c r="B155" t="s">
        <v>376</v>
      </c>
      <c r="C155" t="s">
        <v>16</v>
      </c>
      <c r="D155" s="1">
        <v>0.2</v>
      </c>
      <c r="E155" t="s">
        <v>19</v>
      </c>
      <c r="F155" s="1">
        <v>0.25</v>
      </c>
      <c r="G155" t="s">
        <v>20</v>
      </c>
      <c r="H155" s="1">
        <v>0.6</v>
      </c>
      <c r="I155" s="1"/>
      <c r="J155" s="1">
        <v>0.6</v>
      </c>
      <c r="K155" s="1">
        <v>0.6</v>
      </c>
      <c r="L155" s="1">
        <v>0.55000000000000004</v>
      </c>
      <c r="M155" s="1">
        <v>0.48</v>
      </c>
      <c r="N155" s="1">
        <v>0.35</v>
      </c>
    </row>
    <row r="156" spans="1:14" x14ac:dyDescent="0.3">
      <c r="A156" t="s">
        <v>321</v>
      </c>
      <c r="B156" t="s">
        <v>376</v>
      </c>
      <c r="C156" t="s">
        <v>16</v>
      </c>
      <c r="D156" s="1">
        <v>0.2</v>
      </c>
      <c r="E156" t="s">
        <v>21</v>
      </c>
      <c r="F156" s="1">
        <v>0.2</v>
      </c>
      <c r="G156" t="s">
        <v>22</v>
      </c>
      <c r="H156" s="1">
        <v>0.85</v>
      </c>
      <c r="I156" s="1"/>
      <c r="J156" s="1">
        <v>0.6</v>
      </c>
      <c r="K156" s="1">
        <v>0.6</v>
      </c>
      <c r="L156" s="1">
        <v>0.55000000000000004</v>
      </c>
      <c r="M156" s="1">
        <v>0.48</v>
      </c>
      <c r="N156" s="1">
        <v>0.35</v>
      </c>
    </row>
    <row r="157" spans="1:14" x14ac:dyDescent="0.3">
      <c r="A157" t="s">
        <v>321</v>
      </c>
      <c r="B157" t="s">
        <v>376</v>
      </c>
      <c r="C157" t="s">
        <v>16</v>
      </c>
      <c r="D157" s="1">
        <v>0.2</v>
      </c>
      <c r="E157" t="s">
        <v>23</v>
      </c>
      <c r="F157" s="1">
        <v>0.25</v>
      </c>
      <c r="G157" t="s">
        <v>24</v>
      </c>
      <c r="H157" s="1">
        <v>0.95</v>
      </c>
      <c r="I157" s="1"/>
      <c r="J157" s="1">
        <v>0.6</v>
      </c>
      <c r="K157" s="1">
        <v>0.6</v>
      </c>
      <c r="L157" s="1">
        <v>0.55000000000000004</v>
      </c>
      <c r="M157" s="1">
        <v>0.48</v>
      </c>
      <c r="N157" s="1">
        <v>0.35</v>
      </c>
    </row>
    <row r="158" spans="1:14" x14ac:dyDescent="0.3">
      <c r="A158" t="s">
        <v>321</v>
      </c>
      <c r="B158" t="s">
        <v>376</v>
      </c>
      <c r="C158" t="s">
        <v>25</v>
      </c>
      <c r="D158" s="1">
        <v>0.2</v>
      </c>
      <c r="E158" t="s">
        <v>26</v>
      </c>
      <c r="F158" s="1">
        <v>0.25</v>
      </c>
      <c r="G158" t="s">
        <v>18</v>
      </c>
      <c r="H158" s="1">
        <v>0.9</v>
      </c>
      <c r="I158" s="1">
        <f>SUMPRODUCT(H158:H161,F158:F161)*D158</f>
        <v>0.12400000000000003</v>
      </c>
      <c r="J158" s="1">
        <v>0.4</v>
      </c>
      <c r="K158" s="1">
        <v>0.4</v>
      </c>
      <c r="L158" s="1">
        <v>0.37</v>
      </c>
      <c r="M158" s="1">
        <v>0.32</v>
      </c>
      <c r="N158" s="1">
        <v>0.22</v>
      </c>
    </row>
    <row r="159" spans="1:14" x14ac:dyDescent="0.3">
      <c r="A159" t="s">
        <v>321</v>
      </c>
      <c r="B159" t="s">
        <v>376</v>
      </c>
      <c r="C159" t="s">
        <v>25</v>
      </c>
      <c r="D159" s="1">
        <v>0.2</v>
      </c>
      <c r="E159" t="s">
        <v>383</v>
      </c>
      <c r="F159" s="1">
        <v>0.25</v>
      </c>
      <c r="G159" t="s">
        <v>28</v>
      </c>
      <c r="H159" s="1">
        <v>0.7</v>
      </c>
      <c r="I159" s="1"/>
      <c r="J159" s="1">
        <v>0.4</v>
      </c>
      <c r="K159" s="1">
        <v>0.4</v>
      </c>
      <c r="L159" s="1">
        <v>0.37</v>
      </c>
      <c r="M159" s="1">
        <v>0.32</v>
      </c>
      <c r="N159" s="1">
        <v>0.22</v>
      </c>
    </row>
    <row r="160" spans="1:14" x14ac:dyDescent="0.3">
      <c r="A160" t="s">
        <v>321</v>
      </c>
      <c r="B160" t="s">
        <v>376</v>
      </c>
      <c r="C160" t="s">
        <v>25</v>
      </c>
      <c r="D160" s="1">
        <v>0.2</v>
      </c>
      <c r="E160" t="s">
        <v>29</v>
      </c>
      <c r="F160" s="1">
        <v>0.3</v>
      </c>
      <c r="G160" t="s">
        <v>30</v>
      </c>
      <c r="H160" s="1">
        <v>0.1</v>
      </c>
      <c r="I160" s="1"/>
      <c r="J160" s="1">
        <v>0.4</v>
      </c>
      <c r="K160" s="1">
        <v>0.4</v>
      </c>
      <c r="L160" s="1">
        <v>0.37</v>
      </c>
      <c r="M160" s="1">
        <v>0.32</v>
      </c>
      <c r="N160" s="1">
        <v>0.22</v>
      </c>
    </row>
    <row r="161" spans="1:14" x14ac:dyDescent="0.3">
      <c r="A161" t="s">
        <v>321</v>
      </c>
      <c r="B161" t="s">
        <v>376</v>
      </c>
      <c r="C161" t="s">
        <v>25</v>
      </c>
      <c r="D161" s="1">
        <v>0.2</v>
      </c>
      <c r="E161" t="s">
        <v>31</v>
      </c>
      <c r="F161" s="1">
        <v>0.2</v>
      </c>
      <c r="G161" t="s">
        <v>24</v>
      </c>
      <c r="H161" s="1">
        <v>0.95</v>
      </c>
      <c r="I161" s="1"/>
      <c r="J161" s="1">
        <v>0.4</v>
      </c>
      <c r="K161" s="1">
        <v>0.4</v>
      </c>
      <c r="L161" s="1">
        <v>0.37</v>
      </c>
      <c r="M161" s="1">
        <v>0.32</v>
      </c>
      <c r="N161" s="1">
        <v>0.22</v>
      </c>
    </row>
    <row r="162" spans="1:14" x14ac:dyDescent="0.3">
      <c r="A162" t="s">
        <v>321</v>
      </c>
      <c r="B162" t="s">
        <v>376</v>
      </c>
      <c r="C162" t="s">
        <v>361</v>
      </c>
      <c r="D162" s="1">
        <v>0.1</v>
      </c>
      <c r="E162" t="s">
        <v>362</v>
      </c>
      <c r="F162" s="1">
        <v>0.25</v>
      </c>
      <c r="G162" t="s">
        <v>18</v>
      </c>
      <c r="H162" s="1">
        <v>0.9</v>
      </c>
      <c r="I162" s="1">
        <f>SUMPRODUCT(H162:H165,F162:F165)*D162</f>
        <v>7.8750000000000014E-2</v>
      </c>
      <c r="J162" s="1">
        <v>0.5</v>
      </c>
      <c r="K162" s="1">
        <v>0.5</v>
      </c>
      <c r="L162" s="1">
        <v>0.46</v>
      </c>
      <c r="M162" s="1">
        <v>0.4</v>
      </c>
      <c r="N162" s="1">
        <v>0.28999999999999998</v>
      </c>
    </row>
    <row r="163" spans="1:14" x14ac:dyDescent="0.3">
      <c r="A163" t="s">
        <v>321</v>
      </c>
      <c r="B163" t="s">
        <v>376</v>
      </c>
      <c r="C163" t="s">
        <v>361</v>
      </c>
      <c r="D163" s="1">
        <v>0.1</v>
      </c>
      <c r="E163" t="s">
        <v>363</v>
      </c>
      <c r="F163" s="1">
        <v>0.25</v>
      </c>
      <c r="G163" t="s">
        <v>40</v>
      </c>
      <c r="H163" s="1">
        <v>0.7</v>
      </c>
      <c r="I163" s="1"/>
      <c r="J163" s="1">
        <v>0.5</v>
      </c>
      <c r="K163" s="1">
        <v>0.5</v>
      </c>
      <c r="L163" s="1">
        <v>0.46</v>
      </c>
      <c r="M163" s="1">
        <v>0.4</v>
      </c>
      <c r="N163" s="1">
        <v>0.28999999999999998</v>
      </c>
    </row>
    <row r="164" spans="1:14" x14ac:dyDescent="0.3">
      <c r="A164" t="s">
        <v>321</v>
      </c>
      <c r="B164" t="s">
        <v>376</v>
      </c>
      <c r="C164" t="s">
        <v>361</v>
      </c>
      <c r="D164" s="1">
        <v>0.1</v>
      </c>
      <c r="E164" t="s">
        <v>364</v>
      </c>
      <c r="F164" s="1">
        <v>0.25</v>
      </c>
      <c r="G164" t="s">
        <v>20</v>
      </c>
      <c r="H164" s="1">
        <v>0.6</v>
      </c>
      <c r="I164" s="1"/>
      <c r="J164" s="1">
        <v>0.5</v>
      </c>
      <c r="K164" s="1">
        <v>0.5</v>
      </c>
      <c r="L164" s="1">
        <v>0.46</v>
      </c>
      <c r="M164" s="1">
        <v>0.4</v>
      </c>
      <c r="N164" s="1">
        <v>0.28999999999999998</v>
      </c>
    </row>
    <row r="165" spans="1:14" x14ac:dyDescent="0.3">
      <c r="A165" t="s">
        <v>321</v>
      </c>
      <c r="B165" t="s">
        <v>376</v>
      </c>
      <c r="C165" t="s">
        <v>361</v>
      </c>
      <c r="D165" s="1">
        <v>0.1</v>
      </c>
      <c r="E165" t="s">
        <v>365</v>
      </c>
      <c r="F165" s="1">
        <v>0.25</v>
      </c>
      <c r="G165" t="s">
        <v>24</v>
      </c>
      <c r="H165" s="1">
        <v>0.95</v>
      </c>
      <c r="I165" s="1"/>
      <c r="J165" s="1">
        <v>0.5</v>
      </c>
      <c r="K165" s="1">
        <v>0.5</v>
      </c>
      <c r="L165" s="1">
        <v>0.46</v>
      </c>
      <c r="M165" s="1">
        <v>0.4</v>
      </c>
      <c r="N165" s="1">
        <v>0.28999999999999998</v>
      </c>
    </row>
    <row r="166" spans="1:14" x14ac:dyDescent="0.3">
      <c r="I166" s="2">
        <f>SUM(I146:I162)</f>
        <v>0.72950000000000004</v>
      </c>
      <c r="J166" s="2">
        <f>+J147*$D147+J151*$D151+J155*$D155+J159*$D159+J163*$D163</f>
        <v>0.52500000000000002</v>
      </c>
      <c r="K166" s="2">
        <f>+K147*$D147+K151*$D151+K155*$D155+K159*$D159+K163*$D163</f>
        <v>0.52500000000000002</v>
      </c>
      <c r="L166" s="2">
        <f>+L147*$D147+L151*$D151+L155*$D155+L159*$D159+L163*$D163</f>
        <v>0.48250000000000004</v>
      </c>
      <c r="M166" s="2">
        <f>+M147*$D147+M151*$D151+M155*$D155+M159*$D159+M163*$D163</f>
        <v>0.42000000000000004</v>
      </c>
      <c r="N166" s="2">
        <f>+N147*$D147+N151*$D151+N155*$D155+N159*$D159+N163*$D163</f>
        <v>0.30299999999999994</v>
      </c>
    </row>
    <row r="167" spans="1:14" x14ac:dyDescent="0.3">
      <c r="D167" s="1"/>
      <c r="F167" s="1"/>
      <c r="H167" s="1"/>
      <c r="I167" s="1"/>
    </row>
    <row r="168" spans="1:14" x14ac:dyDescent="0.3">
      <c r="A168" t="s">
        <v>321</v>
      </c>
      <c r="B168" t="s">
        <v>384</v>
      </c>
      <c r="C168" t="s">
        <v>385</v>
      </c>
      <c r="D168" s="1">
        <v>0.25</v>
      </c>
      <c r="E168" t="s">
        <v>386</v>
      </c>
      <c r="F168" s="1">
        <v>0.35</v>
      </c>
      <c r="G168" t="s">
        <v>18</v>
      </c>
      <c r="H168" s="1">
        <v>0.9</v>
      </c>
      <c r="I168" s="1">
        <f>SUMPRODUCT(H168:H171,F168:F171)*D168</f>
        <v>0.21250000000000002</v>
      </c>
      <c r="J168" s="1">
        <v>0.68</v>
      </c>
      <c r="K168" s="1">
        <v>0.68</v>
      </c>
      <c r="L168" s="1">
        <v>0.63</v>
      </c>
      <c r="M168" s="1">
        <v>0.56999999999999995</v>
      </c>
      <c r="N168" s="1">
        <v>0.47</v>
      </c>
    </row>
    <row r="169" spans="1:14" x14ac:dyDescent="0.3">
      <c r="A169" t="s">
        <v>321</v>
      </c>
      <c r="B169" t="s">
        <v>384</v>
      </c>
      <c r="C169" t="s">
        <v>385</v>
      </c>
      <c r="D169" s="1">
        <v>0.25</v>
      </c>
      <c r="E169" t="s">
        <v>387</v>
      </c>
      <c r="F169" s="1">
        <v>0.25</v>
      </c>
      <c r="G169" t="s">
        <v>18</v>
      </c>
      <c r="H169" s="1">
        <v>0.9</v>
      </c>
      <c r="I169" s="1"/>
      <c r="J169" s="1">
        <v>0.68</v>
      </c>
      <c r="K169" s="1">
        <v>0.68</v>
      </c>
      <c r="L169" s="1">
        <v>0.63</v>
      </c>
      <c r="M169" s="1">
        <v>0.56999999999999995</v>
      </c>
      <c r="N169" s="1">
        <v>0.47</v>
      </c>
    </row>
    <row r="170" spans="1:14" x14ac:dyDescent="0.3">
      <c r="A170" t="s">
        <v>321</v>
      </c>
      <c r="B170" t="s">
        <v>384</v>
      </c>
      <c r="C170" t="s">
        <v>385</v>
      </c>
      <c r="D170" s="1">
        <v>0.25</v>
      </c>
      <c r="E170" t="s">
        <v>388</v>
      </c>
      <c r="F170" s="1">
        <v>0.2</v>
      </c>
      <c r="G170" t="s">
        <v>20</v>
      </c>
      <c r="H170" s="1">
        <v>0.6</v>
      </c>
      <c r="I170" s="1"/>
      <c r="J170" s="1">
        <v>0.68</v>
      </c>
      <c r="K170" s="1">
        <v>0.68</v>
      </c>
      <c r="L170" s="1">
        <v>0.63</v>
      </c>
      <c r="M170" s="1">
        <v>0.56999999999999995</v>
      </c>
      <c r="N170" s="1">
        <v>0.47</v>
      </c>
    </row>
    <row r="171" spans="1:14" x14ac:dyDescent="0.3">
      <c r="A171" t="s">
        <v>321</v>
      </c>
      <c r="B171" t="s">
        <v>384</v>
      </c>
      <c r="C171" t="s">
        <v>385</v>
      </c>
      <c r="D171" s="1">
        <v>0.25</v>
      </c>
      <c r="E171" t="s">
        <v>284</v>
      </c>
      <c r="F171" s="1">
        <v>0.2</v>
      </c>
      <c r="G171" t="s">
        <v>24</v>
      </c>
      <c r="H171" s="1">
        <v>0.95</v>
      </c>
      <c r="I171" s="1"/>
      <c r="J171" s="1">
        <v>0.68</v>
      </c>
      <c r="K171" s="1">
        <v>0.68</v>
      </c>
      <c r="L171" s="1">
        <v>0.63</v>
      </c>
      <c r="M171" s="1">
        <v>0.56999999999999995</v>
      </c>
      <c r="N171" s="1">
        <v>0.47</v>
      </c>
    </row>
    <row r="172" spans="1:14" x14ac:dyDescent="0.3">
      <c r="A172" t="s">
        <v>321</v>
      </c>
      <c r="B172" t="s">
        <v>384</v>
      </c>
      <c r="C172" t="s">
        <v>389</v>
      </c>
      <c r="D172" s="1">
        <v>0.25</v>
      </c>
      <c r="E172" t="s">
        <v>390</v>
      </c>
      <c r="F172" s="1">
        <v>0.25</v>
      </c>
      <c r="G172" t="s">
        <v>28</v>
      </c>
      <c r="H172" s="1">
        <v>0.7</v>
      </c>
      <c r="I172" s="1">
        <f>SUMPRODUCT(H172:H175,F172:F175)*D172</f>
        <v>0.15625</v>
      </c>
      <c r="J172" s="1">
        <v>0.53</v>
      </c>
      <c r="K172" s="1">
        <v>0.53</v>
      </c>
      <c r="L172" s="1">
        <v>0.49</v>
      </c>
      <c r="M172" s="1">
        <v>0.44</v>
      </c>
      <c r="N172" s="1">
        <v>0.35</v>
      </c>
    </row>
    <row r="173" spans="1:14" x14ac:dyDescent="0.3">
      <c r="A173" t="s">
        <v>321</v>
      </c>
      <c r="B173" t="s">
        <v>384</v>
      </c>
      <c r="C173" t="s">
        <v>389</v>
      </c>
      <c r="D173" s="1">
        <v>0.25</v>
      </c>
      <c r="E173" t="s">
        <v>391</v>
      </c>
      <c r="F173" s="1">
        <v>0.2</v>
      </c>
      <c r="G173" t="s">
        <v>30</v>
      </c>
      <c r="H173" s="1">
        <v>0.1</v>
      </c>
      <c r="I173" s="1"/>
      <c r="J173" s="1">
        <v>0.53</v>
      </c>
      <c r="K173" s="1">
        <v>0.53</v>
      </c>
      <c r="L173" s="1">
        <v>0.49</v>
      </c>
      <c r="M173" s="1">
        <v>0.44</v>
      </c>
      <c r="N173" s="1">
        <v>0.35</v>
      </c>
    </row>
    <row r="174" spans="1:14" x14ac:dyDescent="0.3">
      <c r="A174" t="s">
        <v>321</v>
      </c>
      <c r="B174" t="s">
        <v>384</v>
      </c>
      <c r="C174" t="s">
        <v>389</v>
      </c>
      <c r="D174" s="1">
        <v>0.25</v>
      </c>
      <c r="E174" t="s">
        <v>392</v>
      </c>
      <c r="F174" s="1">
        <v>0.3</v>
      </c>
      <c r="G174" t="s">
        <v>22</v>
      </c>
      <c r="H174" s="1">
        <v>0.85</v>
      </c>
      <c r="I174" s="1"/>
      <c r="J174" s="1">
        <v>0.53</v>
      </c>
      <c r="K174" s="1">
        <v>0.53</v>
      </c>
      <c r="L174" s="1">
        <v>0.49</v>
      </c>
      <c r="M174" s="1">
        <v>0.44</v>
      </c>
      <c r="N174" s="1">
        <v>0.35</v>
      </c>
    </row>
    <row r="175" spans="1:14" x14ac:dyDescent="0.3">
      <c r="A175" t="s">
        <v>321</v>
      </c>
      <c r="B175" t="s">
        <v>384</v>
      </c>
      <c r="C175" t="s">
        <v>389</v>
      </c>
      <c r="D175" s="1">
        <v>0.25</v>
      </c>
      <c r="E175" t="s">
        <v>393</v>
      </c>
      <c r="F175" s="1">
        <v>0.25</v>
      </c>
      <c r="G175" t="s">
        <v>73</v>
      </c>
      <c r="H175" s="1">
        <v>0.7</v>
      </c>
      <c r="I175" s="1"/>
      <c r="J175" s="1">
        <v>0.53</v>
      </c>
      <c r="K175" s="1">
        <v>0.53</v>
      </c>
      <c r="L175" s="1">
        <v>0.49</v>
      </c>
      <c r="M175" s="1">
        <v>0.44</v>
      </c>
      <c r="N175" s="1">
        <v>0.35</v>
      </c>
    </row>
    <row r="176" spans="1:14" x14ac:dyDescent="0.3">
      <c r="A176" t="s">
        <v>321</v>
      </c>
      <c r="B176" t="s">
        <v>384</v>
      </c>
      <c r="C176" t="s">
        <v>16</v>
      </c>
      <c r="D176" s="1">
        <v>0.15</v>
      </c>
      <c r="E176" t="s">
        <v>17</v>
      </c>
      <c r="F176" s="1">
        <v>0.3</v>
      </c>
      <c r="G176" t="s">
        <v>18</v>
      </c>
      <c r="H176" s="1">
        <v>0.9</v>
      </c>
      <c r="I176" s="1">
        <f>SUMPRODUCT(H176:H179,F176:F179)*D176</f>
        <v>0.12412500000000001</v>
      </c>
      <c r="J176" s="1">
        <v>0.65</v>
      </c>
      <c r="K176" s="1">
        <v>0.65</v>
      </c>
      <c r="L176" s="1">
        <v>0.6</v>
      </c>
      <c r="M176" s="1">
        <v>0.54</v>
      </c>
      <c r="N176" s="1">
        <v>0.44</v>
      </c>
    </row>
    <row r="177" spans="1:14" x14ac:dyDescent="0.3">
      <c r="A177" t="s">
        <v>321</v>
      </c>
      <c r="B177" t="s">
        <v>384</v>
      </c>
      <c r="C177" t="s">
        <v>16</v>
      </c>
      <c r="D177" s="1">
        <v>0.15</v>
      </c>
      <c r="E177" t="s">
        <v>19</v>
      </c>
      <c r="F177" s="1">
        <v>0.25</v>
      </c>
      <c r="G177" t="s">
        <v>20</v>
      </c>
      <c r="H177" s="1">
        <v>0.6</v>
      </c>
      <c r="I177" s="1"/>
      <c r="J177" s="1">
        <v>0.65</v>
      </c>
      <c r="K177" s="1">
        <v>0.65</v>
      </c>
      <c r="L177" s="1">
        <v>0.6</v>
      </c>
      <c r="M177" s="1">
        <v>0.54</v>
      </c>
      <c r="N177" s="1">
        <v>0.44</v>
      </c>
    </row>
    <row r="178" spans="1:14" x14ac:dyDescent="0.3">
      <c r="A178" t="s">
        <v>321</v>
      </c>
      <c r="B178" t="s">
        <v>384</v>
      </c>
      <c r="C178" t="s">
        <v>16</v>
      </c>
      <c r="D178" s="1">
        <v>0.15</v>
      </c>
      <c r="E178" t="s">
        <v>21</v>
      </c>
      <c r="F178" s="1">
        <v>0.2</v>
      </c>
      <c r="G178" t="s">
        <v>22</v>
      </c>
      <c r="H178" s="1">
        <v>0.85</v>
      </c>
      <c r="I178" s="1"/>
      <c r="J178" s="1">
        <v>0.65</v>
      </c>
      <c r="K178" s="1">
        <v>0.65</v>
      </c>
      <c r="L178" s="1">
        <v>0.6</v>
      </c>
      <c r="M178" s="1">
        <v>0.54</v>
      </c>
      <c r="N178" s="1">
        <v>0.44</v>
      </c>
    </row>
    <row r="179" spans="1:14" x14ac:dyDescent="0.3">
      <c r="A179" t="s">
        <v>321</v>
      </c>
      <c r="B179" t="s">
        <v>384</v>
      </c>
      <c r="C179" t="s">
        <v>16</v>
      </c>
      <c r="D179" s="1">
        <v>0.15</v>
      </c>
      <c r="E179" t="s">
        <v>23</v>
      </c>
      <c r="F179" s="1">
        <v>0.25</v>
      </c>
      <c r="G179" t="s">
        <v>24</v>
      </c>
      <c r="H179" s="1">
        <v>0.95</v>
      </c>
      <c r="I179" s="1"/>
      <c r="J179" s="1">
        <v>0.65</v>
      </c>
      <c r="K179" s="1">
        <v>0.65</v>
      </c>
      <c r="L179" s="1">
        <v>0.6</v>
      </c>
      <c r="M179" s="1">
        <v>0.54</v>
      </c>
      <c r="N179" s="1">
        <v>0.44</v>
      </c>
    </row>
    <row r="180" spans="1:14" x14ac:dyDescent="0.3">
      <c r="A180" t="s">
        <v>321</v>
      </c>
      <c r="B180" t="s">
        <v>384</v>
      </c>
      <c r="C180" t="s">
        <v>25</v>
      </c>
      <c r="D180" s="1">
        <v>0.15</v>
      </c>
      <c r="E180" t="s">
        <v>26</v>
      </c>
      <c r="F180" s="1">
        <v>0.25</v>
      </c>
      <c r="G180" t="s">
        <v>18</v>
      </c>
      <c r="H180" s="1">
        <v>0.9</v>
      </c>
      <c r="I180" s="1">
        <f>SUMPRODUCT(H180:H183,F180:F183)*D180</f>
        <v>9.3000000000000013E-2</v>
      </c>
      <c r="J180" s="1">
        <v>0.43</v>
      </c>
      <c r="K180" s="1">
        <v>0.43</v>
      </c>
      <c r="L180" s="1">
        <v>0.4</v>
      </c>
      <c r="M180" s="1">
        <v>0.35</v>
      </c>
      <c r="N180" s="1">
        <v>0.27</v>
      </c>
    </row>
    <row r="181" spans="1:14" x14ac:dyDescent="0.3">
      <c r="A181" t="s">
        <v>321</v>
      </c>
      <c r="B181" t="s">
        <v>384</v>
      </c>
      <c r="C181" t="s">
        <v>25</v>
      </c>
      <c r="D181" s="1">
        <v>0.15</v>
      </c>
      <c r="E181" t="s">
        <v>285</v>
      </c>
      <c r="F181" s="1">
        <v>0.25</v>
      </c>
      <c r="G181" t="s">
        <v>28</v>
      </c>
      <c r="H181" s="1">
        <v>0.7</v>
      </c>
      <c r="I181" s="1"/>
      <c r="J181" s="1">
        <v>0.43</v>
      </c>
      <c r="K181" s="1">
        <v>0.43</v>
      </c>
      <c r="L181" s="1">
        <v>0.4</v>
      </c>
      <c r="M181" s="1">
        <v>0.35</v>
      </c>
      <c r="N181" s="1">
        <v>0.27</v>
      </c>
    </row>
    <row r="182" spans="1:14" x14ac:dyDescent="0.3">
      <c r="A182" t="s">
        <v>321</v>
      </c>
      <c r="B182" t="s">
        <v>384</v>
      </c>
      <c r="C182" t="s">
        <v>25</v>
      </c>
      <c r="D182" s="1">
        <v>0.15</v>
      </c>
      <c r="E182" t="s">
        <v>29</v>
      </c>
      <c r="F182" s="1">
        <v>0.3</v>
      </c>
      <c r="G182" t="s">
        <v>30</v>
      </c>
      <c r="H182" s="1">
        <v>0.1</v>
      </c>
      <c r="I182" s="1"/>
      <c r="J182" s="1">
        <v>0.43</v>
      </c>
      <c r="K182" s="1">
        <v>0.43</v>
      </c>
      <c r="L182" s="1">
        <v>0.4</v>
      </c>
      <c r="M182" s="1">
        <v>0.35</v>
      </c>
      <c r="N182" s="1">
        <v>0.27</v>
      </c>
    </row>
    <row r="183" spans="1:14" x14ac:dyDescent="0.3">
      <c r="A183" t="s">
        <v>321</v>
      </c>
      <c r="B183" t="s">
        <v>384</v>
      </c>
      <c r="C183" t="s">
        <v>25</v>
      </c>
      <c r="D183" s="1">
        <v>0.15</v>
      </c>
      <c r="E183" t="s">
        <v>31</v>
      </c>
      <c r="F183" s="1">
        <v>0.2</v>
      </c>
      <c r="G183" t="s">
        <v>24</v>
      </c>
      <c r="H183" s="1">
        <v>0.95</v>
      </c>
      <c r="I183" s="1"/>
      <c r="J183" s="1">
        <v>0.43</v>
      </c>
      <c r="K183" s="1">
        <v>0.43</v>
      </c>
      <c r="L183" s="1">
        <v>0.4</v>
      </c>
      <c r="M183" s="1">
        <v>0.35</v>
      </c>
      <c r="N183" s="1">
        <v>0.27</v>
      </c>
    </row>
    <row r="184" spans="1:14" x14ac:dyDescent="0.3">
      <c r="A184" t="s">
        <v>321</v>
      </c>
      <c r="B184" t="s">
        <v>384</v>
      </c>
      <c r="C184" t="s">
        <v>361</v>
      </c>
      <c r="D184" s="1">
        <v>0.2</v>
      </c>
      <c r="E184" t="s">
        <v>362</v>
      </c>
      <c r="F184" s="1">
        <v>0.25</v>
      </c>
      <c r="G184" t="s">
        <v>18</v>
      </c>
      <c r="H184" s="1">
        <v>0.9</v>
      </c>
      <c r="I184" s="1">
        <f>SUMPRODUCT(H184:H187,F184:F187)*D184</f>
        <v>0.15750000000000003</v>
      </c>
      <c r="J184" s="1">
        <v>0.55000000000000004</v>
      </c>
      <c r="K184" s="1">
        <v>0.55000000000000004</v>
      </c>
      <c r="L184" s="1">
        <v>0.51</v>
      </c>
      <c r="M184" s="1">
        <v>0.46</v>
      </c>
      <c r="N184" s="1">
        <v>0.37</v>
      </c>
    </row>
    <row r="185" spans="1:14" x14ac:dyDescent="0.3">
      <c r="A185" t="s">
        <v>321</v>
      </c>
      <c r="B185" t="s">
        <v>384</v>
      </c>
      <c r="C185" t="s">
        <v>361</v>
      </c>
      <c r="D185" s="1">
        <v>0.2</v>
      </c>
      <c r="E185" t="s">
        <v>363</v>
      </c>
      <c r="F185" s="1">
        <v>0.25</v>
      </c>
      <c r="G185" t="s">
        <v>40</v>
      </c>
      <c r="H185" s="1">
        <v>0.7</v>
      </c>
      <c r="I185" s="1"/>
      <c r="J185" s="1">
        <v>0.55000000000000004</v>
      </c>
      <c r="K185" s="1">
        <v>0.55000000000000004</v>
      </c>
      <c r="L185" s="1">
        <v>0.51</v>
      </c>
      <c r="M185" s="1">
        <v>0.46</v>
      </c>
      <c r="N185" s="1">
        <v>0.37</v>
      </c>
    </row>
    <row r="186" spans="1:14" x14ac:dyDescent="0.3">
      <c r="A186" t="s">
        <v>321</v>
      </c>
      <c r="B186" t="s">
        <v>384</v>
      </c>
      <c r="C186" t="s">
        <v>361</v>
      </c>
      <c r="D186" s="1">
        <v>0.2</v>
      </c>
      <c r="E186" t="s">
        <v>364</v>
      </c>
      <c r="F186" s="1">
        <v>0.25</v>
      </c>
      <c r="G186" t="s">
        <v>20</v>
      </c>
      <c r="H186" s="1">
        <v>0.6</v>
      </c>
      <c r="I186" s="1"/>
      <c r="J186" s="1">
        <v>0.55000000000000004</v>
      </c>
      <c r="K186" s="1">
        <v>0.55000000000000004</v>
      </c>
      <c r="L186" s="1">
        <v>0.51</v>
      </c>
      <c r="M186" s="1">
        <v>0.46</v>
      </c>
      <c r="N186" s="1">
        <v>0.37</v>
      </c>
    </row>
    <row r="187" spans="1:14" x14ac:dyDescent="0.3">
      <c r="A187" t="s">
        <v>321</v>
      </c>
      <c r="B187" t="s">
        <v>384</v>
      </c>
      <c r="C187" t="s">
        <v>361</v>
      </c>
      <c r="D187" s="1">
        <v>0.2</v>
      </c>
      <c r="E187" t="s">
        <v>365</v>
      </c>
      <c r="F187" s="1">
        <v>0.25</v>
      </c>
      <c r="G187" t="s">
        <v>24</v>
      </c>
      <c r="H187" s="1">
        <v>0.95</v>
      </c>
      <c r="I187" s="1"/>
      <c r="J187" s="1">
        <v>0.55000000000000004</v>
      </c>
      <c r="K187" s="1">
        <v>0.55000000000000004</v>
      </c>
      <c r="L187" s="1">
        <v>0.51</v>
      </c>
      <c r="M187" s="1">
        <v>0.46</v>
      </c>
      <c r="N187" s="1">
        <v>0.37</v>
      </c>
    </row>
    <row r="188" spans="1:14" x14ac:dyDescent="0.3">
      <c r="D188" s="1"/>
      <c r="F188" s="1"/>
      <c r="H188" s="1"/>
      <c r="I188" s="2">
        <f>SUM(I168:I184)</f>
        <v>0.74337500000000012</v>
      </c>
      <c r="J188" s="2">
        <f>+J169*$D169+J173*$D173+J177*$D177+J181*$D181+J185*$D185</f>
        <v>0.57450000000000001</v>
      </c>
      <c r="K188" s="2">
        <f>+K169*$D169+K173*$D173+K177*$D177+K181*$D181+K185*$D185</f>
        <v>0.57450000000000001</v>
      </c>
      <c r="L188" s="2">
        <f>+L169*$D169+L173*$D173+L177*$D177+L181*$D181+L185*$D185</f>
        <v>0.53200000000000003</v>
      </c>
      <c r="M188" s="2">
        <f>+M169*$D169+M173*$D173+M177*$D177+M181*$D181+M185*$D185</f>
        <v>0.47800000000000004</v>
      </c>
      <c r="N188" s="2">
        <f>+N169*$D169+N173*$D173+N177*$D177+N181*$D181+N185*$D185</f>
        <v>0.38550000000000001</v>
      </c>
    </row>
    <row r="189" spans="1:14" x14ac:dyDescent="0.3">
      <c r="D189" s="1"/>
      <c r="F189" s="1"/>
      <c r="H189" s="1"/>
      <c r="I189" s="1"/>
      <c r="J189" s="1"/>
      <c r="K189" s="1"/>
      <c r="L189" s="1"/>
      <c r="M189" s="1"/>
      <c r="N189" s="1"/>
    </row>
    <row r="190" spans="1:14" x14ac:dyDescent="0.3">
      <c r="A190" t="s">
        <v>321</v>
      </c>
      <c r="B190" t="s">
        <v>394</v>
      </c>
      <c r="C190" t="s">
        <v>105</v>
      </c>
      <c r="D190" s="1">
        <v>0.3</v>
      </c>
      <c r="E190" t="s">
        <v>292</v>
      </c>
      <c r="F190" s="1">
        <v>0.25</v>
      </c>
      <c r="G190" t="s">
        <v>28</v>
      </c>
      <c r="H190" s="1">
        <v>0.7</v>
      </c>
      <c r="I190" s="1">
        <f>SUMPRODUCT(H190:H193,F190:F193)*D190</f>
        <v>0.156</v>
      </c>
      <c r="J190" s="1">
        <v>0.4</v>
      </c>
      <c r="K190" s="1">
        <v>0.4</v>
      </c>
      <c r="L190" s="1">
        <v>0.37</v>
      </c>
      <c r="M190" s="1">
        <v>0.33</v>
      </c>
      <c r="N190" s="1">
        <v>0.26</v>
      </c>
    </row>
    <row r="191" spans="1:14" x14ac:dyDescent="0.3">
      <c r="A191" t="s">
        <v>321</v>
      </c>
      <c r="B191" t="s">
        <v>394</v>
      </c>
      <c r="C191" t="s">
        <v>105</v>
      </c>
      <c r="D191" s="1">
        <v>0.3</v>
      </c>
      <c r="E191" t="s">
        <v>293</v>
      </c>
      <c r="F191" s="1">
        <v>0.35</v>
      </c>
      <c r="G191" t="s">
        <v>30</v>
      </c>
      <c r="H191" s="1">
        <v>0.1</v>
      </c>
      <c r="I191" s="1"/>
      <c r="J191" s="1">
        <v>0.4</v>
      </c>
      <c r="K191" s="1">
        <v>0.4</v>
      </c>
      <c r="L191" s="1">
        <v>0.37</v>
      </c>
      <c r="M191" s="1">
        <v>0.33</v>
      </c>
      <c r="N191" s="1">
        <v>0.26</v>
      </c>
    </row>
    <row r="192" spans="1:14" x14ac:dyDescent="0.3">
      <c r="A192" t="s">
        <v>321</v>
      </c>
      <c r="B192" t="s">
        <v>394</v>
      </c>
      <c r="C192" t="s">
        <v>105</v>
      </c>
      <c r="D192" s="1">
        <v>0.3</v>
      </c>
      <c r="E192" t="s">
        <v>144</v>
      </c>
      <c r="F192" s="1">
        <v>0.2</v>
      </c>
      <c r="G192" t="s">
        <v>20</v>
      </c>
      <c r="H192" s="1">
        <v>0.6</v>
      </c>
      <c r="I192" s="1"/>
      <c r="J192" s="1">
        <v>0.4</v>
      </c>
      <c r="K192" s="1">
        <v>0.4</v>
      </c>
      <c r="L192" s="1">
        <v>0.37</v>
      </c>
      <c r="M192" s="1">
        <v>0.33</v>
      </c>
      <c r="N192" s="1">
        <v>0.26</v>
      </c>
    </row>
    <row r="193" spans="1:14" x14ac:dyDescent="0.3">
      <c r="A193" t="s">
        <v>321</v>
      </c>
      <c r="B193" t="s">
        <v>394</v>
      </c>
      <c r="C193" t="s">
        <v>105</v>
      </c>
      <c r="D193" s="1">
        <v>0.3</v>
      </c>
      <c r="E193" t="s">
        <v>108</v>
      </c>
      <c r="F193" s="1">
        <v>0.2</v>
      </c>
      <c r="G193" t="s">
        <v>24</v>
      </c>
      <c r="H193" s="1">
        <v>0.95</v>
      </c>
      <c r="I193" s="1"/>
      <c r="J193" s="1">
        <v>0.4</v>
      </c>
      <c r="K193" s="1">
        <v>0.4</v>
      </c>
      <c r="L193" s="1">
        <v>0.37</v>
      </c>
      <c r="M193" s="1">
        <v>0.33</v>
      </c>
      <c r="N193" s="1">
        <v>0.26</v>
      </c>
    </row>
    <row r="194" spans="1:14" x14ac:dyDescent="0.3">
      <c r="A194" t="s">
        <v>321</v>
      </c>
      <c r="B194" t="s">
        <v>394</v>
      </c>
      <c r="C194" t="s">
        <v>294</v>
      </c>
      <c r="D194" s="1">
        <v>0.2</v>
      </c>
      <c r="E194" t="s">
        <v>295</v>
      </c>
      <c r="F194" s="1">
        <v>0.35</v>
      </c>
      <c r="G194" t="s">
        <v>18</v>
      </c>
      <c r="H194" s="1">
        <v>0.9</v>
      </c>
      <c r="I194" s="1">
        <f>SUMPRODUCT(H194:H197,F194:F197)*D194</f>
        <v>0.17000000000000004</v>
      </c>
      <c r="J194" s="1">
        <v>0.62</v>
      </c>
      <c r="K194" s="1">
        <v>0.62</v>
      </c>
      <c r="L194" s="1">
        <v>0.56999999999999995</v>
      </c>
      <c r="M194" s="1">
        <v>0.5</v>
      </c>
      <c r="N194" s="1">
        <v>0.38</v>
      </c>
    </row>
    <row r="195" spans="1:14" x14ac:dyDescent="0.3">
      <c r="A195" t="s">
        <v>321</v>
      </c>
      <c r="B195" t="s">
        <v>394</v>
      </c>
      <c r="C195" t="s">
        <v>294</v>
      </c>
      <c r="D195" s="1">
        <v>0.2</v>
      </c>
      <c r="E195" t="s">
        <v>296</v>
      </c>
      <c r="F195" s="1">
        <v>0.25</v>
      </c>
      <c r="G195" t="s">
        <v>18</v>
      </c>
      <c r="H195" s="1">
        <v>0.9</v>
      </c>
      <c r="I195" s="1"/>
      <c r="J195" s="1">
        <v>0.62</v>
      </c>
      <c r="K195" s="1">
        <v>0.62</v>
      </c>
      <c r="L195" s="1">
        <v>0.56999999999999995</v>
      </c>
      <c r="M195" s="1">
        <v>0.5</v>
      </c>
      <c r="N195" s="1">
        <v>0.38</v>
      </c>
    </row>
    <row r="196" spans="1:14" x14ac:dyDescent="0.3">
      <c r="A196" t="s">
        <v>321</v>
      </c>
      <c r="B196" t="s">
        <v>394</v>
      </c>
      <c r="C196" t="s">
        <v>294</v>
      </c>
      <c r="D196" s="1">
        <v>0.2</v>
      </c>
      <c r="E196" t="s">
        <v>112</v>
      </c>
      <c r="F196" s="1">
        <v>0.2</v>
      </c>
      <c r="G196" t="s">
        <v>20</v>
      </c>
      <c r="H196" s="1">
        <v>0.6</v>
      </c>
      <c r="I196" s="1"/>
      <c r="J196" s="1">
        <v>0.62</v>
      </c>
      <c r="K196" s="1">
        <v>0.62</v>
      </c>
      <c r="L196" s="1">
        <v>0.56999999999999995</v>
      </c>
      <c r="M196" s="1">
        <v>0.5</v>
      </c>
      <c r="N196" s="1">
        <v>0.38</v>
      </c>
    </row>
    <row r="197" spans="1:14" x14ac:dyDescent="0.3">
      <c r="A197" t="s">
        <v>321</v>
      </c>
      <c r="B197" t="s">
        <v>394</v>
      </c>
      <c r="C197" t="s">
        <v>294</v>
      </c>
      <c r="D197" s="1">
        <v>0.2</v>
      </c>
      <c r="E197" t="s">
        <v>113</v>
      </c>
      <c r="F197" s="1">
        <v>0.2</v>
      </c>
      <c r="G197" t="s">
        <v>24</v>
      </c>
      <c r="H197" s="1">
        <v>0.95</v>
      </c>
      <c r="I197" s="1"/>
      <c r="J197" s="1">
        <v>0.62</v>
      </c>
      <c r="K197" s="1">
        <v>0.62</v>
      </c>
      <c r="L197" s="1">
        <v>0.56999999999999995</v>
      </c>
      <c r="M197" s="1">
        <v>0.5</v>
      </c>
      <c r="N197" s="1">
        <v>0.38</v>
      </c>
    </row>
    <row r="198" spans="1:14" x14ac:dyDescent="0.3">
      <c r="A198" t="s">
        <v>321</v>
      </c>
      <c r="B198" t="s">
        <v>394</v>
      </c>
      <c r="C198" t="s">
        <v>16</v>
      </c>
      <c r="D198" s="1">
        <v>0.2</v>
      </c>
      <c r="E198" t="s">
        <v>17</v>
      </c>
      <c r="F198" s="1">
        <v>0.3</v>
      </c>
      <c r="G198" t="s">
        <v>18</v>
      </c>
      <c r="H198" s="1">
        <v>0.9</v>
      </c>
      <c r="I198" s="1">
        <f>SUMPRODUCT(H198:H201,F198:F201)*D198</f>
        <v>0.16550000000000004</v>
      </c>
      <c r="J198" s="1">
        <v>0.62</v>
      </c>
      <c r="K198" s="1">
        <v>0.62</v>
      </c>
      <c r="L198" s="1">
        <v>0.56999999999999995</v>
      </c>
      <c r="M198" s="1">
        <v>0.51</v>
      </c>
      <c r="N198" s="1">
        <v>0.39</v>
      </c>
    </row>
    <row r="199" spans="1:14" x14ac:dyDescent="0.3">
      <c r="A199" t="s">
        <v>321</v>
      </c>
      <c r="B199" t="s">
        <v>394</v>
      </c>
      <c r="C199" t="s">
        <v>16</v>
      </c>
      <c r="D199" s="1">
        <v>0.2</v>
      </c>
      <c r="E199" t="s">
        <v>19</v>
      </c>
      <c r="F199" s="1">
        <v>0.25</v>
      </c>
      <c r="G199" t="s">
        <v>20</v>
      </c>
      <c r="H199" s="1">
        <v>0.6</v>
      </c>
      <c r="I199" s="1"/>
      <c r="J199" s="1">
        <v>0.62</v>
      </c>
      <c r="K199" s="1">
        <v>0.62</v>
      </c>
      <c r="L199" s="1">
        <v>0.56999999999999995</v>
      </c>
      <c r="M199" s="1">
        <v>0.51</v>
      </c>
      <c r="N199" s="1">
        <v>0.39</v>
      </c>
    </row>
    <row r="200" spans="1:14" x14ac:dyDescent="0.3">
      <c r="A200" t="s">
        <v>321</v>
      </c>
      <c r="B200" t="s">
        <v>394</v>
      </c>
      <c r="C200" t="s">
        <v>16</v>
      </c>
      <c r="D200" s="1">
        <v>0.2</v>
      </c>
      <c r="E200" t="s">
        <v>21</v>
      </c>
      <c r="F200" s="1">
        <v>0.2</v>
      </c>
      <c r="G200" t="s">
        <v>22</v>
      </c>
      <c r="H200" s="1">
        <v>0.85</v>
      </c>
      <c r="I200" s="1"/>
      <c r="J200" s="1">
        <v>0.62</v>
      </c>
      <c r="K200" s="1">
        <v>0.62</v>
      </c>
      <c r="L200" s="1">
        <v>0.56999999999999995</v>
      </c>
      <c r="M200" s="1">
        <v>0.51</v>
      </c>
      <c r="N200" s="1">
        <v>0.39</v>
      </c>
    </row>
    <row r="201" spans="1:14" x14ac:dyDescent="0.3">
      <c r="A201" t="s">
        <v>321</v>
      </c>
      <c r="B201" t="s">
        <v>394</v>
      </c>
      <c r="C201" t="s">
        <v>16</v>
      </c>
      <c r="D201" s="1">
        <v>0.2</v>
      </c>
      <c r="E201" t="s">
        <v>23</v>
      </c>
      <c r="F201" s="1">
        <v>0.25</v>
      </c>
      <c r="G201" t="s">
        <v>24</v>
      </c>
      <c r="H201" s="1">
        <v>0.95</v>
      </c>
      <c r="I201" s="1"/>
      <c r="J201" s="1">
        <v>0.62</v>
      </c>
      <c r="K201" s="1">
        <v>0.62</v>
      </c>
      <c r="L201" s="1">
        <v>0.56999999999999995</v>
      </c>
      <c r="M201" s="1">
        <v>0.51</v>
      </c>
      <c r="N201" s="1">
        <v>0.39</v>
      </c>
    </row>
    <row r="202" spans="1:14" x14ac:dyDescent="0.3">
      <c r="A202" t="s">
        <v>321</v>
      </c>
      <c r="B202" t="s">
        <v>394</v>
      </c>
      <c r="C202" t="s">
        <v>25</v>
      </c>
      <c r="D202" s="1">
        <v>0.1</v>
      </c>
      <c r="E202" t="s">
        <v>26</v>
      </c>
      <c r="F202" s="1">
        <v>0.25</v>
      </c>
      <c r="G202" t="s">
        <v>18</v>
      </c>
      <c r="H202" s="1">
        <v>0.9</v>
      </c>
      <c r="I202" s="1">
        <f>SUMPRODUCT(H202:H205,F202:F205)*D202</f>
        <v>6.2000000000000013E-2</v>
      </c>
      <c r="J202" s="1">
        <v>0.43</v>
      </c>
      <c r="K202" s="1">
        <v>0.43</v>
      </c>
      <c r="L202" s="1">
        <v>0.4</v>
      </c>
      <c r="M202" s="1">
        <v>0.35</v>
      </c>
      <c r="N202" s="1">
        <v>0.26</v>
      </c>
    </row>
    <row r="203" spans="1:14" x14ac:dyDescent="0.3">
      <c r="A203" t="s">
        <v>321</v>
      </c>
      <c r="B203" t="s">
        <v>394</v>
      </c>
      <c r="C203" t="s">
        <v>25</v>
      </c>
      <c r="D203" s="1">
        <v>0.1</v>
      </c>
      <c r="E203" t="s">
        <v>27</v>
      </c>
      <c r="F203" s="1">
        <v>0.25</v>
      </c>
      <c r="G203" t="s">
        <v>28</v>
      </c>
      <c r="H203" s="1">
        <v>0.7</v>
      </c>
      <c r="I203" s="1"/>
      <c r="J203" s="1">
        <v>0.43</v>
      </c>
      <c r="K203" s="1">
        <v>0.43</v>
      </c>
      <c r="L203" s="1">
        <v>0.4</v>
      </c>
      <c r="M203" s="1">
        <v>0.35</v>
      </c>
      <c r="N203" s="1">
        <v>0.26</v>
      </c>
    </row>
    <row r="204" spans="1:14" x14ac:dyDescent="0.3">
      <c r="A204" t="s">
        <v>321</v>
      </c>
      <c r="B204" t="s">
        <v>394</v>
      </c>
      <c r="C204" t="s">
        <v>25</v>
      </c>
      <c r="D204" s="1">
        <v>0.1</v>
      </c>
      <c r="E204" t="s">
        <v>29</v>
      </c>
      <c r="F204" s="1">
        <v>0.3</v>
      </c>
      <c r="G204" t="s">
        <v>30</v>
      </c>
      <c r="H204" s="1">
        <v>0.1</v>
      </c>
      <c r="I204" s="1"/>
      <c r="J204" s="1">
        <v>0.43</v>
      </c>
      <c r="K204" s="1">
        <v>0.43</v>
      </c>
      <c r="L204" s="1">
        <v>0.4</v>
      </c>
      <c r="M204" s="1">
        <v>0.35</v>
      </c>
      <c r="N204" s="1">
        <v>0.26</v>
      </c>
    </row>
    <row r="205" spans="1:14" x14ac:dyDescent="0.3">
      <c r="A205" t="s">
        <v>321</v>
      </c>
      <c r="B205" t="s">
        <v>394</v>
      </c>
      <c r="C205" t="s">
        <v>25</v>
      </c>
      <c r="D205" s="1">
        <v>0.1</v>
      </c>
      <c r="E205" t="s">
        <v>31</v>
      </c>
      <c r="F205" s="1">
        <v>0.2</v>
      </c>
      <c r="G205" t="s">
        <v>24</v>
      </c>
      <c r="H205" s="1">
        <v>0.95</v>
      </c>
      <c r="I205" s="1"/>
      <c r="J205" s="1">
        <v>0.43</v>
      </c>
      <c r="K205" s="1">
        <v>0.43</v>
      </c>
      <c r="L205" s="1">
        <v>0.4</v>
      </c>
      <c r="M205" s="1">
        <v>0.35</v>
      </c>
      <c r="N205" s="1">
        <v>0.26</v>
      </c>
    </row>
    <row r="206" spans="1:14" x14ac:dyDescent="0.3">
      <c r="A206" t="s">
        <v>321</v>
      </c>
      <c r="B206" t="s">
        <v>394</v>
      </c>
      <c r="C206" t="s">
        <v>361</v>
      </c>
      <c r="D206" s="1">
        <v>0.2</v>
      </c>
      <c r="E206" t="s">
        <v>362</v>
      </c>
      <c r="F206" s="1">
        <v>0.25</v>
      </c>
      <c r="G206" t="s">
        <v>18</v>
      </c>
      <c r="H206" s="1">
        <v>0.9</v>
      </c>
      <c r="I206" s="1">
        <f>SUMPRODUCT(H206:H209,F206:F209)*D206</f>
        <v>0.15750000000000003</v>
      </c>
      <c r="J206" s="1">
        <v>0.52</v>
      </c>
      <c r="K206" s="1">
        <v>0.52</v>
      </c>
      <c r="L206" s="1">
        <v>0.48</v>
      </c>
      <c r="M206" s="1">
        <v>0.43</v>
      </c>
      <c r="N206" s="1">
        <v>0.33</v>
      </c>
    </row>
    <row r="207" spans="1:14" x14ac:dyDescent="0.3">
      <c r="A207" t="s">
        <v>321</v>
      </c>
      <c r="B207" t="s">
        <v>394</v>
      </c>
      <c r="C207" t="s">
        <v>361</v>
      </c>
      <c r="D207" s="1">
        <v>0.2</v>
      </c>
      <c r="E207" t="s">
        <v>363</v>
      </c>
      <c r="F207" s="1">
        <v>0.25</v>
      </c>
      <c r="G207" t="s">
        <v>40</v>
      </c>
      <c r="H207" s="1">
        <v>0.7</v>
      </c>
      <c r="I207" s="1"/>
      <c r="J207" s="1">
        <v>0.52</v>
      </c>
      <c r="K207" s="1">
        <v>0.52</v>
      </c>
      <c r="L207" s="1">
        <v>0.48</v>
      </c>
      <c r="M207" s="1">
        <v>0.43</v>
      </c>
      <c r="N207" s="1">
        <v>0.33</v>
      </c>
    </row>
    <row r="208" spans="1:14" x14ac:dyDescent="0.3">
      <c r="A208" t="s">
        <v>321</v>
      </c>
      <c r="B208" t="s">
        <v>394</v>
      </c>
      <c r="C208" t="s">
        <v>361</v>
      </c>
      <c r="D208" s="1">
        <v>0.2</v>
      </c>
      <c r="E208" t="s">
        <v>364</v>
      </c>
      <c r="F208" s="1">
        <v>0.25</v>
      </c>
      <c r="G208" t="s">
        <v>20</v>
      </c>
      <c r="H208" s="1">
        <v>0.6</v>
      </c>
      <c r="I208" s="1"/>
      <c r="J208" s="1">
        <v>0.52</v>
      </c>
      <c r="K208" s="1">
        <v>0.52</v>
      </c>
      <c r="L208" s="1">
        <v>0.48</v>
      </c>
      <c r="M208" s="1">
        <v>0.43</v>
      </c>
      <c r="N208" s="1">
        <v>0.33</v>
      </c>
    </row>
    <row r="209" spans="1:14" x14ac:dyDescent="0.3">
      <c r="A209" t="s">
        <v>321</v>
      </c>
      <c r="B209" t="s">
        <v>394</v>
      </c>
      <c r="C209" t="s">
        <v>361</v>
      </c>
      <c r="D209" s="1">
        <v>0.2</v>
      </c>
      <c r="E209" t="s">
        <v>365</v>
      </c>
      <c r="F209" s="1">
        <v>0.25</v>
      </c>
      <c r="G209" t="s">
        <v>24</v>
      </c>
      <c r="H209" s="1">
        <v>0.95</v>
      </c>
      <c r="I209" s="1"/>
      <c r="J209" s="1">
        <v>0.52</v>
      </c>
      <c r="K209" s="1">
        <v>0.52</v>
      </c>
      <c r="L209" s="1">
        <v>0.48</v>
      </c>
      <c r="M209" s="1">
        <v>0.43</v>
      </c>
      <c r="N209" s="1">
        <v>0.33</v>
      </c>
    </row>
    <row r="210" spans="1:14" x14ac:dyDescent="0.3">
      <c r="I210" s="2">
        <f>SUM(I190:I206)</f>
        <v>0.71100000000000008</v>
      </c>
      <c r="J210" s="2">
        <f>+J191*$D191+J195*$D195+J199*$D199+J203*$D203+J207*$D207</f>
        <v>0.51500000000000001</v>
      </c>
      <c r="K210" s="2">
        <f>+K191*$D191+K195*$D195+K199*$D199+K203*$D203+K207*$D207</f>
        <v>0.51500000000000001</v>
      </c>
      <c r="L210" s="2">
        <f>+L191*$D191+L195*$D195+L199*$D199+L203*$D203+L207*$D207</f>
        <v>0.47499999999999998</v>
      </c>
      <c r="M210" s="2">
        <f>+M191*$D191+M195*$D195+M199*$D199+M203*$D203+M207*$D207</f>
        <v>0.42200000000000004</v>
      </c>
      <c r="N210" s="2">
        <f>+N191*$D191+N195*$D195+N199*$D199+N203*$D203+N207*$D207</f>
        <v>0.32400000000000007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38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395</v>
      </c>
      <c r="B2" t="s">
        <v>396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0.66</v>
      </c>
      <c r="K2" s="1">
        <v>0.66</v>
      </c>
      <c r="L2" s="1">
        <v>0.63</v>
      </c>
      <c r="M2" s="1">
        <v>0.57999999999999996</v>
      </c>
      <c r="N2" s="1">
        <v>0.55000000000000004</v>
      </c>
    </row>
    <row r="3" spans="1:14" x14ac:dyDescent="0.3">
      <c r="A3" t="s">
        <v>395</v>
      </c>
      <c r="B3" t="s">
        <v>396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0.66</v>
      </c>
      <c r="K3" s="1">
        <v>0.66</v>
      </c>
      <c r="L3" s="1">
        <v>0.63</v>
      </c>
      <c r="M3" s="1">
        <v>0.57999999999999996</v>
      </c>
      <c r="N3" s="1">
        <v>0.55000000000000004</v>
      </c>
    </row>
    <row r="4" spans="1:14" x14ac:dyDescent="0.3">
      <c r="A4" t="s">
        <v>395</v>
      </c>
      <c r="B4" t="s">
        <v>396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0.66</v>
      </c>
      <c r="K4" s="1">
        <v>0.66</v>
      </c>
      <c r="L4" s="1">
        <v>0.63</v>
      </c>
      <c r="M4" s="1">
        <v>0.57999999999999996</v>
      </c>
      <c r="N4" s="1">
        <v>0.55000000000000004</v>
      </c>
    </row>
    <row r="5" spans="1:14" x14ac:dyDescent="0.3">
      <c r="A5" t="s">
        <v>395</v>
      </c>
      <c r="B5" t="s">
        <v>396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0.66</v>
      </c>
      <c r="K5" s="1">
        <v>0.66</v>
      </c>
      <c r="L5" s="1">
        <v>0.63</v>
      </c>
      <c r="M5" s="1">
        <v>0.57999999999999996</v>
      </c>
      <c r="N5" s="1">
        <v>0.55000000000000004</v>
      </c>
    </row>
    <row r="6" spans="1:14" x14ac:dyDescent="0.3">
      <c r="A6" t="s">
        <v>395</v>
      </c>
      <c r="B6" t="s">
        <v>396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0.46</v>
      </c>
      <c r="K6" s="1">
        <v>0.46</v>
      </c>
      <c r="L6" s="1">
        <v>0.43</v>
      </c>
      <c r="M6" s="1">
        <v>0.38</v>
      </c>
      <c r="N6" s="1">
        <v>0.36</v>
      </c>
    </row>
    <row r="7" spans="1:14" x14ac:dyDescent="0.3">
      <c r="A7" t="s">
        <v>395</v>
      </c>
      <c r="B7" t="s">
        <v>396</v>
      </c>
      <c r="C7" t="s">
        <v>25</v>
      </c>
      <c r="D7" s="1">
        <v>0.15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0.46</v>
      </c>
      <c r="K7" s="1">
        <v>0.46</v>
      </c>
      <c r="L7" s="1">
        <v>0.43</v>
      </c>
      <c r="M7" s="1">
        <v>0.38</v>
      </c>
      <c r="N7" s="1">
        <v>0.36</v>
      </c>
    </row>
    <row r="8" spans="1:14" x14ac:dyDescent="0.3">
      <c r="A8" t="s">
        <v>395</v>
      </c>
      <c r="B8" t="s">
        <v>396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0.46</v>
      </c>
      <c r="K8" s="1">
        <v>0.46</v>
      </c>
      <c r="L8" s="1">
        <v>0.43</v>
      </c>
      <c r="M8" s="1">
        <v>0.38</v>
      </c>
      <c r="N8" s="1">
        <v>0.36</v>
      </c>
    </row>
    <row r="9" spans="1:14" x14ac:dyDescent="0.3">
      <c r="A9" t="s">
        <v>395</v>
      </c>
      <c r="B9" t="s">
        <v>396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0.46</v>
      </c>
      <c r="K9" s="1">
        <v>0.46</v>
      </c>
      <c r="L9" s="1">
        <v>0.43</v>
      </c>
      <c r="M9" s="1">
        <v>0.38</v>
      </c>
      <c r="N9" s="1">
        <v>0.36</v>
      </c>
    </row>
    <row r="10" spans="1:14" x14ac:dyDescent="0.3">
      <c r="A10" t="s">
        <v>395</v>
      </c>
      <c r="B10" t="s">
        <v>396</v>
      </c>
      <c r="C10" t="s">
        <v>37</v>
      </c>
      <c r="D10" s="1">
        <v>0.15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0.1215</v>
      </c>
      <c r="J10" s="1">
        <v>0.65</v>
      </c>
      <c r="K10" s="1">
        <v>0.65</v>
      </c>
      <c r="L10" s="1">
        <v>0.62</v>
      </c>
      <c r="M10" s="1">
        <v>0.56999999999999995</v>
      </c>
      <c r="N10" s="1">
        <v>0.54</v>
      </c>
    </row>
    <row r="11" spans="1:14" x14ac:dyDescent="0.3">
      <c r="A11" t="s">
        <v>395</v>
      </c>
      <c r="B11" t="s">
        <v>396</v>
      </c>
      <c r="C11" t="s">
        <v>37</v>
      </c>
      <c r="D11" s="1">
        <v>0.15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0.65</v>
      </c>
      <c r="K11" s="1">
        <v>0.65</v>
      </c>
      <c r="L11" s="1">
        <v>0.62</v>
      </c>
      <c r="M11" s="1">
        <v>0.56999999999999995</v>
      </c>
      <c r="N11" s="1">
        <v>0.54</v>
      </c>
    </row>
    <row r="12" spans="1:14" x14ac:dyDescent="0.3">
      <c r="A12" t="s">
        <v>395</v>
      </c>
      <c r="B12" t="s">
        <v>396</v>
      </c>
      <c r="C12" t="s">
        <v>37</v>
      </c>
      <c r="D12" s="1">
        <v>0.15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0.65</v>
      </c>
      <c r="K12" s="1">
        <v>0.65</v>
      </c>
      <c r="L12" s="1">
        <v>0.62</v>
      </c>
      <c r="M12" s="1">
        <v>0.56999999999999995</v>
      </c>
      <c r="N12" s="1">
        <v>0.54</v>
      </c>
    </row>
    <row r="13" spans="1:14" x14ac:dyDescent="0.3">
      <c r="A13" t="s">
        <v>395</v>
      </c>
      <c r="B13" t="s">
        <v>396</v>
      </c>
      <c r="C13" t="s">
        <v>37</v>
      </c>
      <c r="D13" s="1">
        <v>0.15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0.65</v>
      </c>
      <c r="K13" s="1">
        <v>0.65</v>
      </c>
      <c r="L13" s="1">
        <v>0.62</v>
      </c>
      <c r="M13" s="1">
        <v>0.56999999999999995</v>
      </c>
      <c r="N13" s="1">
        <v>0.54</v>
      </c>
    </row>
    <row r="14" spans="1:14" x14ac:dyDescent="0.3">
      <c r="A14" t="s">
        <v>395</v>
      </c>
      <c r="B14" t="s">
        <v>396</v>
      </c>
      <c r="C14" t="s">
        <v>151</v>
      </c>
      <c r="D14" s="1">
        <v>0.25</v>
      </c>
      <c r="E14" t="s">
        <v>208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0.43</v>
      </c>
      <c r="K14" s="1">
        <v>0.43</v>
      </c>
      <c r="L14" s="1">
        <v>0.4</v>
      </c>
      <c r="M14" s="1">
        <v>0.35</v>
      </c>
      <c r="N14" s="1">
        <v>0.32</v>
      </c>
    </row>
    <row r="15" spans="1:14" x14ac:dyDescent="0.3">
      <c r="A15" t="s">
        <v>395</v>
      </c>
      <c r="B15" t="s">
        <v>396</v>
      </c>
      <c r="C15" t="s">
        <v>151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0.32</v>
      </c>
    </row>
    <row r="16" spans="1:14" x14ac:dyDescent="0.3">
      <c r="A16" t="s">
        <v>395</v>
      </c>
      <c r="B16" t="s">
        <v>396</v>
      </c>
      <c r="C16" t="s">
        <v>151</v>
      </c>
      <c r="D16" s="1">
        <v>0.25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0.32</v>
      </c>
    </row>
    <row r="17" spans="1:14" x14ac:dyDescent="0.3">
      <c r="A17" t="s">
        <v>395</v>
      </c>
      <c r="B17" t="s">
        <v>396</v>
      </c>
      <c r="C17" t="s">
        <v>151</v>
      </c>
      <c r="D17" s="1">
        <v>0.25</v>
      </c>
      <c r="E17" t="s">
        <v>305</v>
      </c>
      <c r="F17" s="1">
        <v>0.25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0.32</v>
      </c>
    </row>
    <row r="18" spans="1:14" x14ac:dyDescent="0.3">
      <c r="A18" t="s">
        <v>395</v>
      </c>
      <c r="B18" t="s">
        <v>396</v>
      </c>
      <c r="C18" t="s">
        <v>43</v>
      </c>
      <c r="D18" s="1">
        <v>0.15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8.9249999999999996E-2</v>
      </c>
      <c r="J18" s="1">
        <v>0.46</v>
      </c>
      <c r="K18" s="1">
        <v>0.46</v>
      </c>
      <c r="L18" s="1">
        <v>0.43</v>
      </c>
      <c r="M18" s="1">
        <v>0.38</v>
      </c>
      <c r="N18" s="1">
        <v>0.35</v>
      </c>
    </row>
    <row r="19" spans="1:14" x14ac:dyDescent="0.3">
      <c r="A19" t="s">
        <v>395</v>
      </c>
      <c r="B19" t="s">
        <v>396</v>
      </c>
      <c r="C19" t="s">
        <v>43</v>
      </c>
      <c r="D19" s="1">
        <v>0.15</v>
      </c>
      <c r="E19" t="s">
        <v>309</v>
      </c>
      <c r="F19" s="1">
        <v>0.25</v>
      </c>
      <c r="G19" t="s">
        <v>20</v>
      </c>
      <c r="H19" s="1">
        <v>0.6</v>
      </c>
      <c r="I19" s="1"/>
      <c r="J19" s="1">
        <v>0.46</v>
      </c>
      <c r="K19" s="1">
        <v>0.46</v>
      </c>
      <c r="L19" s="1">
        <v>0.43</v>
      </c>
      <c r="M19" s="1">
        <v>0.38</v>
      </c>
      <c r="N19" s="1">
        <v>0.35</v>
      </c>
    </row>
    <row r="20" spans="1:14" x14ac:dyDescent="0.3">
      <c r="A20" t="s">
        <v>395</v>
      </c>
      <c r="B20" t="s">
        <v>396</v>
      </c>
      <c r="C20" t="s">
        <v>43</v>
      </c>
      <c r="D20" s="1">
        <v>0.15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0.46</v>
      </c>
      <c r="K20" s="1">
        <v>0.46</v>
      </c>
      <c r="L20" s="1">
        <v>0.43</v>
      </c>
      <c r="M20" s="1">
        <v>0.38</v>
      </c>
      <c r="N20" s="1">
        <v>0.35</v>
      </c>
    </row>
    <row r="21" spans="1:14" x14ac:dyDescent="0.3">
      <c r="A21" t="s">
        <v>395</v>
      </c>
      <c r="B21" t="s">
        <v>396</v>
      </c>
      <c r="C21" t="s">
        <v>43</v>
      </c>
      <c r="D21" s="1">
        <v>0.15</v>
      </c>
      <c r="E21" t="s">
        <v>47</v>
      </c>
      <c r="F21" s="1">
        <v>0.2</v>
      </c>
      <c r="G21" t="s">
        <v>24</v>
      </c>
      <c r="H21" s="1">
        <v>0.95</v>
      </c>
      <c r="I21" s="1"/>
      <c r="J21" s="1">
        <v>0.46</v>
      </c>
      <c r="K21" s="1">
        <v>0.46</v>
      </c>
      <c r="L21" s="1">
        <v>0.43</v>
      </c>
      <c r="M21" s="1">
        <v>0.38</v>
      </c>
      <c r="N21" s="1">
        <v>0.35</v>
      </c>
    </row>
    <row r="22" spans="1:14" x14ac:dyDescent="0.3">
      <c r="A22" t="s">
        <v>395</v>
      </c>
      <c r="B22" t="s">
        <v>396</v>
      </c>
      <c r="C22" t="s">
        <v>306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0.34</v>
      </c>
      <c r="K22" s="1">
        <v>0.34</v>
      </c>
      <c r="L22" s="1">
        <v>0.31</v>
      </c>
      <c r="M22" s="1">
        <v>0.27</v>
      </c>
      <c r="N22" s="1">
        <v>0.24</v>
      </c>
    </row>
    <row r="23" spans="1:14" x14ac:dyDescent="0.3">
      <c r="A23" t="s">
        <v>395</v>
      </c>
      <c r="B23" t="s">
        <v>396</v>
      </c>
      <c r="C23" t="s">
        <v>306</v>
      </c>
      <c r="D23" s="1">
        <v>0.1</v>
      </c>
      <c r="E23" t="s">
        <v>273</v>
      </c>
      <c r="F23" s="1">
        <v>0.25</v>
      </c>
      <c r="G23" t="s">
        <v>20</v>
      </c>
      <c r="H23" s="1">
        <v>0.6</v>
      </c>
      <c r="I23" s="1"/>
      <c r="J23" s="1">
        <v>0.34</v>
      </c>
      <c r="K23" s="1">
        <v>0.34</v>
      </c>
      <c r="L23" s="1">
        <v>0.31</v>
      </c>
      <c r="M23" s="1">
        <v>0.27</v>
      </c>
      <c r="N23" s="1">
        <v>0.24</v>
      </c>
    </row>
    <row r="24" spans="1:14" x14ac:dyDescent="0.3">
      <c r="A24" t="s">
        <v>395</v>
      </c>
      <c r="B24" t="s">
        <v>396</v>
      </c>
      <c r="C24" t="s">
        <v>306</v>
      </c>
      <c r="D24" s="1">
        <v>0.1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0.34</v>
      </c>
      <c r="K24" s="1">
        <v>0.34</v>
      </c>
      <c r="L24" s="1">
        <v>0.31</v>
      </c>
      <c r="M24" s="1">
        <v>0.27</v>
      </c>
      <c r="N24" s="1">
        <v>0.24</v>
      </c>
    </row>
    <row r="25" spans="1:14" x14ac:dyDescent="0.3">
      <c r="A25" t="s">
        <v>395</v>
      </c>
      <c r="B25" t="s">
        <v>396</v>
      </c>
      <c r="C25" t="s">
        <v>306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0.34</v>
      </c>
      <c r="K25" s="1">
        <v>0.34</v>
      </c>
      <c r="L25" s="1">
        <v>0.31</v>
      </c>
      <c r="M25" s="1">
        <v>0.27</v>
      </c>
      <c r="N25" s="1">
        <v>0.24</v>
      </c>
    </row>
    <row r="26" spans="1:14" x14ac:dyDescent="0.3">
      <c r="D26" s="1"/>
      <c r="F26" s="1"/>
      <c r="H26" s="1"/>
      <c r="I26" s="2">
        <f>SUM(I2:I25)</f>
        <v>0.66162500000000002</v>
      </c>
      <c r="J26" s="2">
        <f>+J6*$D6+J10*$D10+J14*$D14+J18*$D18+J22*$D22+$D2*J2</f>
        <v>0.50900000000000001</v>
      </c>
      <c r="K26" s="2">
        <f t="shared" ref="K26:N26" si="0">+K6*$D6+K10*$D10+K14*$D14+K18*$D18+K22*$D22+$D2*K2</f>
        <v>0.50900000000000001</v>
      </c>
      <c r="L26" s="2">
        <f t="shared" si="0"/>
        <v>0.47899999999999998</v>
      </c>
      <c r="M26" s="2">
        <f t="shared" si="0"/>
        <v>0.43</v>
      </c>
      <c r="N26" s="2">
        <f t="shared" si="0"/>
        <v>0.40150000000000008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395</v>
      </c>
      <c r="B28" t="s">
        <v>397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0.67</v>
      </c>
      <c r="K28" s="1">
        <v>0.67</v>
      </c>
      <c r="L28" s="1">
        <v>0.64</v>
      </c>
      <c r="M28" s="1">
        <v>0.59</v>
      </c>
      <c r="N28" s="1">
        <v>0.56000000000000005</v>
      </c>
    </row>
    <row r="29" spans="1:14" x14ac:dyDescent="0.3">
      <c r="A29" t="s">
        <v>395</v>
      </c>
      <c r="B29" t="s">
        <v>397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0.67</v>
      </c>
      <c r="K29" s="1">
        <v>0.67</v>
      </c>
      <c r="L29" s="1">
        <v>0.64</v>
      </c>
      <c r="M29" s="1">
        <v>0.59</v>
      </c>
      <c r="N29" s="1">
        <v>0.56000000000000005</v>
      </c>
    </row>
    <row r="30" spans="1:14" x14ac:dyDescent="0.3">
      <c r="A30" t="s">
        <v>395</v>
      </c>
      <c r="B30" t="s">
        <v>397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0.67</v>
      </c>
      <c r="K30" s="1">
        <v>0.67</v>
      </c>
      <c r="L30" s="1">
        <v>0.64</v>
      </c>
      <c r="M30" s="1">
        <v>0.59</v>
      </c>
      <c r="N30" s="1">
        <v>0.56000000000000005</v>
      </c>
    </row>
    <row r="31" spans="1:14" x14ac:dyDescent="0.3">
      <c r="A31" t="s">
        <v>395</v>
      </c>
      <c r="B31" t="s">
        <v>397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0.67</v>
      </c>
      <c r="K31" s="1">
        <v>0.67</v>
      </c>
      <c r="L31" s="1">
        <v>0.64</v>
      </c>
      <c r="M31" s="1">
        <v>0.59</v>
      </c>
      <c r="N31" s="1">
        <v>0.56000000000000005</v>
      </c>
    </row>
    <row r="32" spans="1:14" x14ac:dyDescent="0.3">
      <c r="A32" t="s">
        <v>395</v>
      </c>
      <c r="B32" t="s">
        <v>397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0.47</v>
      </c>
      <c r="K32" s="1">
        <v>0.47</v>
      </c>
      <c r="L32" s="1">
        <v>0.44</v>
      </c>
      <c r="M32" s="1">
        <v>0.39</v>
      </c>
      <c r="N32" s="1">
        <v>0.37</v>
      </c>
    </row>
    <row r="33" spans="1:14" x14ac:dyDescent="0.3">
      <c r="A33" t="s">
        <v>395</v>
      </c>
      <c r="B33" t="s">
        <v>397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0.47</v>
      </c>
      <c r="K33" s="1">
        <v>0.47</v>
      </c>
      <c r="L33" s="1">
        <v>0.44</v>
      </c>
      <c r="M33" s="1">
        <v>0.39</v>
      </c>
      <c r="N33" s="1">
        <v>0.37</v>
      </c>
    </row>
    <row r="34" spans="1:14" x14ac:dyDescent="0.3">
      <c r="A34" t="s">
        <v>395</v>
      </c>
      <c r="B34" t="s">
        <v>397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0.47</v>
      </c>
      <c r="K34" s="1">
        <v>0.47</v>
      </c>
      <c r="L34" s="1">
        <v>0.44</v>
      </c>
      <c r="M34" s="1">
        <v>0.39</v>
      </c>
      <c r="N34" s="1">
        <v>0.37</v>
      </c>
    </row>
    <row r="35" spans="1:14" x14ac:dyDescent="0.3">
      <c r="A35" t="s">
        <v>395</v>
      </c>
      <c r="B35" t="s">
        <v>397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0.47</v>
      </c>
      <c r="K35" s="1">
        <v>0.47</v>
      </c>
      <c r="L35" s="1">
        <v>0.44</v>
      </c>
      <c r="M35" s="1">
        <v>0.39</v>
      </c>
      <c r="N35" s="1">
        <v>0.37</v>
      </c>
    </row>
    <row r="36" spans="1:14" x14ac:dyDescent="0.3">
      <c r="A36" t="s">
        <v>395</v>
      </c>
      <c r="B36" t="s">
        <v>397</v>
      </c>
      <c r="C36" t="s">
        <v>37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0.66</v>
      </c>
      <c r="K36" s="1">
        <v>0.66</v>
      </c>
      <c r="L36" s="1">
        <v>0.63</v>
      </c>
      <c r="M36" s="1">
        <v>0.57999999999999996</v>
      </c>
      <c r="N36" s="1">
        <v>0.55000000000000004</v>
      </c>
    </row>
    <row r="37" spans="1:14" x14ac:dyDescent="0.3">
      <c r="A37" t="s">
        <v>395</v>
      </c>
      <c r="B37" t="s">
        <v>397</v>
      </c>
      <c r="C37" t="s">
        <v>37</v>
      </c>
      <c r="D37" s="1">
        <v>0.2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0.66</v>
      </c>
      <c r="K37" s="1">
        <v>0.66</v>
      </c>
      <c r="L37" s="1">
        <v>0.63</v>
      </c>
      <c r="M37" s="1">
        <v>0.57999999999999996</v>
      </c>
      <c r="N37" s="1">
        <v>0.55000000000000004</v>
      </c>
    </row>
    <row r="38" spans="1:14" x14ac:dyDescent="0.3">
      <c r="A38" t="s">
        <v>395</v>
      </c>
      <c r="B38" t="s">
        <v>397</v>
      </c>
      <c r="C38" t="s">
        <v>37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0.66</v>
      </c>
      <c r="K38" s="1">
        <v>0.66</v>
      </c>
      <c r="L38" s="1">
        <v>0.63</v>
      </c>
      <c r="M38" s="1">
        <v>0.57999999999999996</v>
      </c>
      <c r="N38" s="1">
        <v>0.55000000000000004</v>
      </c>
    </row>
    <row r="39" spans="1:14" x14ac:dyDescent="0.3">
      <c r="A39" t="s">
        <v>395</v>
      </c>
      <c r="B39" t="s">
        <v>397</v>
      </c>
      <c r="C39" t="s">
        <v>37</v>
      </c>
      <c r="D39" s="1">
        <v>0.2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0.66</v>
      </c>
      <c r="K39" s="1">
        <v>0.66</v>
      </c>
      <c r="L39" s="1">
        <v>0.63</v>
      </c>
      <c r="M39" s="1">
        <v>0.57999999999999996</v>
      </c>
      <c r="N39" s="1">
        <v>0.55000000000000004</v>
      </c>
    </row>
    <row r="40" spans="1:14" x14ac:dyDescent="0.3">
      <c r="A40" t="s">
        <v>395</v>
      </c>
      <c r="B40" t="s">
        <v>397</v>
      </c>
      <c r="C40" t="s">
        <v>151</v>
      </c>
      <c r="D40" s="1">
        <v>0.2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0.11749999999999999</v>
      </c>
      <c r="J40" s="1">
        <v>0.44</v>
      </c>
      <c r="K40" s="1">
        <v>0.44</v>
      </c>
      <c r="L40" s="1">
        <v>0.41</v>
      </c>
      <c r="M40" s="1">
        <v>0.36</v>
      </c>
      <c r="N40" s="1">
        <v>0.33</v>
      </c>
    </row>
    <row r="41" spans="1:14" x14ac:dyDescent="0.3">
      <c r="A41" t="s">
        <v>395</v>
      </c>
      <c r="B41" t="s">
        <v>397</v>
      </c>
      <c r="C41" t="s">
        <v>151</v>
      </c>
      <c r="D41" s="1">
        <v>0.2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0.44</v>
      </c>
      <c r="K41" s="1">
        <v>0.44</v>
      </c>
      <c r="L41" s="1">
        <v>0.41</v>
      </c>
      <c r="M41" s="1">
        <v>0.36</v>
      </c>
      <c r="N41" s="1">
        <v>0.33</v>
      </c>
    </row>
    <row r="42" spans="1:14" x14ac:dyDescent="0.3">
      <c r="A42" t="s">
        <v>395</v>
      </c>
      <c r="B42" t="s">
        <v>397</v>
      </c>
      <c r="C42" t="s">
        <v>151</v>
      </c>
      <c r="D42" s="1">
        <v>0.2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0.44</v>
      </c>
      <c r="K42" s="1">
        <v>0.44</v>
      </c>
      <c r="L42" s="1">
        <v>0.41</v>
      </c>
      <c r="M42" s="1">
        <v>0.36</v>
      </c>
      <c r="N42" s="1">
        <v>0.33</v>
      </c>
    </row>
    <row r="43" spans="1:14" x14ac:dyDescent="0.3">
      <c r="A43" t="s">
        <v>395</v>
      </c>
      <c r="B43" t="s">
        <v>397</v>
      </c>
      <c r="C43" t="s">
        <v>151</v>
      </c>
      <c r="D43" s="1">
        <v>0.2</v>
      </c>
      <c r="E43" t="s">
        <v>305</v>
      </c>
      <c r="F43" s="1">
        <v>0.25</v>
      </c>
      <c r="G43" t="s">
        <v>24</v>
      </c>
      <c r="H43" s="1">
        <v>0.95</v>
      </c>
      <c r="I43" s="1"/>
      <c r="J43" s="1">
        <v>0.44</v>
      </c>
      <c r="K43" s="1">
        <v>0.44</v>
      </c>
      <c r="L43" s="1">
        <v>0.41</v>
      </c>
      <c r="M43" s="1">
        <v>0.36</v>
      </c>
      <c r="N43" s="1">
        <v>0.33</v>
      </c>
    </row>
    <row r="44" spans="1:14" x14ac:dyDescent="0.3">
      <c r="A44" t="s">
        <v>395</v>
      </c>
      <c r="B44" t="s">
        <v>397</v>
      </c>
      <c r="C44" t="s">
        <v>43</v>
      </c>
      <c r="D44" s="1">
        <v>0.15</v>
      </c>
      <c r="E44" t="s">
        <v>308</v>
      </c>
      <c r="F44" s="1">
        <v>0.25</v>
      </c>
      <c r="G44" t="s">
        <v>18</v>
      </c>
      <c r="H44" s="1">
        <v>0.9</v>
      </c>
      <c r="I44" s="1">
        <f>SUMPRODUCT(H44:H47,F44:F47)*D44</f>
        <v>8.9249999999999996E-2</v>
      </c>
      <c r="J44" s="1">
        <v>0.47</v>
      </c>
      <c r="K44" s="1">
        <v>0.47</v>
      </c>
      <c r="L44" s="1">
        <v>0.44</v>
      </c>
      <c r="M44" s="1">
        <v>0.39</v>
      </c>
      <c r="N44" s="1">
        <v>0.36</v>
      </c>
    </row>
    <row r="45" spans="1:14" x14ac:dyDescent="0.3">
      <c r="A45" t="s">
        <v>395</v>
      </c>
      <c r="B45" t="s">
        <v>397</v>
      </c>
      <c r="C45" t="s">
        <v>43</v>
      </c>
      <c r="D45" s="1">
        <v>0.15</v>
      </c>
      <c r="E45" t="s">
        <v>309</v>
      </c>
      <c r="F45" s="1">
        <v>0.25</v>
      </c>
      <c r="G45" t="s">
        <v>20</v>
      </c>
      <c r="H45" s="1">
        <v>0.6</v>
      </c>
      <c r="I45" s="1"/>
      <c r="J45" s="1">
        <v>0.47</v>
      </c>
      <c r="K45" s="1">
        <v>0.47</v>
      </c>
      <c r="L45" s="1">
        <v>0.44</v>
      </c>
      <c r="M45" s="1">
        <v>0.39</v>
      </c>
      <c r="N45" s="1">
        <v>0.36</v>
      </c>
    </row>
    <row r="46" spans="1:14" x14ac:dyDescent="0.3">
      <c r="A46" t="s">
        <v>395</v>
      </c>
      <c r="B46" t="s">
        <v>397</v>
      </c>
      <c r="C46" t="s">
        <v>43</v>
      </c>
      <c r="D46" s="1">
        <v>0.15</v>
      </c>
      <c r="E46" t="s">
        <v>46</v>
      </c>
      <c r="F46" s="1">
        <v>0.3</v>
      </c>
      <c r="G46" t="s">
        <v>30</v>
      </c>
      <c r="H46" s="1">
        <v>0.1</v>
      </c>
      <c r="I46" s="1"/>
      <c r="J46" s="1">
        <v>0.47</v>
      </c>
      <c r="K46" s="1">
        <v>0.47</v>
      </c>
      <c r="L46" s="1">
        <v>0.44</v>
      </c>
      <c r="M46" s="1">
        <v>0.39</v>
      </c>
      <c r="N46" s="1">
        <v>0.36</v>
      </c>
    </row>
    <row r="47" spans="1:14" x14ac:dyDescent="0.3">
      <c r="A47" t="s">
        <v>395</v>
      </c>
      <c r="B47" t="s">
        <v>397</v>
      </c>
      <c r="C47" t="s">
        <v>43</v>
      </c>
      <c r="D47" s="1">
        <v>0.15</v>
      </c>
      <c r="E47" t="s">
        <v>47</v>
      </c>
      <c r="F47" s="1">
        <v>0.2</v>
      </c>
      <c r="G47" t="s">
        <v>24</v>
      </c>
      <c r="H47" s="1">
        <v>0.95</v>
      </c>
      <c r="I47" s="1"/>
      <c r="J47" s="1">
        <v>0.47</v>
      </c>
      <c r="K47" s="1">
        <v>0.47</v>
      </c>
      <c r="L47" s="1">
        <v>0.44</v>
      </c>
      <c r="M47" s="1">
        <v>0.39</v>
      </c>
      <c r="N47" s="1">
        <v>0.36</v>
      </c>
    </row>
    <row r="48" spans="1:14" x14ac:dyDescent="0.3">
      <c r="A48" t="s">
        <v>395</v>
      </c>
      <c r="B48" t="s">
        <v>397</v>
      </c>
      <c r="C48" t="s">
        <v>306</v>
      </c>
      <c r="D48" s="1">
        <v>0.1</v>
      </c>
      <c r="E48" t="s">
        <v>55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0.35</v>
      </c>
      <c r="K48" s="1">
        <v>0.35</v>
      </c>
      <c r="L48" s="1">
        <v>0.32</v>
      </c>
      <c r="M48" s="1">
        <v>0.28000000000000003</v>
      </c>
      <c r="N48" s="1">
        <v>0.25</v>
      </c>
    </row>
    <row r="49" spans="1:14" x14ac:dyDescent="0.3">
      <c r="A49" t="s">
        <v>395</v>
      </c>
      <c r="B49" t="s">
        <v>397</v>
      </c>
      <c r="C49" t="s">
        <v>306</v>
      </c>
      <c r="D49" s="1">
        <v>0.1</v>
      </c>
      <c r="E49" t="s">
        <v>273</v>
      </c>
      <c r="F49" s="1">
        <v>0.25</v>
      </c>
      <c r="G49" t="s">
        <v>20</v>
      </c>
      <c r="H49" s="1">
        <v>0.6</v>
      </c>
      <c r="I49" s="1"/>
      <c r="J49" s="1">
        <v>0.35</v>
      </c>
      <c r="K49" s="1">
        <v>0.35</v>
      </c>
      <c r="L49" s="1">
        <v>0.32</v>
      </c>
      <c r="M49" s="1">
        <v>0.28000000000000003</v>
      </c>
      <c r="N49" s="1">
        <v>0.25</v>
      </c>
    </row>
    <row r="50" spans="1:14" x14ac:dyDescent="0.3">
      <c r="A50" t="s">
        <v>395</v>
      </c>
      <c r="B50" t="s">
        <v>397</v>
      </c>
      <c r="C50" t="s">
        <v>306</v>
      </c>
      <c r="D50" s="1">
        <v>0.1</v>
      </c>
      <c r="E50" t="s">
        <v>58</v>
      </c>
      <c r="F50" s="1">
        <v>0.25</v>
      </c>
      <c r="G50" t="s">
        <v>30</v>
      </c>
      <c r="H50" s="1">
        <v>0.1</v>
      </c>
      <c r="I50" s="1"/>
      <c r="J50" s="1">
        <v>0.35</v>
      </c>
      <c r="K50" s="1">
        <v>0.35</v>
      </c>
      <c r="L50" s="1">
        <v>0.32</v>
      </c>
      <c r="M50" s="1">
        <v>0.28000000000000003</v>
      </c>
      <c r="N50" s="1">
        <v>0.25</v>
      </c>
    </row>
    <row r="51" spans="1:14" x14ac:dyDescent="0.3">
      <c r="A51" t="s">
        <v>395</v>
      </c>
      <c r="B51" t="s">
        <v>397</v>
      </c>
      <c r="C51" t="s">
        <v>306</v>
      </c>
      <c r="D51" s="1">
        <v>0.1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0.35</v>
      </c>
      <c r="K51" s="1">
        <v>0.35</v>
      </c>
      <c r="L51" s="1">
        <v>0.32</v>
      </c>
      <c r="M51" s="1">
        <v>0.28000000000000003</v>
      </c>
      <c r="N51" s="1">
        <v>0.25</v>
      </c>
    </row>
    <row r="52" spans="1:14" x14ac:dyDescent="0.3">
      <c r="D52" s="1"/>
      <c r="F52" s="1"/>
      <c r="H52" s="1"/>
      <c r="I52" s="2">
        <f>SUM(I28:I51)</f>
        <v>0.67275000000000007</v>
      </c>
      <c r="J52" s="2">
        <f>+J32*$D32+J36*$D36+J40*$D40+J44*$D44+J48*$D48+$D28*J28</f>
        <v>0.53</v>
      </c>
      <c r="K52" s="2">
        <f t="shared" ref="K52:N52" si="1">+K32*$D32+K36*$D36+K40*$D40+K44*$D44+K48*$D48+$D28*K28</f>
        <v>0.53</v>
      </c>
      <c r="L52" s="2">
        <f t="shared" si="1"/>
        <v>0.5</v>
      </c>
      <c r="M52" s="2">
        <f t="shared" si="1"/>
        <v>0.45100000000000001</v>
      </c>
      <c r="N52" s="2">
        <f t="shared" si="1"/>
        <v>0.4225000000000001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395</v>
      </c>
      <c r="B54" t="s">
        <v>398</v>
      </c>
      <c r="C54" t="s">
        <v>16</v>
      </c>
      <c r="D54" s="1">
        <v>0.2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0.67</v>
      </c>
      <c r="K54" s="1">
        <v>0.67</v>
      </c>
      <c r="L54" s="1">
        <v>0.64</v>
      </c>
      <c r="M54" s="1">
        <v>0.59</v>
      </c>
      <c r="N54" s="1">
        <v>0.56999999999999995</v>
      </c>
    </row>
    <row r="55" spans="1:14" x14ac:dyDescent="0.3">
      <c r="A55" t="s">
        <v>395</v>
      </c>
      <c r="B55" t="s">
        <v>398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0.67</v>
      </c>
      <c r="K55" s="1">
        <v>0.67</v>
      </c>
      <c r="L55" s="1">
        <v>0.64</v>
      </c>
      <c r="M55" s="1">
        <v>0.59</v>
      </c>
      <c r="N55" s="1">
        <v>0.56999999999999995</v>
      </c>
    </row>
    <row r="56" spans="1:14" x14ac:dyDescent="0.3">
      <c r="A56" t="s">
        <v>395</v>
      </c>
      <c r="B56" t="s">
        <v>398</v>
      </c>
      <c r="C56" t="s">
        <v>16</v>
      </c>
      <c r="D56" s="1">
        <v>0.2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0.67</v>
      </c>
      <c r="K56" s="1">
        <v>0.67</v>
      </c>
      <c r="L56" s="1">
        <v>0.64</v>
      </c>
      <c r="M56" s="1">
        <v>0.59</v>
      </c>
      <c r="N56" s="1">
        <v>0.56999999999999995</v>
      </c>
    </row>
    <row r="57" spans="1:14" x14ac:dyDescent="0.3">
      <c r="A57" t="s">
        <v>395</v>
      </c>
      <c r="B57" t="s">
        <v>398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0.67</v>
      </c>
      <c r="K57" s="1">
        <v>0.67</v>
      </c>
      <c r="L57" s="1">
        <v>0.64</v>
      </c>
      <c r="M57" s="1">
        <v>0.59</v>
      </c>
      <c r="N57" s="1">
        <v>0.56999999999999995</v>
      </c>
    </row>
    <row r="58" spans="1:14" x14ac:dyDescent="0.3">
      <c r="A58" t="s">
        <v>395</v>
      </c>
      <c r="B58" t="s">
        <v>398</v>
      </c>
      <c r="C58" t="s">
        <v>25</v>
      </c>
      <c r="D58" s="1">
        <v>0.15</v>
      </c>
      <c r="E58" t="s">
        <v>26</v>
      </c>
      <c r="F58" s="1">
        <v>0.25</v>
      </c>
      <c r="G58" t="s">
        <v>18</v>
      </c>
      <c r="H58" s="1">
        <v>0.9</v>
      </c>
      <c r="I58" s="1">
        <f>SUMPRODUCT(H58:H61,F58:F61)*D58</f>
        <v>9.3000000000000013E-2</v>
      </c>
      <c r="J58" s="1">
        <v>0.47</v>
      </c>
      <c r="K58" s="1">
        <v>0.47</v>
      </c>
      <c r="L58" s="1">
        <v>0.44</v>
      </c>
      <c r="M58" s="1">
        <v>0.39</v>
      </c>
      <c r="N58" s="1">
        <v>0.38</v>
      </c>
    </row>
    <row r="59" spans="1:14" x14ac:dyDescent="0.3">
      <c r="A59" t="s">
        <v>395</v>
      </c>
      <c r="B59" t="s">
        <v>398</v>
      </c>
      <c r="C59" t="s">
        <v>25</v>
      </c>
      <c r="D59" s="1">
        <v>0.15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0.47</v>
      </c>
      <c r="K59" s="1">
        <v>0.47</v>
      </c>
      <c r="L59" s="1">
        <v>0.44</v>
      </c>
      <c r="M59" s="1">
        <v>0.39</v>
      </c>
      <c r="N59" s="1">
        <v>0.38</v>
      </c>
    </row>
    <row r="60" spans="1:14" x14ac:dyDescent="0.3">
      <c r="A60" t="s">
        <v>395</v>
      </c>
      <c r="B60" t="s">
        <v>398</v>
      </c>
      <c r="C60" t="s">
        <v>25</v>
      </c>
      <c r="D60" s="1">
        <v>0.15</v>
      </c>
      <c r="E60" t="s">
        <v>29</v>
      </c>
      <c r="F60" s="1">
        <v>0.3</v>
      </c>
      <c r="G60" t="s">
        <v>30</v>
      </c>
      <c r="H60" s="1">
        <v>0.1</v>
      </c>
      <c r="I60" s="1"/>
      <c r="J60" s="1">
        <v>0.47</v>
      </c>
      <c r="K60" s="1">
        <v>0.47</v>
      </c>
      <c r="L60" s="1">
        <v>0.44</v>
      </c>
      <c r="M60" s="1">
        <v>0.39</v>
      </c>
      <c r="N60" s="1">
        <v>0.38</v>
      </c>
    </row>
    <row r="61" spans="1:14" x14ac:dyDescent="0.3">
      <c r="A61" t="s">
        <v>395</v>
      </c>
      <c r="B61" t="s">
        <v>398</v>
      </c>
      <c r="C61" t="s">
        <v>25</v>
      </c>
      <c r="D61" s="1">
        <v>0.15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0.47</v>
      </c>
      <c r="K61" s="1">
        <v>0.47</v>
      </c>
      <c r="L61" s="1">
        <v>0.44</v>
      </c>
      <c r="M61" s="1">
        <v>0.39</v>
      </c>
      <c r="N61" s="1">
        <v>0.38</v>
      </c>
    </row>
    <row r="62" spans="1:14" x14ac:dyDescent="0.3">
      <c r="A62" t="s">
        <v>395</v>
      </c>
      <c r="B62" t="s">
        <v>398</v>
      </c>
      <c r="C62" t="s">
        <v>37</v>
      </c>
      <c r="D62" s="1">
        <v>0.2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0.16200000000000003</v>
      </c>
      <c r="J62" s="1">
        <v>0.66</v>
      </c>
      <c r="K62" s="1">
        <v>0.66</v>
      </c>
      <c r="L62" s="1">
        <v>0.63</v>
      </c>
      <c r="M62" s="1">
        <v>0.57999999999999996</v>
      </c>
      <c r="N62" s="1">
        <v>0.56000000000000005</v>
      </c>
    </row>
    <row r="63" spans="1:14" x14ac:dyDescent="0.3">
      <c r="A63" t="s">
        <v>395</v>
      </c>
      <c r="B63" t="s">
        <v>398</v>
      </c>
      <c r="C63" t="s">
        <v>37</v>
      </c>
      <c r="D63" s="1">
        <v>0.2</v>
      </c>
      <c r="E63" t="s">
        <v>304</v>
      </c>
      <c r="F63" s="1">
        <v>0.25</v>
      </c>
      <c r="G63" t="s">
        <v>40</v>
      </c>
      <c r="H63" s="1">
        <v>0.7</v>
      </c>
      <c r="I63" s="1"/>
      <c r="J63" s="1">
        <v>0.66</v>
      </c>
      <c r="K63" s="1">
        <v>0.66</v>
      </c>
      <c r="L63" s="1">
        <v>0.63</v>
      </c>
      <c r="M63" s="1">
        <v>0.57999999999999996</v>
      </c>
      <c r="N63" s="1">
        <v>0.56000000000000005</v>
      </c>
    </row>
    <row r="64" spans="1:14" x14ac:dyDescent="0.3">
      <c r="A64" t="s">
        <v>395</v>
      </c>
      <c r="B64" t="s">
        <v>398</v>
      </c>
      <c r="C64" t="s">
        <v>37</v>
      </c>
      <c r="D64" s="1">
        <v>0.2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0.66</v>
      </c>
      <c r="K64" s="1">
        <v>0.66</v>
      </c>
      <c r="L64" s="1">
        <v>0.63</v>
      </c>
      <c r="M64" s="1">
        <v>0.57999999999999996</v>
      </c>
      <c r="N64" s="1">
        <v>0.56000000000000005</v>
      </c>
    </row>
    <row r="65" spans="1:14" x14ac:dyDescent="0.3">
      <c r="A65" t="s">
        <v>395</v>
      </c>
      <c r="B65" t="s">
        <v>398</v>
      </c>
      <c r="C65" t="s">
        <v>37</v>
      </c>
      <c r="D65" s="1">
        <v>0.2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0.66</v>
      </c>
      <c r="K65" s="1">
        <v>0.66</v>
      </c>
      <c r="L65" s="1">
        <v>0.63</v>
      </c>
      <c r="M65" s="1">
        <v>0.57999999999999996</v>
      </c>
      <c r="N65" s="1">
        <v>0.56000000000000005</v>
      </c>
    </row>
    <row r="66" spans="1:14" x14ac:dyDescent="0.3">
      <c r="A66" t="s">
        <v>395</v>
      </c>
      <c r="B66" t="s">
        <v>398</v>
      </c>
      <c r="C66" t="s">
        <v>151</v>
      </c>
      <c r="D66" s="1">
        <v>0.2</v>
      </c>
      <c r="E66" t="s">
        <v>208</v>
      </c>
      <c r="F66" s="1">
        <v>0.25</v>
      </c>
      <c r="G66" t="s">
        <v>40</v>
      </c>
      <c r="H66" s="1">
        <v>0.7</v>
      </c>
      <c r="I66" s="1">
        <f>SUMPRODUCT(H66:H69,F66:F69)*D66</f>
        <v>0.11749999999999999</v>
      </c>
      <c r="J66" s="1">
        <v>0.44</v>
      </c>
      <c r="K66" s="1">
        <v>0.44</v>
      </c>
      <c r="L66" s="1">
        <v>0.41</v>
      </c>
      <c r="M66" s="1">
        <v>0.36</v>
      </c>
      <c r="N66" s="1">
        <v>0.34</v>
      </c>
    </row>
    <row r="67" spans="1:14" x14ac:dyDescent="0.3">
      <c r="A67" t="s">
        <v>395</v>
      </c>
      <c r="B67" t="s">
        <v>398</v>
      </c>
      <c r="C67" t="s">
        <v>151</v>
      </c>
      <c r="D67" s="1">
        <v>0.2</v>
      </c>
      <c r="E67" t="s">
        <v>50</v>
      </c>
      <c r="F67" s="1">
        <v>0.25</v>
      </c>
      <c r="G67" t="s">
        <v>20</v>
      </c>
      <c r="H67" s="1">
        <v>0.6</v>
      </c>
      <c r="I67" s="1"/>
      <c r="J67" s="1">
        <v>0.44</v>
      </c>
      <c r="K67" s="1">
        <v>0.44</v>
      </c>
      <c r="L67" s="1">
        <v>0.41</v>
      </c>
      <c r="M67" s="1">
        <v>0.36</v>
      </c>
      <c r="N67" s="1">
        <v>0.34</v>
      </c>
    </row>
    <row r="68" spans="1:14" x14ac:dyDescent="0.3">
      <c r="A68" t="s">
        <v>395</v>
      </c>
      <c r="B68" t="s">
        <v>398</v>
      </c>
      <c r="C68" t="s">
        <v>151</v>
      </c>
      <c r="D68" s="1">
        <v>0.2</v>
      </c>
      <c r="E68" t="s">
        <v>210</v>
      </c>
      <c r="F68" s="1">
        <v>0.25</v>
      </c>
      <c r="G68" t="s">
        <v>30</v>
      </c>
      <c r="H68" s="1">
        <v>0.1</v>
      </c>
      <c r="I68" s="1"/>
      <c r="J68" s="1">
        <v>0.44</v>
      </c>
      <c r="K68" s="1">
        <v>0.44</v>
      </c>
      <c r="L68" s="1">
        <v>0.41</v>
      </c>
      <c r="M68" s="1">
        <v>0.36</v>
      </c>
      <c r="N68" s="1">
        <v>0.34</v>
      </c>
    </row>
    <row r="69" spans="1:14" x14ac:dyDescent="0.3">
      <c r="A69" t="s">
        <v>395</v>
      </c>
      <c r="B69" t="s">
        <v>398</v>
      </c>
      <c r="C69" t="s">
        <v>151</v>
      </c>
      <c r="D69" s="1">
        <v>0.2</v>
      </c>
      <c r="E69" t="s">
        <v>305</v>
      </c>
      <c r="F69" s="1">
        <v>0.25</v>
      </c>
      <c r="G69" t="s">
        <v>24</v>
      </c>
      <c r="H69" s="1">
        <v>0.95</v>
      </c>
      <c r="I69" s="1"/>
      <c r="J69" s="1">
        <v>0.44</v>
      </c>
      <c r="K69" s="1">
        <v>0.44</v>
      </c>
      <c r="L69" s="1">
        <v>0.41</v>
      </c>
      <c r="M69" s="1">
        <v>0.36</v>
      </c>
      <c r="N69" s="1">
        <v>0.34</v>
      </c>
    </row>
    <row r="70" spans="1:14" x14ac:dyDescent="0.3">
      <c r="A70" t="s">
        <v>395</v>
      </c>
      <c r="B70" t="s">
        <v>398</v>
      </c>
      <c r="C70" t="s">
        <v>43</v>
      </c>
      <c r="D70" s="1">
        <v>0.15</v>
      </c>
      <c r="E70" t="s">
        <v>308</v>
      </c>
      <c r="F70" s="1">
        <v>0.25</v>
      </c>
      <c r="G70" t="s">
        <v>18</v>
      </c>
      <c r="H70" s="1">
        <v>0.9</v>
      </c>
      <c r="I70" s="1">
        <f>SUMPRODUCT(H70:H73,F70:F73)*D70</f>
        <v>8.9249999999999996E-2</v>
      </c>
      <c r="J70" s="1">
        <v>0.47</v>
      </c>
      <c r="K70" s="1">
        <v>0.47</v>
      </c>
      <c r="L70" s="1">
        <v>0.44</v>
      </c>
      <c r="M70" s="1">
        <v>0.39</v>
      </c>
      <c r="N70" s="1">
        <v>0.37</v>
      </c>
    </row>
    <row r="71" spans="1:14" x14ac:dyDescent="0.3">
      <c r="A71" t="s">
        <v>395</v>
      </c>
      <c r="B71" t="s">
        <v>398</v>
      </c>
      <c r="C71" t="s">
        <v>43</v>
      </c>
      <c r="D71" s="1">
        <v>0.15</v>
      </c>
      <c r="E71" t="s">
        <v>309</v>
      </c>
      <c r="F71" s="1">
        <v>0.25</v>
      </c>
      <c r="G71" t="s">
        <v>20</v>
      </c>
      <c r="H71" s="1">
        <v>0.6</v>
      </c>
      <c r="I71" s="1"/>
      <c r="J71" s="1">
        <v>0.47</v>
      </c>
      <c r="K71" s="1">
        <v>0.47</v>
      </c>
      <c r="L71" s="1">
        <v>0.44</v>
      </c>
      <c r="M71" s="1">
        <v>0.39</v>
      </c>
      <c r="N71" s="1">
        <v>0.37</v>
      </c>
    </row>
    <row r="72" spans="1:14" x14ac:dyDescent="0.3">
      <c r="A72" t="s">
        <v>395</v>
      </c>
      <c r="B72" t="s">
        <v>398</v>
      </c>
      <c r="C72" t="s">
        <v>43</v>
      </c>
      <c r="D72" s="1">
        <v>0.15</v>
      </c>
      <c r="E72" t="s">
        <v>46</v>
      </c>
      <c r="F72" s="1">
        <v>0.3</v>
      </c>
      <c r="G72" t="s">
        <v>30</v>
      </c>
      <c r="H72" s="1">
        <v>0.1</v>
      </c>
      <c r="I72" s="1"/>
      <c r="J72" s="1">
        <v>0.47</v>
      </c>
      <c r="K72" s="1">
        <v>0.47</v>
      </c>
      <c r="L72" s="1">
        <v>0.44</v>
      </c>
      <c r="M72" s="1">
        <v>0.39</v>
      </c>
      <c r="N72" s="1">
        <v>0.37</v>
      </c>
    </row>
    <row r="73" spans="1:14" x14ac:dyDescent="0.3">
      <c r="A73" t="s">
        <v>395</v>
      </c>
      <c r="B73" t="s">
        <v>398</v>
      </c>
      <c r="C73" t="s">
        <v>43</v>
      </c>
      <c r="D73" s="1">
        <v>0.15</v>
      </c>
      <c r="E73" t="s">
        <v>47</v>
      </c>
      <c r="F73" s="1">
        <v>0.2</v>
      </c>
      <c r="G73" t="s">
        <v>24</v>
      </c>
      <c r="H73" s="1">
        <v>0.95</v>
      </c>
      <c r="I73" s="1"/>
      <c r="J73" s="1">
        <v>0.47</v>
      </c>
      <c r="K73" s="1">
        <v>0.47</v>
      </c>
      <c r="L73" s="1">
        <v>0.44</v>
      </c>
      <c r="M73" s="1">
        <v>0.39</v>
      </c>
      <c r="N73" s="1">
        <v>0.37</v>
      </c>
    </row>
    <row r="74" spans="1:14" x14ac:dyDescent="0.3">
      <c r="A74" t="s">
        <v>395</v>
      </c>
      <c r="B74" t="s">
        <v>398</v>
      </c>
      <c r="C74" t="s">
        <v>306</v>
      </c>
      <c r="D74" s="1">
        <v>0.1</v>
      </c>
      <c r="E74" t="s">
        <v>55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0.26</v>
      </c>
    </row>
    <row r="75" spans="1:14" x14ac:dyDescent="0.3">
      <c r="A75" t="s">
        <v>395</v>
      </c>
      <c r="B75" t="s">
        <v>398</v>
      </c>
      <c r="C75" t="s">
        <v>306</v>
      </c>
      <c r="D75" s="1">
        <v>0.1</v>
      </c>
      <c r="E75" t="s">
        <v>273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0.26</v>
      </c>
    </row>
    <row r="76" spans="1:14" x14ac:dyDescent="0.3">
      <c r="A76" t="s">
        <v>395</v>
      </c>
      <c r="B76" t="s">
        <v>398</v>
      </c>
      <c r="C76" t="s">
        <v>306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0.26</v>
      </c>
    </row>
    <row r="77" spans="1:14" x14ac:dyDescent="0.3">
      <c r="A77" t="s">
        <v>395</v>
      </c>
      <c r="B77" t="s">
        <v>398</v>
      </c>
      <c r="C77" t="s">
        <v>306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0.26</v>
      </c>
    </row>
    <row r="78" spans="1:14" x14ac:dyDescent="0.3">
      <c r="D78" s="1"/>
      <c r="F78" s="1"/>
      <c r="H78" s="1"/>
      <c r="I78" s="2">
        <f>SUM(I54:I77)</f>
        <v>0.67275000000000007</v>
      </c>
      <c r="J78" s="2">
        <f>+J58*$D58+J62*$D62+J66*$D66+J70*$D70+J74*$D74+$D54*J54</f>
        <v>0.53</v>
      </c>
      <c r="K78" s="2">
        <f t="shared" ref="K78:N78" si="2">+K58*$D58+K62*$D62+K66*$D66+K70*$D70+K74*$D74+$D54*K54</f>
        <v>0.53</v>
      </c>
      <c r="L78" s="2">
        <f t="shared" si="2"/>
        <v>0.5</v>
      </c>
      <c r="M78" s="2">
        <f t="shared" si="2"/>
        <v>0.45100000000000001</v>
      </c>
      <c r="N78" s="2">
        <f t="shared" si="2"/>
        <v>0.43250000000000005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395</v>
      </c>
      <c r="B80" t="s">
        <v>399</v>
      </c>
      <c r="C80" t="s">
        <v>301</v>
      </c>
      <c r="D80" s="1">
        <v>0.1</v>
      </c>
      <c r="E80" t="s">
        <v>72</v>
      </c>
      <c r="F80" s="1">
        <v>0.3</v>
      </c>
      <c r="G80" t="s">
        <v>73</v>
      </c>
      <c r="H80" s="1">
        <v>0.7</v>
      </c>
      <c r="I80" s="1">
        <f>SUMPRODUCT(H80:H83,F80:F83)*D80</f>
        <v>4.5500000000000006E-2</v>
      </c>
      <c r="J80" s="1">
        <v>0.36</v>
      </c>
      <c r="K80" s="1">
        <v>0.36</v>
      </c>
      <c r="L80" s="1">
        <v>0.33</v>
      </c>
      <c r="M80" s="1">
        <v>0.28999999999999998</v>
      </c>
      <c r="N80" s="1">
        <v>0.27</v>
      </c>
    </row>
    <row r="81" spans="1:14" x14ac:dyDescent="0.3">
      <c r="A81" t="s">
        <v>395</v>
      </c>
      <c r="B81" t="s">
        <v>399</v>
      </c>
      <c r="C81" t="s">
        <v>301</v>
      </c>
      <c r="D81" s="1">
        <v>0.1</v>
      </c>
      <c r="E81" t="s">
        <v>302</v>
      </c>
      <c r="F81" s="1">
        <v>0.25</v>
      </c>
      <c r="G81" t="s">
        <v>20</v>
      </c>
      <c r="H81" s="1">
        <v>0.6</v>
      </c>
      <c r="I81" s="1"/>
      <c r="J81" s="1">
        <v>0.36</v>
      </c>
      <c r="K81" s="1">
        <v>0.36</v>
      </c>
      <c r="L81" s="1">
        <v>0.33</v>
      </c>
      <c r="M81" s="1">
        <v>0.28999999999999998</v>
      </c>
      <c r="N81" s="1">
        <v>0.27</v>
      </c>
    </row>
    <row r="82" spans="1:14" x14ac:dyDescent="0.3">
      <c r="A82" t="s">
        <v>395</v>
      </c>
      <c r="B82" t="s">
        <v>399</v>
      </c>
      <c r="C82" t="s">
        <v>301</v>
      </c>
      <c r="D82" s="1">
        <v>0.1</v>
      </c>
      <c r="E82" t="s">
        <v>147</v>
      </c>
      <c r="F82" s="1">
        <v>0.25</v>
      </c>
      <c r="G82" t="s">
        <v>56</v>
      </c>
      <c r="H82" s="1">
        <v>0.3</v>
      </c>
      <c r="I82" s="1"/>
      <c r="J82" s="1">
        <v>0.36</v>
      </c>
      <c r="K82" s="1">
        <v>0.36</v>
      </c>
      <c r="L82" s="1">
        <v>0.33</v>
      </c>
      <c r="M82" s="1">
        <v>0.28999999999999998</v>
      </c>
      <c r="N82" s="1">
        <v>0.27</v>
      </c>
    </row>
    <row r="83" spans="1:14" x14ac:dyDescent="0.3">
      <c r="A83" t="s">
        <v>395</v>
      </c>
      <c r="B83" t="s">
        <v>399</v>
      </c>
      <c r="C83" t="s">
        <v>301</v>
      </c>
      <c r="D83" s="1">
        <v>0.1</v>
      </c>
      <c r="E83" t="s">
        <v>303</v>
      </c>
      <c r="F83" s="1">
        <v>0.2</v>
      </c>
      <c r="G83" t="s">
        <v>30</v>
      </c>
      <c r="H83" s="1">
        <v>0.1</v>
      </c>
      <c r="I83" s="1"/>
      <c r="J83" s="1">
        <v>0.36</v>
      </c>
      <c r="K83" s="1">
        <v>0.36</v>
      </c>
      <c r="L83" s="1">
        <v>0.33</v>
      </c>
      <c r="M83" s="1">
        <v>0.28999999999999998</v>
      </c>
      <c r="N83" s="1">
        <v>0.27</v>
      </c>
    </row>
    <row r="84" spans="1:14" x14ac:dyDescent="0.3">
      <c r="A84" t="s">
        <v>395</v>
      </c>
      <c r="B84" t="s">
        <v>399</v>
      </c>
      <c r="C84" t="s">
        <v>16</v>
      </c>
      <c r="D84" s="1">
        <v>0.2</v>
      </c>
      <c r="E84" t="s">
        <v>17</v>
      </c>
      <c r="F84" s="1">
        <v>0.3</v>
      </c>
      <c r="G84" t="s">
        <v>18</v>
      </c>
      <c r="H84" s="1">
        <v>0.9</v>
      </c>
      <c r="I84" s="1">
        <f>SUMPRODUCT(H84:H87,F84:F87)*D84</f>
        <v>0.16550000000000004</v>
      </c>
      <c r="J84" s="1">
        <v>0.68</v>
      </c>
      <c r="K84" s="1">
        <v>0.68</v>
      </c>
      <c r="L84" s="1">
        <v>0.65</v>
      </c>
      <c r="M84" s="1">
        <v>0.61</v>
      </c>
      <c r="N84" s="1">
        <v>0.59</v>
      </c>
    </row>
    <row r="85" spans="1:14" x14ac:dyDescent="0.3">
      <c r="A85" t="s">
        <v>395</v>
      </c>
      <c r="B85" t="s">
        <v>399</v>
      </c>
      <c r="C85" t="s">
        <v>16</v>
      </c>
      <c r="D85" s="1">
        <v>0.2</v>
      </c>
      <c r="E85" t="s">
        <v>19</v>
      </c>
      <c r="F85" s="1">
        <v>0.25</v>
      </c>
      <c r="G85" t="s">
        <v>20</v>
      </c>
      <c r="H85" s="1">
        <v>0.6</v>
      </c>
      <c r="I85" s="1"/>
      <c r="J85" s="1">
        <v>0.68</v>
      </c>
      <c r="K85" s="1">
        <v>0.68</v>
      </c>
      <c r="L85" s="1">
        <v>0.65</v>
      </c>
      <c r="M85" s="1">
        <v>0.61</v>
      </c>
      <c r="N85" s="1">
        <v>0.59</v>
      </c>
    </row>
    <row r="86" spans="1:14" x14ac:dyDescent="0.3">
      <c r="A86" t="s">
        <v>395</v>
      </c>
      <c r="B86" t="s">
        <v>399</v>
      </c>
      <c r="C86" t="s">
        <v>16</v>
      </c>
      <c r="D86" s="1">
        <v>0.2</v>
      </c>
      <c r="E86" t="s">
        <v>21</v>
      </c>
      <c r="F86" s="1">
        <v>0.2</v>
      </c>
      <c r="G86" t="s">
        <v>22</v>
      </c>
      <c r="H86" s="1">
        <v>0.85</v>
      </c>
      <c r="I86" s="1"/>
      <c r="J86" s="1">
        <v>0.68</v>
      </c>
      <c r="K86" s="1">
        <v>0.68</v>
      </c>
      <c r="L86" s="1">
        <v>0.65</v>
      </c>
      <c r="M86" s="1">
        <v>0.61</v>
      </c>
      <c r="N86" s="1">
        <v>0.59</v>
      </c>
    </row>
    <row r="87" spans="1:14" x14ac:dyDescent="0.3">
      <c r="A87" t="s">
        <v>395</v>
      </c>
      <c r="B87" t="s">
        <v>399</v>
      </c>
      <c r="C87" t="s">
        <v>16</v>
      </c>
      <c r="D87" s="1">
        <v>0.2</v>
      </c>
      <c r="E87" t="s">
        <v>23</v>
      </c>
      <c r="F87" s="1">
        <v>0.25</v>
      </c>
      <c r="G87" t="s">
        <v>24</v>
      </c>
      <c r="H87" s="1">
        <v>0.95</v>
      </c>
      <c r="I87" s="1"/>
      <c r="J87" s="1">
        <v>0.68</v>
      </c>
      <c r="K87" s="1">
        <v>0.68</v>
      </c>
      <c r="L87" s="1">
        <v>0.65</v>
      </c>
      <c r="M87" s="1">
        <v>0.61</v>
      </c>
      <c r="N87" s="1">
        <v>0.59</v>
      </c>
    </row>
    <row r="88" spans="1:14" x14ac:dyDescent="0.3">
      <c r="A88" t="s">
        <v>395</v>
      </c>
      <c r="B88" t="s">
        <v>399</v>
      </c>
      <c r="C88" t="s">
        <v>25</v>
      </c>
      <c r="D88" s="1">
        <v>0.15</v>
      </c>
      <c r="E88" t="s">
        <v>26</v>
      </c>
      <c r="F88" s="1">
        <v>0.25</v>
      </c>
      <c r="G88" t="s">
        <v>18</v>
      </c>
      <c r="H88" s="1">
        <v>0.9</v>
      </c>
      <c r="I88" s="1">
        <f>SUMPRODUCT(H88:H91,F88:F91)*D88</f>
        <v>9.3000000000000013E-2</v>
      </c>
      <c r="J88" s="1">
        <v>0.48</v>
      </c>
      <c r="K88" s="1">
        <v>0.48</v>
      </c>
      <c r="L88" s="1">
        <v>0.45</v>
      </c>
      <c r="M88" s="1">
        <v>0.41</v>
      </c>
      <c r="N88" s="1">
        <v>0.39</v>
      </c>
    </row>
    <row r="89" spans="1:14" x14ac:dyDescent="0.3">
      <c r="A89" t="s">
        <v>395</v>
      </c>
      <c r="B89" t="s">
        <v>399</v>
      </c>
      <c r="C89" t="s">
        <v>25</v>
      </c>
      <c r="D89" s="1">
        <v>0.15</v>
      </c>
      <c r="E89" t="s">
        <v>27</v>
      </c>
      <c r="F89" s="1">
        <v>0.25</v>
      </c>
      <c r="G89" t="s">
        <v>28</v>
      </c>
      <c r="H89" s="1">
        <v>0.7</v>
      </c>
      <c r="I89" s="1"/>
      <c r="J89" s="1">
        <v>0.48</v>
      </c>
      <c r="K89" s="1">
        <v>0.48</v>
      </c>
      <c r="L89" s="1">
        <v>0.45</v>
      </c>
      <c r="M89" s="1">
        <v>0.41</v>
      </c>
      <c r="N89" s="1">
        <v>0.39</v>
      </c>
    </row>
    <row r="90" spans="1:14" x14ac:dyDescent="0.3">
      <c r="A90" t="s">
        <v>395</v>
      </c>
      <c r="B90" t="s">
        <v>399</v>
      </c>
      <c r="C90" t="s">
        <v>25</v>
      </c>
      <c r="D90" s="1">
        <v>0.15</v>
      </c>
      <c r="E90" t="s">
        <v>29</v>
      </c>
      <c r="F90" s="1">
        <v>0.3</v>
      </c>
      <c r="G90" t="s">
        <v>30</v>
      </c>
      <c r="H90" s="1">
        <v>0.1</v>
      </c>
      <c r="I90" s="1"/>
      <c r="J90" s="1">
        <v>0.48</v>
      </c>
      <c r="K90" s="1">
        <v>0.48</v>
      </c>
      <c r="L90" s="1">
        <v>0.45</v>
      </c>
      <c r="M90" s="1">
        <v>0.41</v>
      </c>
      <c r="N90" s="1">
        <v>0.39</v>
      </c>
    </row>
    <row r="91" spans="1:14" x14ac:dyDescent="0.3">
      <c r="A91" t="s">
        <v>395</v>
      </c>
      <c r="B91" t="s">
        <v>399</v>
      </c>
      <c r="C91" t="s">
        <v>25</v>
      </c>
      <c r="D91" s="1">
        <v>0.15</v>
      </c>
      <c r="E91" t="s">
        <v>31</v>
      </c>
      <c r="F91" s="1">
        <v>0.2</v>
      </c>
      <c r="G91" t="s">
        <v>24</v>
      </c>
      <c r="H91" s="1">
        <v>0.95</v>
      </c>
      <c r="I91" s="1"/>
      <c r="J91" s="1">
        <v>0.48</v>
      </c>
      <c r="K91" s="1">
        <v>0.48</v>
      </c>
      <c r="L91" s="1">
        <v>0.45</v>
      </c>
      <c r="M91" s="1">
        <v>0.41</v>
      </c>
      <c r="N91" s="1">
        <v>0.39</v>
      </c>
    </row>
    <row r="92" spans="1:14" x14ac:dyDescent="0.3">
      <c r="A92" t="s">
        <v>395</v>
      </c>
      <c r="B92" t="s">
        <v>399</v>
      </c>
      <c r="C92" t="s">
        <v>37</v>
      </c>
      <c r="D92" s="1">
        <v>0.2</v>
      </c>
      <c r="E92" t="s">
        <v>38</v>
      </c>
      <c r="F92" s="1">
        <v>0.3</v>
      </c>
      <c r="G92" t="s">
        <v>18</v>
      </c>
      <c r="H92" s="1">
        <v>0.9</v>
      </c>
      <c r="I92" s="1">
        <f>SUMPRODUCT(H92:H95,F92:F95)*D92</f>
        <v>0.16200000000000003</v>
      </c>
      <c r="J92" s="1">
        <v>0.68</v>
      </c>
      <c r="K92" s="1">
        <v>0.68</v>
      </c>
      <c r="L92" s="1">
        <v>0.65</v>
      </c>
      <c r="M92" s="1">
        <v>0.61</v>
      </c>
      <c r="N92" s="1">
        <v>0.59</v>
      </c>
    </row>
    <row r="93" spans="1:14" x14ac:dyDescent="0.3">
      <c r="A93" t="s">
        <v>395</v>
      </c>
      <c r="B93" t="s">
        <v>399</v>
      </c>
      <c r="C93" t="s">
        <v>37</v>
      </c>
      <c r="D93" s="1">
        <v>0.2</v>
      </c>
      <c r="E93" t="s">
        <v>304</v>
      </c>
      <c r="F93" s="1">
        <v>0.25</v>
      </c>
      <c r="G93" t="s">
        <v>40</v>
      </c>
      <c r="H93" s="1">
        <v>0.7</v>
      </c>
      <c r="I93" s="1"/>
      <c r="J93" s="1">
        <v>0.68</v>
      </c>
      <c r="K93" s="1">
        <v>0.68</v>
      </c>
      <c r="L93" s="1">
        <v>0.65</v>
      </c>
      <c r="M93" s="1">
        <v>0.61</v>
      </c>
      <c r="N93" s="1">
        <v>0.59</v>
      </c>
    </row>
    <row r="94" spans="1:14" x14ac:dyDescent="0.3">
      <c r="A94" t="s">
        <v>395</v>
      </c>
      <c r="B94" t="s">
        <v>399</v>
      </c>
      <c r="C94" t="s">
        <v>37</v>
      </c>
      <c r="D94" s="1">
        <v>0.2</v>
      </c>
      <c r="E94" t="s">
        <v>41</v>
      </c>
      <c r="F94" s="1">
        <v>0.25</v>
      </c>
      <c r="G94" t="s">
        <v>28</v>
      </c>
      <c r="H94" s="1">
        <v>0.7</v>
      </c>
      <c r="I94" s="1"/>
      <c r="J94" s="1">
        <v>0.68</v>
      </c>
      <c r="K94" s="1">
        <v>0.68</v>
      </c>
      <c r="L94" s="1">
        <v>0.65</v>
      </c>
      <c r="M94" s="1">
        <v>0.61</v>
      </c>
      <c r="N94" s="1">
        <v>0.59</v>
      </c>
    </row>
    <row r="95" spans="1:14" x14ac:dyDescent="0.3">
      <c r="A95" t="s">
        <v>395</v>
      </c>
      <c r="B95" t="s">
        <v>399</v>
      </c>
      <c r="C95" t="s">
        <v>37</v>
      </c>
      <c r="D95" s="1">
        <v>0.2</v>
      </c>
      <c r="E95" t="s">
        <v>42</v>
      </c>
      <c r="F95" s="1">
        <v>0.2</v>
      </c>
      <c r="G95" t="s">
        <v>24</v>
      </c>
      <c r="H95" s="1">
        <v>0.95</v>
      </c>
      <c r="I95" s="1"/>
      <c r="J95" s="1">
        <v>0.68</v>
      </c>
      <c r="K95" s="1">
        <v>0.68</v>
      </c>
      <c r="L95" s="1">
        <v>0.65</v>
      </c>
      <c r="M95" s="1">
        <v>0.61</v>
      </c>
      <c r="N95" s="1">
        <v>0.59</v>
      </c>
    </row>
    <row r="96" spans="1:14" x14ac:dyDescent="0.3">
      <c r="A96" t="s">
        <v>395</v>
      </c>
      <c r="B96" t="s">
        <v>399</v>
      </c>
      <c r="C96" t="s">
        <v>151</v>
      </c>
      <c r="D96" s="1">
        <v>0.2</v>
      </c>
      <c r="E96" t="s">
        <v>208</v>
      </c>
      <c r="F96" s="1">
        <v>0.25</v>
      </c>
      <c r="G96" t="s">
        <v>40</v>
      </c>
      <c r="H96" s="1">
        <v>0.7</v>
      </c>
      <c r="I96" s="1">
        <f>SUMPRODUCT(H96:H99,F96:F99)*D96</f>
        <v>0.11749999999999999</v>
      </c>
      <c r="J96" s="1">
        <v>0.45</v>
      </c>
      <c r="K96" s="1">
        <v>0.45</v>
      </c>
      <c r="L96" s="1">
        <v>0.42</v>
      </c>
      <c r="M96" s="1">
        <v>0.38</v>
      </c>
      <c r="N96" s="1">
        <v>0.36</v>
      </c>
    </row>
    <row r="97" spans="1:14" x14ac:dyDescent="0.3">
      <c r="A97" t="s">
        <v>395</v>
      </c>
      <c r="B97" t="s">
        <v>399</v>
      </c>
      <c r="C97" t="s">
        <v>151</v>
      </c>
      <c r="D97" s="1">
        <v>0.2</v>
      </c>
      <c r="E97" t="s">
        <v>50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0.38</v>
      </c>
      <c r="N97" s="1">
        <v>0.36</v>
      </c>
    </row>
    <row r="98" spans="1:14" x14ac:dyDescent="0.3">
      <c r="A98" t="s">
        <v>395</v>
      </c>
      <c r="B98" t="s">
        <v>399</v>
      </c>
      <c r="C98" t="s">
        <v>151</v>
      </c>
      <c r="D98" s="1">
        <v>0.2</v>
      </c>
      <c r="E98" t="s">
        <v>210</v>
      </c>
      <c r="F98" s="1">
        <v>0.25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0.38</v>
      </c>
      <c r="N98" s="1">
        <v>0.36</v>
      </c>
    </row>
    <row r="99" spans="1:14" x14ac:dyDescent="0.3">
      <c r="A99" t="s">
        <v>395</v>
      </c>
      <c r="B99" t="s">
        <v>399</v>
      </c>
      <c r="C99" t="s">
        <v>151</v>
      </c>
      <c r="D99" s="1">
        <v>0.2</v>
      </c>
      <c r="E99" t="s">
        <v>305</v>
      </c>
      <c r="F99" s="1">
        <v>0.25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0.38</v>
      </c>
      <c r="N99" s="1">
        <v>0.36</v>
      </c>
    </row>
    <row r="100" spans="1:14" x14ac:dyDescent="0.3">
      <c r="A100" t="s">
        <v>395</v>
      </c>
      <c r="B100" t="s">
        <v>399</v>
      </c>
      <c r="C100" t="s">
        <v>43</v>
      </c>
      <c r="D100" s="1">
        <v>0.1</v>
      </c>
      <c r="E100" t="s">
        <v>308</v>
      </c>
      <c r="F100" s="1">
        <v>0.25</v>
      </c>
      <c r="G100" t="s">
        <v>18</v>
      </c>
      <c r="H100" s="1">
        <v>0.9</v>
      </c>
      <c r="I100" s="1">
        <f>SUMPRODUCT(H100:H103,F100:F103)*D100</f>
        <v>5.9499999999999997E-2</v>
      </c>
      <c r="J100" s="1">
        <v>0.47</v>
      </c>
      <c r="K100" s="1">
        <v>0.47</v>
      </c>
      <c r="L100" s="1">
        <v>0.44</v>
      </c>
      <c r="M100" s="1">
        <v>0.4</v>
      </c>
      <c r="N100" s="1">
        <v>0.38</v>
      </c>
    </row>
    <row r="101" spans="1:14" x14ac:dyDescent="0.3">
      <c r="A101" t="s">
        <v>395</v>
      </c>
      <c r="B101" t="s">
        <v>399</v>
      </c>
      <c r="C101" t="s">
        <v>43</v>
      </c>
      <c r="D101" s="1">
        <v>0.1</v>
      </c>
      <c r="E101" t="s">
        <v>309</v>
      </c>
      <c r="F101" s="1">
        <v>0.25</v>
      </c>
      <c r="G101" t="s">
        <v>20</v>
      </c>
      <c r="H101" s="1">
        <v>0.6</v>
      </c>
      <c r="I101" s="1"/>
      <c r="J101" s="1">
        <v>0.47</v>
      </c>
      <c r="K101" s="1">
        <v>0.47</v>
      </c>
      <c r="L101" s="1">
        <v>0.44</v>
      </c>
      <c r="M101" s="1">
        <v>0.4</v>
      </c>
      <c r="N101" s="1">
        <v>0.38</v>
      </c>
    </row>
    <row r="102" spans="1:14" x14ac:dyDescent="0.3">
      <c r="A102" t="s">
        <v>395</v>
      </c>
      <c r="B102" t="s">
        <v>399</v>
      </c>
      <c r="C102" t="s">
        <v>43</v>
      </c>
      <c r="D102" s="1">
        <v>0.1</v>
      </c>
      <c r="E102" t="s">
        <v>46</v>
      </c>
      <c r="F102" s="1">
        <v>0.3</v>
      </c>
      <c r="G102" t="s">
        <v>30</v>
      </c>
      <c r="H102" s="1">
        <v>0.1</v>
      </c>
      <c r="I102" s="1"/>
      <c r="J102" s="1">
        <v>0.47</v>
      </c>
      <c r="K102" s="1">
        <v>0.47</v>
      </c>
      <c r="L102" s="1">
        <v>0.44</v>
      </c>
      <c r="M102" s="1">
        <v>0.4</v>
      </c>
      <c r="N102" s="1">
        <v>0.38</v>
      </c>
    </row>
    <row r="103" spans="1:14" x14ac:dyDescent="0.3">
      <c r="A103" t="s">
        <v>395</v>
      </c>
      <c r="B103" t="s">
        <v>399</v>
      </c>
      <c r="C103" t="s">
        <v>43</v>
      </c>
      <c r="D103" s="1">
        <v>0.1</v>
      </c>
      <c r="E103" t="s">
        <v>47</v>
      </c>
      <c r="F103" s="1">
        <v>0.2</v>
      </c>
      <c r="G103" t="s">
        <v>24</v>
      </c>
      <c r="H103" s="1">
        <v>0.95</v>
      </c>
      <c r="I103" s="1"/>
      <c r="J103" s="1">
        <v>0.47</v>
      </c>
      <c r="K103" s="1">
        <v>0.47</v>
      </c>
      <c r="L103" s="1">
        <v>0.44</v>
      </c>
      <c r="M103" s="1">
        <v>0.4</v>
      </c>
      <c r="N103" s="1">
        <v>0.38</v>
      </c>
    </row>
    <row r="104" spans="1:14" x14ac:dyDescent="0.3">
      <c r="A104" t="s">
        <v>395</v>
      </c>
      <c r="B104" t="s">
        <v>399</v>
      </c>
      <c r="C104" t="s">
        <v>306</v>
      </c>
      <c r="D104" s="1">
        <v>0.1</v>
      </c>
      <c r="E104" t="s">
        <v>55</v>
      </c>
      <c r="F104" s="1">
        <v>0.3</v>
      </c>
      <c r="G104" t="s">
        <v>56</v>
      </c>
      <c r="H104" s="1">
        <v>0.3</v>
      </c>
      <c r="I104" s="1">
        <f>SUMPRODUCT(H104:H107,F104:F107)*D104</f>
        <v>4.5500000000000006E-2</v>
      </c>
      <c r="J104" s="1">
        <v>0.35</v>
      </c>
      <c r="K104" s="1">
        <v>0.35</v>
      </c>
      <c r="L104" s="1">
        <v>0.32</v>
      </c>
      <c r="M104" s="1">
        <v>0.28000000000000003</v>
      </c>
      <c r="N104" s="1">
        <v>0.26</v>
      </c>
    </row>
    <row r="105" spans="1:14" x14ac:dyDescent="0.3">
      <c r="A105" t="s">
        <v>395</v>
      </c>
      <c r="B105" t="s">
        <v>399</v>
      </c>
      <c r="C105" t="s">
        <v>306</v>
      </c>
      <c r="D105" s="1">
        <v>0.1</v>
      </c>
      <c r="E105" t="s">
        <v>273</v>
      </c>
      <c r="F105" s="1">
        <v>0.25</v>
      </c>
      <c r="G105" t="s">
        <v>20</v>
      </c>
      <c r="H105" s="1">
        <v>0.6</v>
      </c>
      <c r="I105" s="1"/>
      <c r="J105" s="1">
        <v>0.35</v>
      </c>
      <c r="K105" s="1">
        <v>0.35</v>
      </c>
      <c r="L105" s="1">
        <v>0.32</v>
      </c>
      <c r="M105" s="1">
        <v>0.28000000000000003</v>
      </c>
      <c r="N105" s="1">
        <v>0.26</v>
      </c>
    </row>
    <row r="106" spans="1:14" x14ac:dyDescent="0.3">
      <c r="A106" t="s">
        <v>395</v>
      </c>
      <c r="B106" t="s">
        <v>399</v>
      </c>
      <c r="C106" t="s">
        <v>306</v>
      </c>
      <c r="D106" s="1">
        <v>0.1</v>
      </c>
      <c r="E106" t="s">
        <v>58</v>
      </c>
      <c r="F106" s="1">
        <v>0.25</v>
      </c>
      <c r="G106" t="s">
        <v>30</v>
      </c>
      <c r="H106" s="1">
        <v>0.1</v>
      </c>
      <c r="I106" s="1"/>
      <c r="J106" s="1">
        <v>0.35</v>
      </c>
      <c r="K106" s="1">
        <v>0.35</v>
      </c>
      <c r="L106" s="1">
        <v>0.32</v>
      </c>
      <c r="M106" s="1">
        <v>0.28000000000000003</v>
      </c>
      <c r="N106" s="1">
        <v>0.26</v>
      </c>
    </row>
    <row r="107" spans="1:14" x14ac:dyDescent="0.3">
      <c r="A107" t="s">
        <v>395</v>
      </c>
      <c r="B107" t="s">
        <v>399</v>
      </c>
      <c r="C107" t="s">
        <v>306</v>
      </c>
      <c r="D107" s="1">
        <v>0.1</v>
      </c>
      <c r="E107" t="s">
        <v>59</v>
      </c>
      <c r="F107" s="1">
        <v>0.2</v>
      </c>
      <c r="G107" t="s">
        <v>24</v>
      </c>
      <c r="H107" s="1">
        <v>0.95</v>
      </c>
      <c r="I107" s="1"/>
      <c r="J107" s="1">
        <v>0.35</v>
      </c>
      <c r="K107" s="1">
        <v>0.35</v>
      </c>
      <c r="L107" s="1">
        <v>0.32</v>
      </c>
      <c r="M107" s="1">
        <v>0.28000000000000003</v>
      </c>
      <c r="N107" s="1">
        <v>0.26</v>
      </c>
    </row>
    <row r="108" spans="1:14" x14ac:dyDescent="0.3">
      <c r="D108" s="1"/>
      <c r="F108" s="1"/>
      <c r="H108" s="1"/>
      <c r="I108" s="2">
        <f>SUM(I80:I104)</f>
        <v>0.68850000000000011</v>
      </c>
      <c r="J108" s="2">
        <f>+J88*$D88+J92*$D92+J96*$D96+J100*$D100+J104*$D104+$D84*J84</f>
        <v>0.51600000000000001</v>
      </c>
      <c r="K108" s="2">
        <f t="shared" ref="K108:N108" si="3">+K88*$D88+K92*$D92+K96*$D96+K100*$D100+K104*$D104+$D84*K84</f>
        <v>0.51600000000000001</v>
      </c>
      <c r="L108" s="2">
        <f t="shared" si="3"/>
        <v>0.48750000000000004</v>
      </c>
      <c r="M108" s="2">
        <f t="shared" si="3"/>
        <v>0.44950000000000001</v>
      </c>
      <c r="N108" s="2">
        <f t="shared" si="3"/>
        <v>0.43049999999999999</v>
      </c>
    </row>
    <row r="109" spans="1:14" x14ac:dyDescent="0.3">
      <c r="D109" s="1"/>
      <c r="F109" s="1"/>
      <c r="H109" s="1"/>
      <c r="I109" s="1"/>
      <c r="J109" s="1"/>
      <c r="K109" s="1"/>
      <c r="L109" s="1"/>
      <c r="M109" s="1"/>
      <c r="N109" s="1"/>
    </row>
    <row r="110" spans="1:14" x14ac:dyDescent="0.3">
      <c r="A110" t="s">
        <v>395</v>
      </c>
      <c r="B110" t="s">
        <v>400</v>
      </c>
      <c r="C110" t="s">
        <v>16</v>
      </c>
      <c r="D110" s="1">
        <v>0.2</v>
      </c>
      <c r="E110" t="s">
        <v>17</v>
      </c>
      <c r="F110" s="1">
        <v>0.3</v>
      </c>
      <c r="G110" t="s">
        <v>18</v>
      </c>
      <c r="H110" s="1">
        <v>0.9</v>
      </c>
      <c r="I110" s="1">
        <f>SUMPRODUCT(H110:H113,F110:F113)*D110</f>
        <v>0.16550000000000004</v>
      </c>
      <c r="J110" s="1">
        <v>0.69</v>
      </c>
      <c r="K110" s="1">
        <v>0.69</v>
      </c>
      <c r="L110" s="1">
        <v>0.66</v>
      </c>
      <c r="M110" s="1">
        <v>0.62</v>
      </c>
      <c r="N110" s="1">
        <v>0.6</v>
      </c>
    </row>
    <row r="111" spans="1:14" x14ac:dyDescent="0.3">
      <c r="A111" t="s">
        <v>395</v>
      </c>
      <c r="B111" t="s">
        <v>400</v>
      </c>
      <c r="C111" t="s">
        <v>16</v>
      </c>
      <c r="D111" s="1">
        <v>0.2</v>
      </c>
      <c r="E111" t="s">
        <v>19</v>
      </c>
      <c r="F111" s="1">
        <v>0.25</v>
      </c>
      <c r="G111" t="s">
        <v>20</v>
      </c>
      <c r="H111" s="1">
        <v>0.6</v>
      </c>
      <c r="I111" s="1"/>
      <c r="J111" s="1">
        <v>0.69</v>
      </c>
      <c r="K111" s="1">
        <v>0.69</v>
      </c>
      <c r="L111" s="1">
        <v>0.66</v>
      </c>
      <c r="M111" s="1">
        <v>0.62</v>
      </c>
      <c r="N111" s="1">
        <v>0.6</v>
      </c>
    </row>
    <row r="112" spans="1:14" x14ac:dyDescent="0.3">
      <c r="A112" t="s">
        <v>395</v>
      </c>
      <c r="B112" t="s">
        <v>400</v>
      </c>
      <c r="C112" t="s">
        <v>16</v>
      </c>
      <c r="D112" s="1">
        <v>0.2</v>
      </c>
      <c r="E112" t="s">
        <v>21</v>
      </c>
      <c r="F112" s="1">
        <v>0.2</v>
      </c>
      <c r="G112" t="s">
        <v>22</v>
      </c>
      <c r="H112" s="1">
        <v>0.85</v>
      </c>
      <c r="I112" s="1"/>
      <c r="J112" s="1">
        <v>0.69</v>
      </c>
      <c r="K112" s="1">
        <v>0.69</v>
      </c>
      <c r="L112" s="1">
        <v>0.66</v>
      </c>
      <c r="M112" s="1">
        <v>0.62</v>
      </c>
      <c r="N112" s="1">
        <v>0.6</v>
      </c>
    </row>
    <row r="113" spans="1:14" x14ac:dyDescent="0.3">
      <c r="A113" t="s">
        <v>395</v>
      </c>
      <c r="B113" t="s">
        <v>400</v>
      </c>
      <c r="C113" t="s">
        <v>16</v>
      </c>
      <c r="D113" s="1">
        <v>0.2</v>
      </c>
      <c r="E113" t="s">
        <v>23</v>
      </c>
      <c r="F113" s="1">
        <v>0.25</v>
      </c>
      <c r="G113" t="s">
        <v>24</v>
      </c>
      <c r="H113" s="1">
        <v>0.95</v>
      </c>
      <c r="I113" s="1"/>
      <c r="J113" s="1">
        <v>0.69</v>
      </c>
      <c r="K113" s="1">
        <v>0.69</v>
      </c>
      <c r="L113" s="1">
        <v>0.66</v>
      </c>
      <c r="M113" s="1">
        <v>0.62</v>
      </c>
      <c r="N113" s="1">
        <v>0.6</v>
      </c>
    </row>
    <row r="114" spans="1:14" x14ac:dyDescent="0.3">
      <c r="A114" t="s">
        <v>395</v>
      </c>
      <c r="B114" t="s">
        <v>400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0.49</v>
      </c>
      <c r="K114" s="1">
        <v>0.49</v>
      </c>
      <c r="L114" s="1">
        <v>0.46</v>
      </c>
      <c r="M114" s="1">
        <v>0.42</v>
      </c>
      <c r="N114" s="1">
        <v>0.4</v>
      </c>
    </row>
    <row r="115" spans="1:14" x14ac:dyDescent="0.3">
      <c r="A115" t="s">
        <v>395</v>
      </c>
      <c r="B115" t="s">
        <v>400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0.49</v>
      </c>
      <c r="K115" s="1">
        <v>0.49</v>
      </c>
      <c r="L115" s="1">
        <v>0.46</v>
      </c>
      <c r="M115" s="1">
        <v>0.42</v>
      </c>
      <c r="N115" s="1">
        <v>0.4</v>
      </c>
    </row>
    <row r="116" spans="1:14" x14ac:dyDescent="0.3">
      <c r="A116" t="s">
        <v>395</v>
      </c>
      <c r="B116" t="s">
        <v>400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0.49</v>
      </c>
      <c r="K116" s="1">
        <v>0.49</v>
      </c>
      <c r="L116" s="1">
        <v>0.46</v>
      </c>
      <c r="M116" s="1">
        <v>0.42</v>
      </c>
      <c r="N116" s="1">
        <v>0.4</v>
      </c>
    </row>
    <row r="117" spans="1:14" x14ac:dyDescent="0.3">
      <c r="A117" t="s">
        <v>395</v>
      </c>
      <c r="B117" t="s">
        <v>400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0.49</v>
      </c>
      <c r="K117" s="1">
        <v>0.49</v>
      </c>
      <c r="L117" s="1">
        <v>0.46</v>
      </c>
      <c r="M117" s="1">
        <v>0.42</v>
      </c>
      <c r="N117" s="1">
        <v>0.4</v>
      </c>
    </row>
    <row r="118" spans="1:14" x14ac:dyDescent="0.3">
      <c r="A118" t="s">
        <v>395</v>
      </c>
      <c r="B118" t="s">
        <v>400</v>
      </c>
      <c r="C118" t="s">
        <v>37</v>
      </c>
      <c r="D118" s="1">
        <v>0.2</v>
      </c>
      <c r="E118" t="s">
        <v>38</v>
      </c>
      <c r="F118" s="1">
        <v>0.3</v>
      </c>
      <c r="G118" t="s">
        <v>18</v>
      </c>
      <c r="H118" s="1">
        <v>0.9</v>
      </c>
      <c r="I118" s="1">
        <f>SUMPRODUCT(H118:H121,F118:F121)*D118</f>
        <v>0.16200000000000003</v>
      </c>
      <c r="J118" s="1">
        <v>0.7</v>
      </c>
      <c r="K118" s="1">
        <v>0.7</v>
      </c>
      <c r="L118" s="1">
        <v>0.67</v>
      </c>
      <c r="M118" s="1">
        <v>0.63</v>
      </c>
      <c r="N118" s="1">
        <v>0.61</v>
      </c>
    </row>
    <row r="119" spans="1:14" x14ac:dyDescent="0.3">
      <c r="A119" t="s">
        <v>395</v>
      </c>
      <c r="B119" t="s">
        <v>400</v>
      </c>
      <c r="C119" t="s">
        <v>37</v>
      </c>
      <c r="D119" s="1">
        <v>0.2</v>
      </c>
      <c r="E119" t="s">
        <v>304</v>
      </c>
      <c r="F119" s="1">
        <v>0.25</v>
      </c>
      <c r="G119" t="s">
        <v>40</v>
      </c>
      <c r="H119" s="1">
        <v>0.7</v>
      </c>
      <c r="I119" s="1"/>
      <c r="J119" s="1">
        <v>0.7</v>
      </c>
      <c r="K119" s="1">
        <v>0.7</v>
      </c>
      <c r="L119" s="1">
        <v>0.67</v>
      </c>
      <c r="M119" s="1">
        <v>0.63</v>
      </c>
      <c r="N119" s="1">
        <v>0.61</v>
      </c>
    </row>
    <row r="120" spans="1:14" x14ac:dyDescent="0.3">
      <c r="A120" t="s">
        <v>395</v>
      </c>
      <c r="B120" t="s">
        <v>400</v>
      </c>
      <c r="C120" t="s">
        <v>37</v>
      </c>
      <c r="D120" s="1">
        <v>0.2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0.7</v>
      </c>
      <c r="K120" s="1">
        <v>0.7</v>
      </c>
      <c r="L120" s="1">
        <v>0.67</v>
      </c>
      <c r="M120" s="1">
        <v>0.63</v>
      </c>
      <c r="N120" s="1">
        <v>0.61</v>
      </c>
    </row>
    <row r="121" spans="1:14" x14ac:dyDescent="0.3">
      <c r="A121" t="s">
        <v>395</v>
      </c>
      <c r="B121" t="s">
        <v>400</v>
      </c>
      <c r="C121" t="s">
        <v>37</v>
      </c>
      <c r="D121" s="1">
        <v>0.2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0.7</v>
      </c>
      <c r="K121" s="1">
        <v>0.7</v>
      </c>
      <c r="L121" s="1">
        <v>0.67</v>
      </c>
      <c r="M121" s="1">
        <v>0.63</v>
      </c>
      <c r="N121" s="1">
        <v>0.61</v>
      </c>
    </row>
    <row r="122" spans="1:14" x14ac:dyDescent="0.3">
      <c r="A122" t="s">
        <v>395</v>
      </c>
      <c r="B122" t="s">
        <v>400</v>
      </c>
      <c r="C122" t="s">
        <v>151</v>
      </c>
      <c r="D122" s="1">
        <v>0.2</v>
      </c>
      <c r="E122" t="s">
        <v>208</v>
      </c>
      <c r="F122" s="1">
        <v>0.25</v>
      </c>
      <c r="G122" t="s">
        <v>40</v>
      </c>
      <c r="H122" s="1">
        <v>0.7</v>
      </c>
      <c r="I122" s="1">
        <f>SUMPRODUCT(H122:H125,F122:F125)*D122</f>
        <v>0.11749999999999999</v>
      </c>
      <c r="J122" s="1">
        <v>0.46</v>
      </c>
      <c r="K122" s="1">
        <v>0.46</v>
      </c>
      <c r="L122" s="1">
        <v>0.43</v>
      </c>
      <c r="M122" s="1">
        <v>0.39</v>
      </c>
      <c r="N122" s="1">
        <v>0.37</v>
      </c>
    </row>
    <row r="123" spans="1:14" x14ac:dyDescent="0.3">
      <c r="A123" t="s">
        <v>395</v>
      </c>
      <c r="B123" t="s">
        <v>400</v>
      </c>
      <c r="C123" t="s">
        <v>151</v>
      </c>
      <c r="D123" s="1">
        <v>0.2</v>
      </c>
      <c r="E123" t="s">
        <v>50</v>
      </c>
      <c r="F123" s="1">
        <v>0.25</v>
      </c>
      <c r="G123" t="s">
        <v>20</v>
      </c>
      <c r="H123" s="1">
        <v>0.6</v>
      </c>
      <c r="I123" s="1"/>
      <c r="J123" s="1">
        <v>0.46</v>
      </c>
      <c r="K123" s="1">
        <v>0.46</v>
      </c>
      <c r="L123" s="1">
        <v>0.43</v>
      </c>
      <c r="M123" s="1">
        <v>0.39</v>
      </c>
      <c r="N123" s="1">
        <v>0.37</v>
      </c>
    </row>
    <row r="124" spans="1:14" x14ac:dyDescent="0.3">
      <c r="A124" t="s">
        <v>395</v>
      </c>
      <c r="B124" t="s">
        <v>400</v>
      </c>
      <c r="C124" t="s">
        <v>151</v>
      </c>
      <c r="D124" s="1">
        <v>0.2</v>
      </c>
      <c r="E124" t="s">
        <v>210</v>
      </c>
      <c r="F124" s="1">
        <v>0.25</v>
      </c>
      <c r="G124" t="s">
        <v>30</v>
      </c>
      <c r="H124" s="1">
        <v>0.1</v>
      </c>
      <c r="I124" s="1"/>
      <c r="J124" s="1">
        <v>0.46</v>
      </c>
      <c r="K124" s="1">
        <v>0.46</v>
      </c>
      <c r="L124" s="1">
        <v>0.43</v>
      </c>
      <c r="M124" s="1">
        <v>0.39</v>
      </c>
      <c r="N124" s="1">
        <v>0.37</v>
      </c>
    </row>
    <row r="125" spans="1:14" x14ac:dyDescent="0.3">
      <c r="A125" t="s">
        <v>395</v>
      </c>
      <c r="B125" t="s">
        <v>400</v>
      </c>
      <c r="C125" t="s">
        <v>151</v>
      </c>
      <c r="D125" s="1">
        <v>0.2</v>
      </c>
      <c r="E125" t="s">
        <v>305</v>
      </c>
      <c r="F125" s="1">
        <v>0.25</v>
      </c>
      <c r="G125" t="s">
        <v>24</v>
      </c>
      <c r="H125" s="1">
        <v>0.95</v>
      </c>
      <c r="I125" s="1"/>
      <c r="J125" s="1">
        <v>0.46</v>
      </c>
      <c r="K125" s="1">
        <v>0.46</v>
      </c>
      <c r="L125" s="1">
        <v>0.43</v>
      </c>
      <c r="M125" s="1">
        <v>0.39</v>
      </c>
      <c r="N125" s="1">
        <v>0.37</v>
      </c>
    </row>
    <row r="126" spans="1:14" x14ac:dyDescent="0.3">
      <c r="A126" t="s">
        <v>395</v>
      </c>
      <c r="B126" t="s">
        <v>400</v>
      </c>
      <c r="C126" t="s">
        <v>43</v>
      </c>
      <c r="D126" s="1">
        <v>0.15</v>
      </c>
      <c r="E126" t="s">
        <v>308</v>
      </c>
      <c r="F126" s="1">
        <v>0.25</v>
      </c>
      <c r="G126" t="s">
        <v>18</v>
      </c>
      <c r="H126" s="1">
        <v>0.9</v>
      </c>
      <c r="I126" s="1">
        <f>SUMPRODUCT(H126:H129,F126:F129)*D126</f>
        <v>8.9249999999999996E-2</v>
      </c>
      <c r="J126" s="1">
        <v>0.49</v>
      </c>
      <c r="K126" s="1">
        <v>0.49</v>
      </c>
      <c r="L126" s="1">
        <v>0.46</v>
      </c>
      <c r="M126" s="1">
        <v>0.42</v>
      </c>
      <c r="N126" s="1">
        <v>0.4</v>
      </c>
    </row>
    <row r="127" spans="1:14" x14ac:dyDescent="0.3">
      <c r="A127" t="s">
        <v>395</v>
      </c>
      <c r="B127" t="s">
        <v>400</v>
      </c>
      <c r="C127" t="s">
        <v>43</v>
      </c>
      <c r="D127" s="1">
        <v>0.15</v>
      </c>
      <c r="E127" t="s">
        <v>309</v>
      </c>
      <c r="F127" s="1">
        <v>0.25</v>
      </c>
      <c r="G127" t="s">
        <v>20</v>
      </c>
      <c r="H127" s="1">
        <v>0.6</v>
      </c>
      <c r="I127" s="1"/>
      <c r="J127" s="1">
        <v>0.49</v>
      </c>
      <c r="K127" s="1">
        <v>0.49</v>
      </c>
      <c r="L127" s="1">
        <v>0.46</v>
      </c>
      <c r="M127" s="1">
        <v>0.42</v>
      </c>
      <c r="N127" s="1">
        <v>0.4</v>
      </c>
    </row>
    <row r="128" spans="1:14" x14ac:dyDescent="0.3">
      <c r="A128" t="s">
        <v>395</v>
      </c>
      <c r="B128" t="s">
        <v>400</v>
      </c>
      <c r="C128" t="s">
        <v>43</v>
      </c>
      <c r="D128" s="1">
        <v>0.15</v>
      </c>
      <c r="E128" t="s">
        <v>46</v>
      </c>
      <c r="F128" s="1">
        <v>0.3</v>
      </c>
      <c r="G128" t="s">
        <v>30</v>
      </c>
      <c r="H128" s="1">
        <v>0.1</v>
      </c>
      <c r="I128" s="1"/>
      <c r="J128" s="1">
        <v>0.49</v>
      </c>
      <c r="K128" s="1">
        <v>0.49</v>
      </c>
      <c r="L128" s="1">
        <v>0.46</v>
      </c>
      <c r="M128" s="1">
        <v>0.42</v>
      </c>
      <c r="N128" s="1">
        <v>0.4</v>
      </c>
    </row>
    <row r="129" spans="1:14" x14ac:dyDescent="0.3">
      <c r="A129" t="s">
        <v>395</v>
      </c>
      <c r="B129" t="s">
        <v>400</v>
      </c>
      <c r="C129" t="s">
        <v>43</v>
      </c>
      <c r="D129" s="1">
        <v>0.15</v>
      </c>
      <c r="E129" t="s">
        <v>47</v>
      </c>
      <c r="F129" s="1">
        <v>0.2</v>
      </c>
      <c r="G129" t="s">
        <v>24</v>
      </c>
      <c r="H129" s="1">
        <v>0.95</v>
      </c>
      <c r="I129" s="1"/>
      <c r="J129" s="1">
        <v>0.49</v>
      </c>
      <c r="K129" s="1">
        <v>0.49</v>
      </c>
      <c r="L129" s="1">
        <v>0.46</v>
      </c>
      <c r="M129" s="1">
        <v>0.42</v>
      </c>
      <c r="N129" s="1">
        <v>0.4</v>
      </c>
    </row>
    <row r="130" spans="1:14" x14ac:dyDescent="0.3">
      <c r="A130" t="s">
        <v>395</v>
      </c>
      <c r="B130" t="s">
        <v>400</v>
      </c>
      <c r="C130" t="s">
        <v>306</v>
      </c>
      <c r="D130" s="1">
        <v>0.1</v>
      </c>
      <c r="E130" t="s">
        <v>55</v>
      </c>
      <c r="F130" s="1">
        <v>0.3</v>
      </c>
      <c r="G130" t="s">
        <v>56</v>
      </c>
      <c r="H130" s="1">
        <v>0.3</v>
      </c>
      <c r="I130" s="1">
        <f>SUMPRODUCT(H130:H133,F130:F133)*D130</f>
        <v>4.5500000000000006E-2</v>
      </c>
      <c r="J130" s="1">
        <v>0.36</v>
      </c>
      <c r="K130" s="1">
        <v>0.36</v>
      </c>
      <c r="L130" s="1">
        <v>0.33</v>
      </c>
      <c r="M130" s="1">
        <v>0.28999999999999998</v>
      </c>
      <c r="N130" s="1">
        <v>0.27</v>
      </c>
    </row>
    <row r="131" spans="1:14" x14ac:dyDescent="0.3">
      <c r="A131" t="s">
        <v>395</v>
      </c>
      <c r="B131" t="s">
        <v>400</v>
      </c>
      <c r="C131" t="s">
        <v>306</v>
      </c>
      <c r="D131" s="1">
        <v>0.1</v>
      </c>
      <c r="E131" t="s">
        <v>273</v>
      </c>
      <c r="F131" s="1">
        <v>0.25</v>
      </c>
      <c r="G131" t="s">
        <v>20</v>
      </c>
      <c r="H131" s="1">
        <v>0.6</v>
      </c>
      <c r="I131" s="1"/>
      <c r="J131" s="1">
        <v>0.36</v>
      </c>
      <c r="K131" s="1">
        <v>0.36</v>
      </c>
      <c r="L131" s="1">
        <v>0.33</v>
      </c>
      <c r="M131" s="1">
        <v>0.28999999999999998</v>
      </c>
      <c r="N131" s="1">
        <v>0.27</v>
      </c>
    </row>
    <row r="132" spans="1:14" x14ac:dyDescent="0.3">
      <c r="A132" t="s">
        <v>395</v>
      </c>
      <c r="B132" t="s">
        <v>400</v>
      </c>
      <c r="C132" t="s">
        <v>306</v>
      </c>
      <c r="D132" s="1">
        <v>0.1</v>
      </c>
      <c r="E132" t="s">
        <v>58</v>
      </c>
      <c r="F132" s="1">
        <v>0.25</v>
      </c>
      <c r="G132" t="s">
        <v>30</v>
      </c>
      <c r="H132" s="1">
        <v>0.1</v>
      </c>
      <c r="I132" s="1"/>
      <c r="J132" s="1">
        <v>0.36</v>
      </c>
      <c r="K132" s="1">
        <v>0.36</v>
      </c>
      <c r="L132" s="1">
        <v>0.33</v>
      </c>
      <c r="M132" s="1">
        <v>0.28999999999999998</v>
      </c>
      <c r="N132" s="1">
        <v>0.27</v>
      </c>
    </row>
    <row r="133" spans="1:14" x14ac:dyDescent="0.3">
      <c r="A133" t="s">
        <v>395</v>
      </c>
      <c r="B133" t="s">
        <v>400</v>
      </c>
      <c r="C133" t="s">
        <v>306</v>
      </c>
      <c r="D133" s="1">
        <v>0.1</v>
      </c>
      <c r="E133" t="s">
        <v>59</v>
      </c>
      <c r="F133" s="1">
        <v>0.2</v>
      </c>
      <c r="G133" t="s">
        <v>24</v>
      </c>
      <c r="H133" s="1">
        <v>0.95</v>
      </c>
      <c r="I133" s="1"/>
      <c r="J133" s="1">
        <v>0.36</v>
      </c>
      <c r="K133" s="1">
        <v>0.36</v>
      </c>
      <c r="L133" s="1">
        <v>0.33</v>
      </c>
      <c r="M133" s="1">
        <v>0.28999999999999998</v>
      </c>
      <c r="N133" s="1">
        <v>0.27</v>
      </c>
    </row>
    <row r="134" spans="1:14" x14ac:dyDescent="0.3">
      <c r="I134" s="2">
        <f>SUM(I110:I130)</f>
        <v>0.67275000000000007</v>
      </c>
      <c r="J134" s="2">
        <f>+J114*$D114+J118*$D118+J122*$D122+J126*$D126+J130*$D130+$D110*J110</f>
        <v>0.55299999999999994</v>
      </c>
      <c r="K134" s="2">
        <f t="shared" ref="K134:N134" si="4">+K114*$D114+K118*$D118+K122*$D122+K126*$D126+K130*$D130+$D110*K110</f>
        <v>0.55299999999999994</v>
      </c>
      <c r="L134" s="2">
        <f t="shared" si="4"/>
        <v>0.52300000000000002</v>
      </c>
      <c r="M134" s="2">
        <f t="shared" si="4"/>
        <v>0.48299999999999998</v>
      </c>
      <c r="N134" s="2">
        <f t="shared" si="4"/>
        <v>0.46300000000000002</v>
      </c>
    </row>
    <row r="135" spans="1:14" x14ac:dyDescent="0.3">
      <c r="I135" s="1"/>
    </row>
    <row r="136" spans="1:14" x14ac:dyDescent="0.3">
      <c r="I136" s="1"/>
    </row>
    <row r="137" spans="1:14" x14ac:dyDescent="0.3">
      <c r="I137" s="1"/>
    </row>
    <row r="138" spans="1:14" x14ac:dyDescent="0.3">
      <c r="I13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2"/>
  <sheetViews>
    <sheetView workbookViewId="0"/>
  </sheetViews>
  <sheetFormatPr defaultRowHeight="14.4" x14ac:dyDescent="0.3"/>
  <cols>
    <col min="2" max="2" width="25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401</v>
      </c>
      <c r="B2" t="s">
        <v>402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0.64</v>
      </c>
      <c r="K2" s="1">
        <v>0.64</v>
      </c>
      <c r="L2" s="1">
        <v>0.61</v>
      </c>
      <c r="M2" s="1">
        <v>0.55000000000000004</v>
      </c>
      <c r="N2" s="1">
        <v>0.52</v>
      </c>
    </row>
    <row r="3" spans="1:14" x14ac:dyDescent="0.3">
      <c r="A3" t="s">
        <v>401</v>
      </c>
      <c r="B3" t="s">
        <v>402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0.64</v>
      </c>
      <c r="K3" s="1">
        <v>0.64</v>
      </c>
      <c r="L3" s="1">
        <v>0.61</v>
      </c>
      <c r="M3" s="1">
        <v>0.55000000000000004</v>
      </c>
      <c r="N3" s="1">
        <v>0.52</v>
      </c>
    </row>
    <row r="4" spans="1:14" x14ac:dyDescent="0.3">
      <c r="A4" t="s">
        <v>401</v>
      </c>
      <c r="B4" t="s">
        <v>402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0.64</v>
      </c>
      <c r="K4" s="1">
        <v>0.64</v>
      </c>
      <c r="L4" s="1">
        <v>0.61</v>
      </c>
      <c r="M4" s="1">
        <v>0.55000000000000004</v>
      </c>
      <c r="N4" s="1">
        <v>0.52</v>
      </c>
    </row>
    <row r="5" spans="1:14" x14ac:dyDescent="0.3">
      <c r="A5" t="s">
        <v>401</v>
      </c>
      <c r="B5" t="s">
        <v>402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0.64</v>
      </c>
      <c r="K5" s="1">
        <v>0.64</v>
      </c>
      <c r="L5" s="1">
        <v>0.61</v>
      </c>
      <c r="M5" s="1">
        <v>0.55000000000000004</v>
      </c>
      <c r="N5" s="1">
        <v>0.52</v>
      </c>
    </row>
    <row r="6" spans="1:14" x14ac:dyDescent="0.3">
      <c r="A6" t="s">
        <v>401</v>
      </c>
      <c r="B6" t="s">
        <v>402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0.44</v>
      </c>
      <c r="K6" s="1">
        <v>0.44</v>
      </c>
      <c r="L6" s="1">
        <v>0.41</v>
      </c>
      <c r="M6" s="1">
        <v>0.36</v>
      </c>
      <c r="N6" s="1">
        <v>0.33</v>
      </c>
    </row>
    <row r="7" spans="1:14" x14ac:dyDescent="0.3">
      <c r="A7" t="s">
        <v>401</v>
      </c>
      <c r="B7" t="s">
        <v>402</v>
      </c>
      <c r="C7" t="s">
        <v>25</v>
      </c>
      <c r="D7" s="1">
        <v>0.15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0.44</v>
      </c>
      <c r="K7" s="1">
        <v>0.44</v>
      </c>
      <c r="L7" s="1">
        <v>0.41</v>
      </c>
      <c r="M7" s="1">
        <v>0.36</v>
      </c>
      <c r="N7" s="1">
        <v>0.33</v>
      </c>
    </row>
    <row r="8" spans="1:14" x14ac:dyDescent="0.3">
      <c r="A8" t="s">
        <v>401</v>
      </c>
      <c r="B8" t="s">
        <v>402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0.44</v>
      </c>
      <c r="K8" s="1">
        <v>0.44</v>
      </c>
      <c r="L8" s="1">
        <v>0.41</v>
      </c>
      <c r="M8" s="1">
        <v>0.36</v>
      </c>
      <c r="N8" s="1">
        <v>0.33</v>
      </c>
    </row>
    <row r="9" spans="1:14" x14ac:dyDescent="0.3">
      <c r="A9" t="s">
        <v>401</v>
      </c>
      <c r="B9" t="s">
        <v>402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0.44</v>
      </c>
      <c r="K9" s="1">
        <v>0.44</v>
      </c>
      <c r="L9" s="1">
        <v>0.41</v>
      </c>
      <c r="M9" s="1">
        <v>0.36</v>
      </c>
      <c r="N9" s="1">
        <v>0.33</v>
      </c>
    </row>
    <row r="10" spans="1:14" x14ac:dyDescent="0.3">
      <c r="A10" t="s">
        <v>401</v>
      </c>
      <c r="B10" t="s">
        <v>402</v>
      </c>
      <c r="C10" t="s">
        <v>37</v>
      </c>
      <c r="D10" s="1">
        <v>0.2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0.16200000000000003</v>
      </c>
      <c r="J10" s="1">
        <v>0.64</v>
      </c>
      <c r="K10" s="1">
        <v>0.64</v>
      </c>
      <c r="L10" s="1">
        <v>0.61</v>
      </c>
      <c r="M10" s="1">
        <v>0.56000000000000005</v>
      </c>
      <c r="N10" s="1">
        <v>0.53</v>
      </c>
    </row>
    <row r="11" spans="1:14" x14ac:dyDescent="0.3">
      <c r="A11" t="s">
        <v>401</v>
      </c>
      <c r="B11" t="s">
        <v>402</v>
      </c>
      <c r="C11" t="s">
        <v>37</v>
      </c>
      <c r="D11" s="1">
        <v>0.2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0.64</v>
      </c>
      <c r="K11" s="1">
        <v>0.64</v>
      </c>
      <c r="L11" s="1">
        <v>0.61</v>
      </c>
      <c r="M11" s="1">
        <v>0.56000000000000005</v>
      </c>
      <c r="N11" s="1">
        <v>0.53</v>
      </c>
    </row>
    <row r="12" spans="1:14" x14ac:dyDescent="0.3">
      <c r="A12" t="s">
        <v>401</v>
      </c>
      <c r="B12" t="s">
        <v>402</v>
      </c>
      <c r="C12" t="s">
        <v>37</v>
      </c>
      <c r="D12" s="1">
        <v>0.2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0.64</v>
      </c>
      <c r="K12" s="1">
        <v>0.64</v>
      </c>
      <c r="L12" s="1">
        <v>0.61</v>
      </c>
      <c r="M12" s="1">
        <v>0.56000000000000005</v>
      </c>
      <c r="N12" s="1">
        <v>0.53</v>
      </c>
    </row>
    <row r="13" spans="1:14" x14ac:dyDescent="0.3">
      <c r="A13" t="s">
        <v>401</v>
      </c>
      <c r="B13" t="s">
        <v>402</v>
      </c>
      <c r="C13" t="s">
        <v>37</v>
      </c>
      <c r="D13" s="1">
        <v>0.2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0.61</v>
      </c>
      <c r="M13" s="1">
        <v>0.56000000000000005</v>
      </c>
      <c r="N13" s="1">
        <v>0.53</v>
      </c>
    </row>
    <row r="14" spans="1:14" x14ac:dyDescent="0.3">
      <c r="A14" t="s">
        <v>401</v>
      </c>
      <c r="B14" t="s">
        <v>402</v>
      </c>
      <c r="C14" t="s">
        <v>48</v>
      </c>
      <c r="D14" s="1">
        <v>0.25</v>
      </c>
      <c r="E14" t="s">
        <v>287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0.43</v>
      </c>
      <c r="K14" s="1">
        <v>0.43</v>
      </c>
      <c r="L14" s="1">
        <v>0.4</v>
      </c>
      <c r="M14" s="1">
        <v>0.35</v>
      </c>
      <c r="N14" s="1">
        <v>0.32</v>
      </c>
    </row>
    <row r="15" spans="1:14" x14ac:dyDescent="0.3">
      <c r="A15" t="s">
        <v>401</v>
      </c>
      <c r="B15" t="s">
        <v>402</v>
      </c>
      <c r="C15" t="s">
        <v>48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0.43</v>
      </c>
      <c r="K15" s="1">
        <v>0.43</v>
      </c>
      <c r="L15" s="1">
        <v>0.4</v>
      </c>
      <c r="M15" s="1">
        <v>0.35</v>
      </c>
      <c r="N15" s="1">
        <v>0.32</v>
      </c>
    </row>
    <row r="16" spans="1:14" x14ac:dyDescent="0.3">
      <c r="A16" t="s">
        <v>401</v>
      </c>
      <c r="B16" t="s">
        <v>402</v>
      </c>
      <c r="C16" t="s">
        <v>48</v>
      </c>
      <c r="D16" s="1">
        <v>0.25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0.43</v>
      </c>
      <c r="K16" s="1">
        <v>0.43</v>
      </c>
      <c r="L16" s="1">
        <v>0.4</v>
      </c>
      <c r="M16" s="1">
        <v>0.35</v>
      </c>
      <c r="N16" s="1">
        <v>0.32</v>
      </c>
    </row>
    <row r="17" spans="1:14" x14ac:dyDescent="0.3">
      <c r="A17" t="s">
        <v>401</v>
      </c>
      <c r="B17" t="s">
        <v>402</v>
      </c>
      <c r="C17" t="s">
        <v>48</v>
      </c>
      <c r="D17" s="1">
        <v>0.25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0.43</v>
      </c>
      <c r="K17" s="1">
        <v>0.43</v>
      </c>
      <c r="L17" s="1">
        <v>0.4</v>
      </c>
      <c r="M17" s="1">
        <v>0.35</v>
      </c>
      <c r="N17" s="1">
        <v>0.32</v>
      </c>
    </row>
    <row r="18" spans="1:14" x14ac:dyDescent="0.3">
      <c r="A18" t="s">
        <v>401</v>
      </c>
      <c r="B18" t="s">
        <v>402</v>
      </c>
      <c r="C18" t="s">
        <v>43</v>
      </c>
      <c r="D18" s="1">
        <v>0.1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0.44</v>
      </c>
      <c r="K18" s="1">
        <v>0.44</v>
      </c>
      <c r="L18" s="1">
        <v>0.41</v>
      </c>
      <c r="M18" s="1">
        <v>0.36</v>
      </c>
      <c r="N18" s="1">
        <v>0.33</v>
      </c>
    </row>
    <row r="19" spans="1:14" x14ac:dyDescent="0.3">
      <c r="A19" t="s">
        <v>401</v>
      </c>
      <c r="B19" t="s">
        <v>402</v>
      </c>
      <c r="C19" t="s">
        <v>43</v>
      </c>
      <c r="D19" s="1">
        <v>0.1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0.44</v>
      </c>
      <c r="K19" s="1">
        <v>0.44</v>
      </c>
      <c r="L19" s="1">
        <v>0.41</v>
      </c>
      <c r="M19" s="1">
        <v>0.36</v>
      </c>
      <c r="N19" s="1">
        <v>0.33</v>
      </c>
    </row>
    <row r="20" spans="1:14" x14ac:dyDescent="0.3">
      <c r="A20" t="s">
        <v>401</v>
      </c>
      <c r="B20" t="s">
        <v>402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0.44</v>
      </c>
      <c r="K20" s="1">
        <v>0.44</v>
      </c>
      <c r="L20" s="1">
        <v>0.41</v>
      </c>
      <c r="M20" s="1">
        <v>0.36</v>
      </c>
      <c r="N20" s="1">
        <v>0.33</v>
      </c>
    </row>
    <row r="21" spans="1:14" x14ac:dyDescent="0.3">
      <c r="A21" t="s">
        <v>401</v>
      </c>
      <c r="B21" t="s">
        <v>402</v>
      </c>
      <c r="C21" t="s">
        <v>43</v>
      </c>
      <c r="D21" s="1">
        <v>0.1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0.44</v>
      </c>
      <c r="K21" s="1">
        <v>0.44</v>
      </c>
      <c r="L21" s="1">
        <v>0.41</v>
      </c>
      <c r="M21" s="1">
        <v>0.36</v>
      </c>
      <c r="N21" s="1">
        <v>0.33</v>
      </c>
    </row>
    <row r="22" spans="1:14" x14ac:dyDescent="0.3">
      <c r="A22" t="s">
        <v>401</v>
      </c>
      <c r="B22" t="s">
        <v>402</v>
      </c>
      <c r="C22" t="s">
        <v>271</v>
      </c>
      <c r="D22" s="1">
        <v>0.1</v>
      </c>
      <c r="E22" t="s">
        <v>55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0.33</v>
      </c>
      <c r="K22" s="1">
        <v>0.33</v>
      </c>
      <c r="L22" s="1">
        <v>0.3</v>
      </c>
      <c r="M22" s="1">
        <v>0.26</v>
      </c>
      <c r="N22" s="1">
        <v>0.23</v>
      </c>
    </row>
    <row r="23" spans="1:14" x14ac:dyDescent="0.3">
      <c r="A23" t="s">
        <v>401</v>
      </c>
      <c r="B23" t="s">
        <v>402</v>
      </c>
      <c r="C23" t="s">
        <v>271</v>
      </c>
      <c r="D23" s="1">
        <v>0.1</v>
      </c>
      <c r="E23" t="s">
        <v>404</v>
      </c>
      <c r="F23" s="1">
        <v>0.25</v>
      </c>
      <c r="G23" t="s">
        <v>20</v>
      </c>
      <c r="H23" s="1">
        <v>0.6</v>
      </c>
      <c r="I23" s="1"/>
      <c r="J23" s="1">
        <v>0.33</v>
      </c>
      <c r="K23" s="1">
        <v>0.33</v>
      </c>
      <c r="L23" s="1">
        <v>0.3</v>
      </c>
      <c r="M23" s="1">
        <v>0.26</v>
      </c>
      <c r="N23" s="1">
        <v>0.23</v>
      </c>
    </row>
    <row r="24" spans="1:14" x14ac:dyDescent="0.3">
      <c r="A24" t="s">
        <v>401</v>
      </c>
      <c r="B24" t="s">
        <v>402</v>
      </c>
      <c r="C24" t="s">
        <v>271</v>
      </c>
      <c r="D24" s="1">
        <v>0.1</v>
      </c>
      <c r="E24" t="s">
        <v>405</v>
      </c>
      <c r="F24" s="1">
        <v>0.25</v>
      </c>
      <c r="G24" t="s">
        <v>30</v>
      </c>
      <c r="H24" s="1">
        <v>0.1</v>
      </c>
      <c r="I24" s="1"/>
      <c r="J24" s="1">
        <v>0.33</v>
      </c>
      <c r="K24" s="1">
        <v>0.33</v>
      </c>
      <c r="L24" s="1">
        <v>0.3</v>
      </c>
      <c r="M24" s="1">
        <v>0.26</v>
      </c>
      <c r="N24" s="1">
        <v>0.23</v>
      </c>
    </row>
    <row r="25" spans="1:14" x14ac:dyDescent="0.3">
      <c r="A25" t="s">
        <v>401</v>
      </c>
      <c r="B25" t="s">
        <v>402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0.33</v>
      </c>
      <c r="K25" s="1">
        <v>0.33</v>
      </c>
      <c r="L25" s="1">
        <v>0.3</v>
      </c>
      <c r="M25" s="1">
        <v>0.26</v>
      </c>
      <c r="N25" s="1">
        <v>0.23</v>
      </c>
    </row>
    <row r="26" spans="1:14" x14ac:dyDescent="0.3">
      <c r="D26" s="1"/>
      <c r="F26" s="1"/>
      <c r="H26" s="1"/>
      <c r="I26" s="2">
        <f>SUM(I2:I22)</f>
        <v>0.67237500000000006</v>
      </c>
      <c r="J26" s="2">
        <f>+J6*$D6+J10*$D10+J14*$D14+J18*$D18+J22*$D22+$D2*J2</f>
        <v>0.50649999999999995</v>
      </c>
      <c r="K26" s="2">
        <f t="shared" ref="K26:N26" si="0">+K6*$D6+K10*$D10+K14*$D14+K18*$D18+K22*$D22+$D2*K2</f>
        <v>0.50649999999999995</v>
      </c>
      <c r="L26" s="2">
        <f t="shared" si="0"/>
        <v>0.47649999999999992</v>
      </c>
      <c r="M26" s="2">
        <f t="shared" si="0"/>
        <v>0.42549999999999999</v>
      </c>
      <c r="N26" s="2">
        <f t="shared" si="0"/>
        <v>0.39550000000000007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401</v>
      </c>
      <c r="B28" t="s">
        <v>406</v>
      </c>
      <c r="C28" t="s">
        <v>407</v>
      </c>
      <c r="D28" s="1">
        <v>0.2</v>
      </c>
      <c r="E28" t="s">
        <v>408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</v>
      </c>
      <c r="K28" s="1">
        <v>0.6</v>
      </c>
      <c r="L28" s="1">
        <v>0.56999999999999995</v>
      </c>
      <c r="M28" s="1">
        <v>0.5</v>
      </c>
      <c r="N28" s="1">
        <v>0.44</v>
      </c>
    </row>
    <row r="29" spans="1:14" x14ac:dyDescent="0.3">
      <c r="A29" t="s">
        <v>401</v>
      </c>
      <c r="B29" t="s">
        <v>406</v>
      </c>
      <c r="C29" t="s">
        <v>407</v>
      </c>
      <c r="D29" s="1">
        <v>0.2</v>
      </c>
      <c r="E29" t="s">
        <v>409</v>
      </c>
      <c r="F29" s="1">
        <v>0.25</v>
      </c>
      <c r="G29" t="s">
        <v>20</v>
      </c>
      <c r="H29" s="1">
        <v>0.6</v>
      </c>
      <c r="I29" s="1"/>
      <c r="J29" s="1">
        <v>0.6</v>
      </c>
      <c r="K29" s="1">
        <v>0.6</v>
      </c>
      <c r="L29" s="1">
        <v>0.56999999999999995</v>
      </c>
      <c r="M29" s="1">
        <v>0.5</v>
      </c>
      <c r="N29" s="1">
        <v>0.44</v>
      </c>
    </row>
    <row r="30" spans="1:14" x14ac:dyDescent="0.3">
      <c r="A30" t="s">
        <v>401</v>
      </c>
      <c r="B30" t="s">
        <v>406</v>
      </c>
      <c r="C30" t="s">
        <v>407</v>
      </c>
      <c r="D30" s="1">
        <v>0.2</v>
      </c>
      <c r="E30" t="s">
        <v>410</v>
      </c>
      <c r="F30" s="1">
        <v>0.2</v>
      </c>
      <c r="G30" t="s">
        <v>22</v>
      </c>
      <c r="H30" s="1">
        <v>0.85</v>
      </c>
      <c r="I30" s="1"/>
      <c r="J30" s="1">
        <v>0.6</v>
      </c>
      <c r="K30" s="1">
        <v>0.6</v>
      </c>
      <c r="L30" s="1">
        <v>0.56999999999999995</v>
      </c>
      <c r="M30" s="1">
        <v>0.5</v>
      </c>
      <c r="N30" s="1">
        <v>0.44</v>
      </c>
    </row>
    <row r="31" spans="1:14" x14ac:dyDescent="0.3">
      <c r="A31" t="s">
        <v>401</v>
      </c>
      <c r="B31" t="s">
        <v>406</v>
      </c>
      <c r="C31" t="s">
        <v>407</v>
      </c>
      <c r="D31" s="1">
        <v>0.2</v>
      </c>
      <c r="E31" t="s">
        <v>411</v>
      </c>
      <c r="F31" s="1">
        <v>0.25</v>
      </c>
      <c r="G31" t="s">
        <v>24</v>
      </c>
      <c r="H31" s="1">
        <v>0.95</v>
      </c>
      <c r="I31" s="1"/>
      <c r="J31" s="1">
        <v>0.6</v>
      </c>
      <c r="K31" s="1">
        <v>0.6</v>
      </c>
      <c r="L31" s="1">
        <v>0.56999999999999995</v>
      </c>
      <c r="M31" s="1">
        <v>0.5</v>
      </c>
      <c r="N31" s="1">
        <v>0.44</v>
      </c>
    </row>
    <row r="32" spans="1:14" x14ac:dyDescent="0.3">
      <c r="A32" t="s">
        <v>401</v>
      </c>
      <c r="B32" t="s">
        <v>406</v>
      </c>
      <c r="C32" t="s">
        <v>25</v>
      </c>
      <c r="D32" s="1">
        <v>0.2</v>
      </c>
      <c r="E32" t="s">
        <v>412</v>
      </c>
      <c r="F32" s="1">
        <v>0.25</v>
      </c>
      <c r="G32" t="s">
        <v>18</v>
      </c>
      <c r="H32" s="1">
        <v>0.9</v>
      </c>
      <c r="I32" s="1">
        <f>SUMPRODUCT(H32:H35,F32:F35)*D32</f>
        <v>0.12600000000000003</v>
      </c>
      <c r="J32" s="1">
        <v>0.4</v>
      </c>
      <c r="K32" s="1">
        <v>0.4</v>
      </c>
      <c r="L32" s="1">
        <v>0.37</v>
      </c>
      <c r="M32" s="1">
        <v>0.31</v>
      </c>
      <c r="N32" s="1">
        <v>0.27</v>
      </c>
    </row>
    <row r="33" spans="1:14" x14ac:dyDescent="0.3">
      <c r="A33" t="s">
        <v>401</v>
      </c>
      <c r="B33" t="s">
        <v>406</v>
      </c>
      <c r="C33" t="s">
        <v>25</v>
      </c>
      <c r="D33" s="1">
        <v>0.2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</v>
      </c>
      <c r="K33" s="1">
        <v>0.4</v>
      </c>
      <c r="L33" s="1">
        <v>0.37</v>
      </c>
      <c r="M33" s="1">
        <v>0.31</v>
      </c>
      <c r="N33" s="1">
        <v>0.27</v>
      </c>
    </row>
    <row r="34" spans="1:14" x14ac:dyDescent="0.3">
      <c r="A34" t="s">
        <v>401</v>
      </c>
      <c r="B34" t="s">
        <v>406</v>
      </c>
      <c r="C34" t="s">
        <v>413</v>
      </c>
      <c r="D34" s="1">
        <v>0.3</v>
      </c>
      <c r="E34" t="s">
        <v>30</v>
      </c>
      <c r="F34" s="1">
        <v>0.1</v>
      </c>
      <c r="G34" s="1">
        <v>0.62</v>
      </c>
      <c r="H34" s="1">
        <v>0.4</v>
      </c>
      <c r="I34" s="1"/>
      <c r="J34" s="1">
        <v>0.37</v>
      </c>
      <c r="K34" s="1">
        <v>0.31</v>
      </c>
      <c r="L34" s="1">
        <v>0.27</v>
      </c>
    </row>
    <row r="35" spans="1:14" x14ac:dyDescent="0.3">
      <c r="A35" t="s">
        <v>401</v>
      </c>
      <c r="B35" t="s">
        <v>406</v>
      </c>
      <c r="C35" t="s">
        <v>25</v>
      </c>
      <c r="D35" s="1">
        <v>0.2</v>
      </c>
      <c r="E35" t="s">
        <v>414</v>
      </c>
      <c r="F35" s="1">
        <v>0.2</v>
      </c>
      <c r="G35" t="s">
        <v>24</v>
      </c>
      <c r="H35" s="1">
        <v>0.95</v>
      </c>
      <c r="I35" s="1"/>
      <c r="J35" s="1">
        <v>0.4</v>
      </c>
      <c r="K35" s="1">
        <v>0.4</v>
      </c>
      <c r="L35" s="1">
        <v>0.37</v>
      </c>
      <c r="M35" s="1">
        <v>0.31</v>
      </c>
      <c r="N35" s="1">
        <v>0.27</v>
      </c>
    </row>
    <row r="36" spans="1:14" x14ac:dyDescent="0.3">
      <c r="A36" t="s">
        <v>401</v>
      </c>
      <c r="B36" t="s">
        <v>406</v>
      </c>
      <c r="C36" t="s">
        <v>415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0.57999999999999996</v>
      </c>
      <c r="K36" s="1">
        <v>0.57999999999999996</v>
      </c>
      <c r="L36" s="1">
        <v>0.55000000000000004</v>
      </c>
      <c r="M36" s="1">
        <v>0.48</v>
      </c>
      <c r="N36" s="1">
        <v>0.43</v>
      </c>
    </row>
    <row r="37" spans="1:14" x14ac:dyDescent="0.3">
      <c r="A37" t="s">
        <v>401</v>
      </c>
      <c r="B37" t="s">
        <v>406</v>
      </c>
      <c r="C37" t="s">
        <v>415</v>
      </c>
      <c r="D37" s="1">
        <v>0.2</v>
      </c>
      <c r="E37" t="s">
        <v>416</v>
      </c>
      <c r="F37" s="1">
        <v>0.25</v>
      </c>
      <c r="G37" t="s">
        <v>40</v>
      </c>
      <c r="H37" s="1">
        <v>0.7</v>
      </c>
      <c r="I37" s="1"/>
      <c r="J37" s="1">
        <v>0.57999999999999996</v>
      </c>
      <c r="K37" s="1">
        <v>0.57999999999999996</v>
      </c>
      <c r="L37" s="1">
        <v>0.55000000000000004</v>
      </c>
      <c r="M37" s="1">
        <v>0.48</v>
      </c>
      <c r="N37" s="1">
        <v>0.43</v>
      </c>
    </row>
    <row r="38" spans="1:14" x14ac:dyDescent="0.3">
      <c r="A38" t="s">
        <v>401</v>
      </c>
      <c r="B38" t="s">
        <v>406</v>
      </c>
      <c r="C38" t="s">
        <v>415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0.57999999999999996</v>
      </c>
      <c r="K38" s="1">
        <v>0.57999999999999996</v>
      </c>
      <c r="L38" s="1">
        <v>0.55000000000000004</v>
      </c>
      <c r="M38" s="1">
        <v>0.48</v>
      </c>
      <c r="N38" s="1">
        <v>0.43</v>
      </c>
    </row>
    <row r="39" spans="1:14" x14ac:dyDescent="0.3">
      <c r="A39" t="s">
        <v>401</v>
      </c>
      <c r="B39" t="s">
        <v>406</v>
      </c>
      <c r="C39" t="s">
        <v>415</v>
      </c>
      <c r="D39" s="1">
        <v>0.2</v>
      </c>
      <c r="E39" t="s">
        <v>417</v>
      </c>
      <c r="F39" s="1">
        <v>0.2</v>
      </c>
      <c r="G39" t="s">
        <v>24</v>
      </c>
      <c r="H39" s="1">
        <v>0.95</v>
      </c>
      <c r="I39" s="1"/>
      <c r="J39" s="1">
        <v>0.57999999999999996</v>
      </c>
      <c r="K39" s="1">
        <v>0.57999999999999996</v>
      </c>
      <c r="L39" s="1">
        <v>0.55000000000000004</v>
      </c>
      <c r="M39" s="1">
        <v>0.48</v>
      </c>
      <c r="N39" s="1">
        <v>0.43</v>
      </c>
    </row>
    <row r="40" spans="1:14" x14ac:dyDescent="0.3">
      <c r="A40" t="s">
        <v>401</v>
      </c>
      <c r="B40" t="s">
        <v>406</v>
      </c>
      <c r="C40" t="s">
        <v>418</v>
      </c>
      <c r="D40" s="1">
        <v>0.15</v>
      </c>
      <c r="E40" t="s">
        <v>419</v>
      </c>
      <c r="F40" s="1">
        <v>0.3</v>
      </c>
      <c r="G40" t="s">
        <v>18</v>
      </c>
      <c r="H40" s="1">
        <v>0.9</v>
      </c>
      <c r="I40" s="1">
        <f>SUMPRODUCT(H40:H43,F40:F43)*D40</f>
        <v>9.5250000000000001E-2</v>
      </c>
      <c r="J40" s="1">
        <v>0.42</v>
      </c>
      <c r="K40" s="1">
        <v>0.42</v>
      </c>
      <c r="L40" s="1">
        <v>0.39</v>
      </c>
      <c r="M40" s="1">
        <v>0.33</v>
      </c>
      <c r="N40" s="1">
        <v>0.28000000000000003</v>
      </c>
    </row>
    <row r="41" spans="1:14" x14ac:dyDescent="0.3">
      <c r="A41" t="s">
        <v>401</v>
      </c>
      <c r="B41" t="s">
        <v>406</v>
      </c>
      <c r="C41" t="s">
        <v>418</v>
      </c>
      <c r="D41" s="1">
        <v>0.15</v>
      </c>
      <c r="E41" t="s">
        <v>420</v>
      </c>
      <c r="F41" s="1">
        <v>0.25</v>
      </c>
      <c r="G41" t="s">
        <v>20</v>
      </c>
      <c r="H41" s="1">
        <v>0.6</v>
      </c>
      <c r="I41" s="1"/>
      <c r="J41" s="1">
        <v>0.42</v>
      </c>
      <c r="K41" s="1">
        <v>0.42</v>
      </c>
      <c r="L41" s="1">
        <v>0.39</v>
      </c>
      <c r="M41" s="1">
        <v>0.33</v>
      </c>
      <c r="N41" s="1">
        <v>0.28000000000000003</v>
      </c>
    </row>
    <row r="42" spans="1:14" x14ac:dyDescent="0.3">
      <c r="A42" t="s">
        <v>401</v>
      </c>
      <c r="B42" t="s">
        <v>406</v>
      </c>
      <c r="C42" t="s">
        <v>418</v>
      </c>
      <c r="D42" s="1">
        <v>0.15</v>
      </c>
      <c r="E42" t="s">
        <v>421</v>
      </c>
      <c r="F42" s="1">
        <v>0.25</v>
      </c>
      <c r="G42" t="s">
        <v>30</v>
      </c>
      <c r="H42" s="1">
        <v>0.1</v>
      </c>
      <c r="I42" s="1"/>
      <c r="J42" s="1">
        <v>0.42</v>
      </c>
      <c r="K42" s="1">
        <v>0.42</v>
      </c>
      <c r="L42" s="1">
        <v>0.39</v>
      </c>
      <c r="M42" s="1">
        <v>0.33</v>
      </c>
      <c r="N42" s="1">
        <v>0.28000000000000003</v>
      </c>
    </row>
    <row r="43" spans="1:14" x14ac:dyDescent="0.3">
      <c r="A43" t="s">
        <v>401</v>
      </c>
      <c r="B43" t="s">
        <v>406</v>
      </c>
      <c r="C43" t="s">
        <v>418</v>
      </c>
      <c r="D43" s="1">
        <v>0.15</v>
      </c>
      <c r="E43" t="s">
        <v>422</v>
      </c>
      <c r="F43" s="1">
        <v>0.2</v>
      </c>
      <c r="G43" t="s">
        <v>24</v>
      </c>
      <c r="H43" s="1">
        <v>0.95</v>
      </c>
      <c r="I43" s="1"/>
      <c r="J43" s="1">
        <v>0.42</v>
      </c>
      <c r="K43" s="1">
        <v>0.42</v>
      </c>
      <c r="L43" s="1">
        <v>0.39</v>
      </c>
      <c r="M43" s="1">
        <v>0.33</v>
      </c>
      <c r="N43" s="1">
        <v>0.28000000000000003</v>
      </c>
    </row>
    <row r="44" spans="1:14" x14ac:dyDescent="0.3">
      <c r="A44" t="s">
        <v>401</v>
      </c>
      <c r="B44" t="s">
        <v>406</v>
      </c>
      <c r="C44" t="s">
        <v>423</v>
      </c>
      <c r="D44" s="1">
        <v>0.15</v>
      </c>
      <c r="E44" t="s">
        <v>424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</v>
      </c>
      <c r="K44" s="1">
        <v>0.4</v>
      </c>
      <c r="L44" s="1">
        <v>0.37</v>
      </c>
      <c r="M44" s="1">
        <v>0.31</v>
      </c>
      <c r="N44" s="1">
        <v>0.26</v>
      </c>
    </row>
    <row r="45" spans="1:14" x14ac:dyDescent="0.3">
      <c r="A45" t="s">
        <v>401</v>
      </c>
      <c r="B45" t="s">
        <v>406</v>
      </c>
      <c r="C45" t="s">
        <v>423</v>
      </c>
      <c r="D45" s="1">
        <v>0.15</v>
      </c>
      <c r="E45" t="s">
        <v>425</v>
      </c>
      <c r="F45" s="1">
        <v>0.25</v>
      </c>
      <c r="G45" t="s">
        <v>20</v>
      </c>
      <c r="H45" s="1">
        <v>0.6</v>
      </c>
      <c r="I45" s="1"/>
      <c r="J45" s="1">
        <v>0.4</v>
      </c>
      <c r="K45" s="1">
        <v>0.4</v>
      </c>
      <c r="L45" s="1">
        <v>0.37</v>
      </c>
      <c r="M45" s="1">
        <v>0.31</v>
      </c>
      <c r="N45" s="1">
        <v>0.26</v>
      </c>
    </row>
    <row r="46" spans="1:14" x14ac:dyDescent="0.3">
      <c r="A46" t="s">
        <v>401</v>
      </c>
      <c r="B46" t="s">
        <v>406</v>
      </c>
      <c r="C46" t="s">
        <v>423</v>
      </c>
      <c r="D46" s="1">
        <v>0.15</v>
      </c>
      <c r="E46" t="s">
        <v>426</v>
      </c>
      <c r="F46" s="1">
        <v>0.25</v>
      </c>
      <c r="G46" t="s">
        <v>30</v>
      </c>
      <c r="H46" s="1">
        <v>0.1</v>
      </c>
      <c r="I46" s="1"/>
      <c r="J46" s="1">
        <v>0.4</v>
      </c>
      <c r="K46" s="1">
        <v>0.4</v>
      </c>
      <c r="L46" s="1">
        <v>0.37</v>
      </c>
      <c r="M46" s="1">
        <v>0.31</v>
      </c>
      <c r="N46" s="1">
        <v>0.26</v>
      </c>
    </row>
    <row r="47" spans="1:14" x14ac:dyDescent="0.3">
      <c r="A47" t="s">
        <v>401</v>
      </c>
      <c r="B47" t="s">
        <v>406</v>
      </c>
      <c r="C47" t="s">
        <v>423</v>
      </c>
      <c r="D47" s="1">
        <v>0.15</v>
      </c>
      <c r="E47" t="s">
        <v>197</v>
      </c>
      <c r="F47" s="1">
        <v>0.25</v>
      </c>
      <c r="G47" t="s">
        <v>24</v>
      </c>
      <c r="H47" s="1">
        <v>0.95</v>
      </c>
      <c r="I47" s="1"/>
      <c r="J47" s="1">
        <v>0.4</v>
      </c>
      <c r="K47" s="1">
        <v>0.4</v>
      </c>
      <c r="L47" s="1">
        <v>0.37</v>
      </c>
      <c r="M47" s="1">
        <v>0.31</v>
      </c>
      <c r="N47" s="1">
        <v>0.26</v>
      </c>
    </row>
    <row r="48" spans="1:14" x14ac:dyDescent="0.3">
      <c r="A48" t="s">
        <v>401</v>
      </c>
      <c r="B48" t="s">
        <v>406</v>
      </c>
      <c r="C48" t="s">
        <v>427</v>
      </c>
      <c r="D48" s="1">
        <v>0.1</v>
      </c>
      <c r="E48" t="s">
        <v>428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</v>
      </c>
      <c r="K48" s="1">
        <v>0.3</v>
      </c>
      <c r="L48" s="1">
        <v>0.27</v>
      </c>
      <c r="M48" s="1">
        <v>0.22</v>
      </c>
      <c r="N48" s="1">
        <v>0.19</v>
      </c>
    </row>
    <row r="49" spans="1:14" x14ac:dyDescent="0.3">
      <c r="A49" t="s">
        <v>401</v>
      </c>
      <c r="B49" t="s">
        <v>406</v>
      </c>
      <c r="C49" t="s">
        <v>427</v>
      </c>
      <c r="D49" s="1">
        <v>0.1</v>
      </c>
      <c r="E49" t="s">
        <v>429</v>
      </c>
      <c r="F49" s="1">
        <v>0.25</v>
      </c>
      <c r="G49" t="s">
        <v>20</v>
      </c>
      <c r="H49" s="1">
        <v>0.6</v>
      </c>
      <c r="I49" s="1"/>
      <c r="J49" s="1">
        <v>0.3</v>
      </c>
      <c r="K49" s="1">
        <v>0.3</v>
      </c>
      <c r="L49" s="1">
        <v>0.27</v>
      </c>
      <c r="M49" s="1">
        <v>0.22</v>
      </c>
      <c r="N49" s="1">
        <v>0.19</v>
      </c>
    </row>
    <row r="50" spans="1:14" x14ac:dyDescent="0.3">
      <c r="A50" t="s">
        <v>401</v>
      </c>
      <c r="B50" t="s">
        <v>406</v>
      </c>
      <c r="C50" t="s">
        <v>427</v>
      </c>
      <c r="D50" s="1">
        <v>0.1</v>
      </c>
      <c r="E50" t="s">
        <v>430</v>
      </c>
      <c r="F50" s="1">
        <v>0.25</v>
      </c>
      <c r="G50" t="s">
        <v>30</v>
      </c>
      <c r="H50" s="1">
        <v>0.1</v>
      </c>
      <c r="I50" s="1"/>
      <c r="J50" s="1">
        <v>0.3</v>
      </c>
      <c r="K50" s="1">
        <v>0.3</v>
      </c>
      <c r="L50" s="1">
        <v>0.27</v>
      </c>
      <c r="M50" s="1">
        <v>0.22</v>
      </c>
      <c r="N50" s="1">
        <v>0.19</v>
      </c>
    </row>
    <row r="51" spans="1:14" x14ac:dyDescent="0.3">
      <c r="A51" t="s">
        <v>401</v>
      </c>
      <c r="B51" t="s">
        <v>406</v>
      </c>
      <c r="C51" t="s">
        <v>427</v>
      </c>
      <c r="D51" s="1">
        <v>0.1</v>
      </c>
      <c r="E51" t="s">
        <v>431</v>
      </c>
      <c r="F51" s="1">
        <v>0.2</v>
      </c>
      <c r="G51" t="s">
        <v>24</v>
      </c>
      <c r="H51" s="1">
        <v>0.95</v>
      </c>
      <c r="I51" s="1"/>
      <c r="J51" s="1">
        <v>0.3</v>
      </c>
      <c r="K51" s="1">
        <v>0.3</v>
      </c>
      <c r="L51" s="1">
        <v>0.27</v>
      </c>
      <c r="M51" s="1">
        <v>0.22</v>
      </c>
      <c r="N51" s="1">
        <v>0.19</v>
      </c>
    </row>
    <row r="52" spans="1:14" x14ac:dyDescent="0.3">
      <c r="D52" s="1"/>
      <c r="F52" s="1"/>
      <c r="H52" s="1"/>
      <c r="I52" s="2">
        <f>SUM(I28:I48)</f>
        <v>0.68237500000000006</v>
      </c>
      <c r="J52" s="2">
        <f>+J32*$D32+J36*$D36+J40*$D40+J44*$D44+J48*$D48+$D28*J28</f>
        <v>0.46899999999999997</v>
      </c>
      <c r="K52" s="2">
        <f t="shared" ref="K52:N52" si="1">+K32*$D32+K36*$D36+K40*$D40+K44*$D44+K48*$D48+$D28*K28</f>
        <v>0.46899999999999997</v>
      </c>
      <c r="L52" s="2">
        <f t="shared" si="1"/>
        <v>0.439</v>
      </c>
      <c r="M52" s="2">
        <f t="shared" si="1"/>
        <v>0.376</v>
      </c>
      <c r="N52" s="2">
        <f t="shared" si="1"/>
        <v>0.32800000000000007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401</v>
      </c>
      <c r="B54" t="s">
        <v>432</v>
      </c>
      <c r="C54" t="s">
        <v>16</v>
      </c>
      <c r="D54" s="1">
        <v>0.2</v>
      </c>
      <c r="E54" t="s">
        <v>433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0.56999999999999995</v>
      </c>
      <c r="K54" s="1">
        <v>0.56999999999999995</v>
      </c>
      <c r="L54" s="1">
        <v>0.53</v>
      </c>
      <c r="M54" s="1">
        <v>0.46</v>
      </c>
      <c r="N54" s="1">
        <v>0.39</v>
      </c>
    </row>
    <row r="55" spans="1:14" x14ac:dyDescent="0.3">
      <c r="A55" t="s">
        <v>401</v>
      </c>
      <c r="B55" t="s">
        <v>432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0.56999999999999995</v>
      </c>
      <c r="K55" s="1">
        <v>0.56999999999999995</v>
      </c>
      <c r="L55" s="1">
        <v>0.53</v>
      </c>
      <c r="M55" s="1">
        <v>0.46</v>
      </c>
      <c r="N55" s="1">
        <v>0.39</v>
      </c>
    </row>
    <row r="56" spans="1:14" x14ac:dyDescent="0.3">
      <c r="A56" t="s">
        <v>401</v>
      </c>
      <c r="B56" t="s">
        <v>432</v>
      </c>
      <c r="C56" t="s">
        <v>16</v>
      </c>
      <c r="D56" s="1">
        <v>0.2</v>
      </c>
      <c r="E56" t="s">
        <v>434</v>
      </c>
      <c r="F56" s="1">
        <v>0.2</v>
      </c>
      <c r="G56" t="s">
        <v>22</v>
      </c>
      <c r="H56" s="1">
        <v>0.85</v>
      </c>
      <c r="I56" s="1"/>
      <c r="J56" s="1">
        <v>0.56999999999999995</v>
      </c>
      <c r="K56" s="1">
        <v>0.56999999999999995</v>
      </c>
      <c r="L56" s="1">
        <v>0.53</v>
      </c>
      <c r="M56" s="1">
        <v>0.46</v>
      </c>
      <c r="N56" s="1">
        <v>0.39</v>
      </c>
    </row>
    <row r="57" spans="1:14" x14ac:dyDescent="0.3">
      <c r="A57" t="s">
        <v>401</v>
      </c>
      <c r="B57" t="s">
        <v>432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0.56999999999999995</v>
      </c>
      <c r="K57" s="1">
        <v>0.56999999999999995</v>
      </c>
      <c r="L57" s="1">
        <v>0.53</v>
      </c>
      <c r="M57" s="1">
        <v>0.46</v>
      </c>
      <c r="N57" s="1">
        <v>0.39</v>
      </c>
    </row>
    <row r="58" spans="1:14" x14ac:dyDescent="0.3">
      <c r="A58" t="s">
        <v>401</v>
      </c>
      <c r="B58" t="s">
        <v>432</v>
      </c>
      <c r="C58" t="s">
        <v>25</v>
      </c>
      <c r="D58" s="1">
        <v>0.2</v>
      </c>
      <c r="E58" t="s">
        <v>412</v>
      </c>
      <c r="F58" s="1">
        <v>0.25</v>
      </c>
      <c r="G58" t="s">
        <v>18</v>
      </c>
      <c r="H58" s="1">
        <v>0.9</v>
      </c>
      <c r="I58" s="1">
        <f>SUMPRODUCT(H58:H61,F58:F61)*D58</f>
        <v>0.12400000000000003</v>
      </c>
      <c r="J58" s="1">
        <v>0.38</v>
      </c>
      <c r="K58" s="1">
        <v>0.38</v>
      </c>
      <c r="L58" s="1">
        <v>0.35</v>
      </c>
      <c r="M58" s="1">
        <v>0.28999999999999998</v>
      </c>
      <c r="N58" s="1">
        <v>0.24</v>
      </c>
    </row>
    <row r="59" spans="1:14" x14ac:dyDescent="0.3">
      <c r="A59" t="s">
        <v>401</v>
      </c>
      <c r="B59" t="s">
        <v>432</v>
      </c>
      <c r="C59" t="s">
        <v>25</v>
      </c>
      <c r="D59" s="1">
        <v>0.2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0.38</v>
      </c>
      <c r="K59" s="1">
        <v>0.38</v>
      </c>
      <c r="L59" s="1">
        <v>0.35</v>
      </c>
      <c r="M59" s="1">
        <v>0.28999999999999998</v>
      </c>
      <c r="N59" s="1">
        <v>0.24</v>
      </c>
    </row>
    <row r="60" spans="1:14" x14ac:dyDescent="0.3">
      <c r="A60" t="s">
        <v>401</v>
      </c>
      <c r="B60" t="s">
        <v>432</v>
      </c>
      <c r="C60" t="s">
        <v>25</v>
      </c>
      <c r="D60" s="1">
        <v>0.2</v>
      </c>
      <c r="E60" t="s">
        <v>255</v>
      </c>
      <c r="F60" s="1">
        <v>0.3</v>
      </c>
      <c r="G60" t="s">
        <v>30</v>
      </c>
      <c r="H60" s="1">
        <v>0.1</v>
      </c>
      <c r="I60" s="1"/>
      <c r="J60" s="1">
        <v>0.38</v>
      </c>
      <c r="K60" s="1">
        <v>0.38</v>
      </c>
      <c r="L60" s="1">
        <v>0.35</v>
      </c>
      <c r="M60" s="1">
        <v>0.28999999999999998</v>
      </c>
      <c r="N60" s="1">
        <v>0.24</v>
      </c>
    </row>
    <row r="61" spans="1:14" x14ac:dyDescent="0.3">
      <c r="A61" t="s">
        <v>401</v>
      </c>
      <c r="B61" t="s">
        <v>432</v>
      </c>
      <c r="C61" t="s">
        <v>25</v>
      </c>
      <c r="D61" s="1">
        <v>0.2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0.38</v>
      </c>
      <c r="K61" s="1">
        <v>0.38</v>
      </c>
      <c r="L61" s="1">
        <v>0.35</v>
      </c>
      <c r="M61" s="1">
        <v>0.28999999999999998</v>
      </c>
      <c r="N61" s="1">
        <v>0.24</v>
      </c>
    </row>
    <row r="62" spans="1:14" x14ac:dyDescent="0.3">
      <c r="A62" t="s">
        <v>401</v>
      </c>
      <c r="B62" t="s">
        <v>432</v>
      </c>
      <c r="C62" t="s">
        <v>415</v>
      </c>
      <c r="D62" s="1">
        <v>0.15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0.1215</v>
      </c>
      <c r="J62" s="1">
        <v>0.53</v>
      </c>
      <c r="K62" s="1">
        <v>0.53</v>
      </c>
      <c r="L62" s="1">
        <v>0.5</v>
      </c>
      <c r="M62" s="1">
        <v>0.43</v>
      </c>
      <c r="N62" s="1">
        <v>0.37</v>
      </c>
    </row>
    <row r="63" spans="1:14" x14ac:dyDescent="0.3">
      <c r="A63" t="s">
        <v>401</v>
      </c>
      <c r="B63" t="s">
        <v>432</v>
      </c>
      <c r="C63" t="s">
        <v>415</v>
      </c>
      <c r="D63" s="1">
        <v>0.15</v>
      </c>
      <c r="E63" t="s">
        <v>416</v>
      </c>
      <c r="F63" s="1">
        <v>0.25</v>
      </c>
      <c r="G63" t="s">
        <v>40</v>
      </c>
      <c r="H63" s="1">
        <v>0.7</v>
      </c>
      <c r="I63" s="1"/>
      <c r="J63" s="1">
        <v>0.53</v>
      </c>
      <c r="K63" s="1">
        <v>0.53</v>
      </c>
      <c r="L63" s="1">
        <v>0.5</v>
      </c>
      <c r="M63" s="1">
        <v>0.43</v>
      </c>
      <c r="N63" s="1">
        <v>0.37</v>
      </c>
    </row>
    <row r="64" spans="1:14" x14ac:dyDescent="0.3">
      <c r="A64" t="s">
        <v>401</v>
      </c>
      <c r="B64" t="s">
        <v>432</v>
      </c>
      <c r="C64" t="s">
        <v>415</v>
      </c>
      <c r="D64" s="1">
        <v>0.15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0.53</v>
      </c>
      <c r="K64" s="1">
        <v>0.53</v>
      </c>
      <c r="L64" s="1">
        <v>0.5</v>
      </c>
      <c r="M64" s="1">
        <v>0.43</v>
      </c>
      <c r="N64" s="1">
        <v>0.37</v>
      </c>
    </row>
    <row r="65" spans="1:14" x14ac:dyDescent="0.3">
      <c r="A65" t="s">
        <v>401</v>
      </c>
      <c r="B65" t="s">
        <v>432</v>
      </c>
      <c r="C65" t="s">
        <v>415</v>
      </c>
      <c r="D65" s="1">
        <v>0.15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0.53</v>
      </c>
      <c r="K65" s="1">
        <v>0.53</v>
      </c>
      <c r="L65" s="1">
        <v>0.5</v>
      </c>
      <c r="M65" s="1">
        <v>0.43</v>
      </c>
      <c r="N65" s="1">
        <v>0.37</v>
      </c>
    </row>
    <row r="66" spans="1:14" x14ac:dyDescent="0.3">
      <c r="A66" t="s">
        <v>401</v>
      </c>
      <c r="B66" t="s">
        <v>432</v>
      </c>
      <c r="C66" t="s">
        <v>43</v>
      </c>
      <c r="D66" s="1">
        <v>0.15</v>
      </c>
      <c r="E66" t="s">
        <v>419</v>
      </c>
      <c r="F66" s="1">
        <v>0.3</v>
      </c>
      <c r="G66" t="s">
        <v>18</v>
      </c>
      <c r="H66" s="1">
        <v>0.9</v>
      </c>
      <c r="I66" s="1">
        <f>SUMPRODUCT(H66:H69,F66:F69)*D66</f>
        <v>9.5250000000000001E-2</v>
      </c>
      <c r="J66" s="1">
        <v>0.39</v>
      </c>
      <c r="K66" s="1">
        <v>0.39</v>
      </c>
      <c r="L66" s="1">
        <v>0.36</v>
      </c>
      <c r="M66" s="1">
        <v>0.3</v>
      </c>
      <c r="N66" s="1">
        <v>0.25</v>
      </c>
    </row>
    <row r="67" spans="1:14" x14ac:dyDescent="0.3">
      <c r="A67" t="s">
        <v>401</v>
      </c>
      <c r="B67" t="s">
        <v>432</v>
      </c>
      <c r="C67" t="s">
        <v>43</v>
      </c>
      <c r="D67" s="1">
        <v>0.15</v>
      </c>
      <c r="E67" t="s">
        <v>435</v>
      </c>
      <c r="F67" s="1">
        <v>0.25</v>
      </c>
      <c r="G67" t="s">
        <v>20</v>
      </c>
      <c r="H67" s="1">
        <v>0.6</v>
      </c>
      <c r="I67" s="1"/>
      <c r="J67" s="1">
        <v>0.39</v>
      </c>
      <c r="K67" s="1">
        <v>0.39</v>
      </c>
      <c r="L67" s="1">
        <v>0.36</v>
      </c>
      <c r="M67" s="1">
        <v>0.3</v>
      </c>
      <c r="N67" s="1">
        <v>0.25</v>
      </c>
    </row>
    <row r="68" spans="1:14" x14ac:dyDescent="0.3">
      <c r="A68" t="s">
        <v>401</v>
      </c>
      <c r="B68" t="s">
        <v>432</v>
      </c>
      <c r="C68" t="s">
        <v>43</v>
      </c>
      <c r="D68" s="1">
        <v>0.15</v>
      </c>
      <c r="E68" t="s">
        <v>436</v>
      </c>
      <c r="F68" s="1">
        <v>0.25</v>
      </c>
      <c r="G68" t="s">
        <v>30</v>
      </c>
      <c r="H68" s="1">
        <v>0.1</v>
      </c>
      <c r="I68" s="1"/>
      <c r="J68" s="1">
        <v>0.39</v>
      </c>
      <c r="K68" s="1">
        <v>0.39</v>
      </c>
      <c r="L68" s="1">
        <v>0.36</v>
      </c>
      <c r="M68" s="1">
        <v>0.3</v>
      </c>
      <c r="N68" s="1">
        <v>0.25</v>
      </c>
    </row>
    <row r="69" spans="1:14" x14ac:dyDescent="0.3">
      <c r="A69" t="s">
        <v>401</v>
      </c>
      <c r="B69" t="s">
        <v>432</v>
      </c>
      <c r="C69" t="s">
        <v>43</v>
      </c>
      <c r="D69" s="1">
        <v>0.15</v>
      </c>
      <c r="E69" t="s">
        <v>437</v>
      </c>
      <c r="F69" s="1">
        <v>0.2</v>
      </c>
      <c r="G69" t="s">
        <v>24</v>
      </c>
      <c r="H69" s="1">
        <v>0.95</v>
      </c>
      <c r="I69" s="1"/>
      <c r="J69" s="1">
        <v>0.39</v>
      </c>
      <c r="K69" s="1">
        <v>0.39</v>
      </c>
      <c r="L69" s="1">
        <v>0.36</v>
      </c>
      <c r="M69" s="1">
        <v>0.3</v>
      </c>
      <c r="N69" s="1">
        <v>0.25</v>
      </c>
    </row>
    <row r="70" spans="1:14" x14ac:dyDescent="0.3">
      <c r="A70" t="s">
        <v>401</v>
      </c>
      <c r="B70" t="s">
        <v>432</v>
      </c>
      <c r="C70" t="s">
        <v>48</v>
      </c>
      <c r="D70" s="1">
        <v>0.15</v>
      </c>
      <c r="E70" t="s">
        <v>287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0.37</v>
      </c>
      <c r="K70" s="1">
        <v>0.37</v>
      </c>
      <c r="L70" s="1">
        <v>0.34</v>
      </c>
      <c r="M70" s="1">
        <v>0.28000000000000003</v>
      </c>
      <c r="N70" s="1">
        <v>0.23</v>
      </c>
    </row>
    <row r="71" spans="1:14" x14ac:dyDescent="0.3">
      <c r="A71" t="s">
        <v>401</v>
      </c>
      <c r="B71" t="s">
        <v>432</v>
      </c>
      <c r="C71" t="s">
        <v>48</v>
      </c>
      <c r="D71" s="1">
        <v>0.15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0.37</v>
      </c>
      <c r="K71" s="1">
        <v>0.37</v>
      </c>
      <c r="L71" s="1">
        <v>0.34</v>
      </c>
      <c r="M71" s="1">
        <v>0.28000000000000003</v>
      </c>
      <c r="N71" s="1">
        <v>0.23</v>
      </c>
    </row>
    <row r="72" spans="1:14" x14ac:dyDescent="0.3">
      <c r="A72" t="s">
        <v>401</v>
      </c>
      <c r="B72" t="s">
        <v>432</v>
      </c>
      <c r="C72" t="s">
        <v>48</v>
      </c>
      <c r="D72" s="1">
        <v>0.15</v>
      </c>
      <c r="E72" t="s">
        <v>426</v>
      </c>
      <c r="F72" s="1">
        <v>0.25</v>
      </c>
      <c r="G72" t="s">
        <v>30</v>
      </c>
      <c r="H72" s="1">
        <v>0.1</v>
      </c>
      <c r="I72" s="1"/>
      <c r="J72" s="1">
        <v>0.37</v>
      </c>
      <c r="K72" s="1">
        <v>0.37</v>
      </c>
      <c r="L72" s="1">
        <v>0.34</v>
      </c>
      <c r="M72" s="1">
        <v>0.28000000000000003</v>
      </c>
      <c r="N72" s="1">
        <v>0.23</v>
      </c>
    </row>
    <row r="73" spans="1:14" x14ac:dyDescent="0.3">
      <c r="A73" t="s">
        <v>401</v>
      </c>
      <c r="B73" t="s">
        <v>432</v>
      </c>
      <c r="C73" t="s">
        <v>48</v>
      </c>
      <c r="D73" s="1">
        <v>0.15</v>
      </c>
      <c r="E73" t="s">
        <v>53</v>
      </c>
      <c r="F73" s="1">
        <v>0.25</v>
      </c>
      <c r="G73" t="s">
        <v>24</v>
      </c>
      <c r="H73" s="1">
        <v>0.95</v>
      </c>
      <c r="I73" s="1"/>
      <c r="J73" s="1">
        <v>0.37</v>
      </c>
      <c r="K73" s="1">
        <v>0.37</v>
      </c>
      <c r="L73" s="1">
        <v>0.34</v>
      </c>
      <c r="M73" s="1">
        <v>0.28000000000000003</v>
      </c>
      <c r="N73" s="1">
        <v>0.23</v>
      </c>
    </row>
    <row r="74" spans="1:14" x14ac:dyDescent="0.3">
      <c r="A74" t="s">
        <v>401</v>
      </c>
      <c r="B74" t="s">
        <v>432</v>
      </c>
      <c r="C74" t="s">
        <v>438</v>
      </c>
      <c r="D74" s="1">
        <v>0.15</v>
      </c>
      <c r="E74" t="s">
        <v>439</v>
      </c>
      <c r="F74" s="1">
        <v>0.3</v>
      </c>
      <c r="G74" t="s">
        <v>56</v>
      </c>
      <c r="H74" s="1">
        <v>0.3</v>
      </c>
      <c r="I74" s="1">
        <f>SUMPRODUCT(H74:H77,F74:F77)*D74</f>
        <v>6.8250000000000005E-2</v>
      </c>
      <c r="J74" s="1">
        <v>0.28000000000000003</v>
      </c>
      <c r="K74" s="1">
        <v>0.28000000000000003</v>
      </c>
      <c r="L74" s="1">
        <v>0.25</v>
      </c>
      <c r="M74" s="1">
        <v>0.21</v>
      </c>
      <c r="N74" s="1">
        <v>0.17</v>
      </c>
    </row>
    <row r="75" spans="1:14" x14ac:dyDescent="0.3">
      <c r="A75" t="s">
        <v>401</v>
      </c>
      <c r="B75" t="s">
        <v>432</v>
      </c>
      <c r="C75" t="s">
        <v>438</v>
      </c>
      <c r="D75" s="1">
        <v>0.15</v>
      </c>
      <c r="E75" t="s">
        <v>440</v>
      </c>
      <c r="F75" s="1">
        <v>0.25</v>
      </c>
      <c r="G75" t="s">
        <v>20</v>
      </c>
      <c r="H75" s="1">
        <v>0.6</v>
      </c>
      <c r="I75" s="1"/>
      <c r="J75" s="1">
        <v>0.28000000000000003</v>
      </c>
      <c r="K75" s="1">
        <v>0.28000000000000003</v>
      </c>
      <c r="L75" s="1">
        <v>0.25</v>
      </c>
      <c r="M75" s="1">
        <v>0.21</v>
      </c>
      <c r="N75" s="1">
        <v>0.17</v>
      </c>
    </row>
    <row r="76" spans="1:14" x14ac:dyDescent="0.3">
      <c r="A76" t="s">
        <v>401</v>
      </c>
      <c r="B76" t="s">
        <v>432</v>
      </c>
      <c r="C76" t="s">
        <v>438</v>
      </c>
      <c r="D76" s="1">
        <v>0.15</v>
      </c>
      <c r="E76" t="s">
        <v>441</v>
      </c>
      <c r="F76" s="1">
        <v>0.25</v>
      </c>
      <c r="G76" t="s">
        <v>30</v>
      </c>
      <c r="H76" s="1">
        <v>0.1</v>
      </c>
      <c r="I76" s="1"/>
      <c r="J76" s="1">
        <v>0.28000000000000003</v>
      </c>
      <c r="K76" s="1">
        <v>0.28000000000000003</v>
      </c>
      <c r="L76" s="1">
        <v>0.25</v>
      </c>
      <c r="M76" s="1">
        <v>0.21</v>
      </c>
      <c r="N76" s="1">
        <v>0.17</v>
      </c>
    </row>
    <row r="77" spans="1:14" x14ac:dyDescent="0.3">
      <c r="A77" t="s">
        <v>401</v>
      </c>
      <c r="B77" t="s">
        <v>432</v>
      </c>
      <c r="C77" t="s">
        <v>438</v>
      </c>
      <c r="D77" s="1">
        <v>0.15</v>
      </c>
      <c r="E77" t="s">
        <v>442</v>
      </c>
      <c r="F77" s="1">
        <v>0.2</v>
      </c>
      <c r="G77" t="s">
        <v>24</v>
      </c>
      <c r="H77" s="1">
        <v>0.95</v>
      </c>
      <c r="I77" s="1"/>
      <c r="J77" s="1">
        <v>0.28000000000000003</v>
      </c>
      <c r="K77" s="1">
        <v>0.28000000000000003</v>
      </c>
      <c r="L77" s="1">
        <v>0.25</v>
      </c>
      <c r="M77" s="1">
        <v>0.21</v>
      </c>
      <c r="N77" s="1">
        <v>0.17</v>
      </c>
    </row>
    <row r="78" spans="1:14" x14ac:dyDescent="0.3">
      <c r="A78" t="s">
        <v>401</v>
      </c>
      <c r="B78" t="s">
        <v>432</v>
      </c>
      <c r="C78" t="s">
        <v>443</v>
      </c>
      <c r="D78" s="1">
        <v>0.15</v>
      </c>
      <c r="E78" t="s">
        <v>444</v>
      </c>
      <c r="F78" s="1">
        <v>0.3</v>
      </c>
      <c r="G78" t="s">
        <v>73</v>
      </c>
      <c r="H78" s="1">
        <v>0.7</v>
      </c>
      <c r="I78" s="1">
        <f>SUMPRODUCT(H78:H81,F78:F81)*D78</f>
        <v>7.8750000000000001E-2</v>
      </c>
      <c r="J78" s="1">
        <v>0.32</v>
      </c>
      <c r="K78" s="1">
        <v>0.32</v>
      </c>
      <c r="L78" s="1">
        <v>0.28999999999999998</v>
      </c>
      <c r="M78" s="1">
        <v>0.24</v>
      </c>
      <c r="N78" s="1">
        <v>0.2</v>
      </c>
    </row>
    <row r="79" spans="1:14" x14ac:dyDescent="0.3">
      <c r="A79" t="s">
        <v>401</v>
      </c>
      <c r="B79" t="s">
        <v>432</v>
      </c>
      <c r="C79" t="s">
        <v>443</v>
      </c>
      <c r="D79" s="1">
        <v>0.15</v>
      </c>
      <c r="E79" t="s">
        <v>445</v>
      </c>
      <c r="F79" s="1">
        <v>0.25</v>
      </c>
      <c r="G79" t="s">
        <v>20</v>
      </c>
      <c r="H79" s="1">
        <v>0.6</v>
      </c>
      <c r="I79" s="1"/>
      <c r="J79" s="1">
        <v>0.32</v>
      </c>
      <c r="K79" s="1">
        <v>0.32</v>
      </c>
      <c r="L79" s="1">
        <v>0.28999999999999998</v>
      </c>
      <c r="M79" s="1">
        <v>0.24</v>
      </c>
      <c r="N79" s="1">
        <v>0.2</v>
      </c>
    </row>
    <row r="80" spans="1:14" x14ac:dyDescent="0.3">
      <c r="A80" t="s">
        <v>401</v>
      </c>
      <c r="B80" t="s">
        <v>432</v>
      </c>
      <c r="C80" t="s">
        <v>443</v>
      </c>
      <c r="D80" s="1">
        <v>0.15</v>
      </c>
      <c r="E80" t="s">
        <v>446</v>
      </c>
      <c r="F80" s="1">
        <v>0.2</v>
      </c>
      <c r="G80" t="s">
        <v>28</v>
      </c>
      <c r="H80" s="1">
        <v>0.7</v>
      </c>
      <c r="I80" s="1"/>
      <c r="J80" s="1">
        <v>0.32</v>
      </c>
      <c r="K80" s="1">
        <v>0.32</v>
      </c>
      <c r="L80" s="1">
        <v>0.28999999999999998</v>
      </c>
      <c r="M80" s="1">
        <v>0.24</v>
      </c>
      <c r="N80" s="1">
        <v>0.2</v>
      </c>
    </row>
    <row r="81" spans="1:14" x14ac:dyDescent="0.3">
      <c r="A81" t="s">
        <v>401</v>
      </c>
      <c r="B81" t="s">
        <v>432</v>
      </c>
      <c r="C81" t="s">
        <v>443</v>
      </c>
      <c r="D81" s="1">
        <v>0.15</v>
      </c>
      <c r="E81" t="s">
        <v>447</v>
      </c>
      <c r="F81" s="1">
        <v>0.25</v>
      </c>
      <c r="G81" t="s">
        <v>30</v>
      </c>
      <c r="H81" s="1">
        <v>0.1</v>
      </c>
      <c r="I81" s="1"/>
      <c r="J81" s="1">
        <v>0.32</v>
      </c>
      <c r="K81" s="1">
        <v>0.32</v>
      </c>
      <c r="L81" s="1">
        <v>0.28999999999999998</v>
      </c>
      <c r="M81" s="1">
        <v>0.24</v>
      </c>
      <c r="N81" s="1">
        <v>0.2</v>
      </c>
    </row>
    <row r="82" spans="1:14" x14ac:dyDescent="0.3">
      <c r="I82" s="2">
        <f>SUM(I54:I78)</f>
        <v>0.74137500000000012</v>
      </c>
      <c r="J82" s="2">
        <f>+J62*$D62+J66*$D66+J70*$D70+J74*$D74+J78*$D78+$D58*J58+$D54*J54</f>
        <v>0.47350000000000003</v>
      </c>
      <c r="K82" s="2">
        <f t="shared" ref="K82:N82" si="2">+K62*$D62+K66*$D66+K70*$D70+K74*$D74+K78*$D78+$D58*K58+$D54*K54</f>
        <v>0.47350000000000003</v>
      </c>
      <c r="L82" s="2">
        <f t="shared" si="2"/>
        <v>0.43700000000000006</v>
      </c>
      <c r="M82" s="2">
        <f t="shared" si="2"/>
        <v>0.36900000000000005</v>
      </c>
      <c r="N82" s="2">
        <f t="shared" si="2"/>
        <v>0.309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30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448</v>
      </c>
      <c r="B2" t="s">
        <v>449</v>
      </c>
      <c r="C2" t="s">
        <v>16</v>
      </c>
      <c r="D2" s="1">
        <v>0.25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0.20687500000000003</v>
      </c>
      <c r="J2" s="1">
        <v>0.66</v>
      </c>
      <c r="K2" s="1">
        <v>0.66</v>
      </c>
      <c r="L2" s="1">
        <v>0.63</v>
      </c>
      <c r="M2" s="1">
        <v>0.56999999999999995</v>
      </c>
      <c r="N2" s="1">
        <v>0.52</v>
      </c>
    </row>
    <row r="3" spans="1:14" x14ac:dyDescent="0.3">
      <c r="A3" t="s">
        <v>448</v>
      </c>
      <c r="B3" t="s">
        <v>449</v>
      </c>
      <c r="C3" t="s">
        <v>16</v>
      </c>
      <c r="D3" s="1">
        <v>0.25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0.66</v>
      </c>
      <c r="K3" s="1">
        <v>0.66</v>
      </c>
      <c r="L3" s="1">
        <v>0.63</v>
      </c>
      <c r="M3" s="1">
        <v>0.56999999999999995</v>
      </c>
      <c r="N3" s="1">
        <v>0.52</v>
      </c>
    </row>
    <row r="4" spans="1:14" x14ac:dyDescent="0.3">
      <c r="A4" t="s">
        <v>448</v>
      </c>
      <c r="B4" t="s">
        <v>449</v>
      </c>
      <c r="C4" t="s">
        <v>16</v>
      </c>
      <c r="D4" s="1">
        <v>0.25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0.66</v>
      </c>
      <c r="K4" s="1">
        <v>0.66</v>
      </c>
      <c r="L4" s="1">
        <v>0.63</v>
      </c>
      <c r="M4" s="1">
        <v>0.56999999999999995</v>
      </c>
      <c r="N4" s="1">
        <v>0.52</v>
      </c>
    </row>
    <row r="5" spans="1:14" x14ac:dyDescent="0.3">
      <c r="A5" t="s">
        <v>448</v>
      </c>
      <c r="B5" t="s">
        <v>449</v>
      </c>
      <c r="C5" t="s">
        <v>16</v>
      </c>
      <c r="D5" s="1">
        <v>0.25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0.66</v>
      </c>
      <c r="K5" s="1">
        <v>0.66</v>
      </c>
      <c r="L5" s="1">
        <v>0.63</v>
      </c>
      <c r="M5" s="1">
        <v>0.56999999999999995</v>
      </c>
      <c r="N5" s="1">
        <v>0.52</v>
      </c>
    </row>
    <row r="6" spans="1:14" x14ac:dyDescent="0.3">
      <c r="A6" t="s">
        <v>448</v>
      </c>
      <c r="B6" t="s">
        <v>449</v>
      </c>
      <c r="C6" t="s">
        <v>450</v>
      </c>
      <c r="D6" s="1">
        <v>0.15</v>
      </c>
      <c r="E6" t="s">
        <v>451</v>
      </c>
      <c r="F6" s="1">
        <v>0.25</v>
      </c>
      <c r="G6" t="s">
        <v>24</v>
      </c>
      <c r="H6" s="1">
        <v>0.95</v>
      </c>
      <c r="I6" s="1">
        <f>SUMPRODUCT(H6:H9,F6:F9)*D6</f>
        <v>9.1124999999999984E-2</v>
      </c>
      <c r="J6" s="1">
        <v>0.43</v>
      </c>
      <c r="K6" s="1">
        <v>0.43</v>
      </c>
      <c r="L6" s="1">
        <v>0.4</v>
      </c>
      <c r="M6" s="1">
        <v>0.35</v>
      </c>
      <c r="N6" s="1">
        <v>0.31</v>
      </c>
    </row>
    <row r="7" spans="1:14" x14ac:dyDescent="0.3">
      <c r="A7" t="s">
        <v>448</v>
      </c>
      <c r="B7" t="s">
        <v>449</v>
      </c>
      <c r="C7" t="s">
        <v>450</v>
      </c>
      <c r="D7" s="1">
        <v>0.15</v>
      </c>
      <c r="E7" t="s">
        <v>452</v>
      </c>
      <c r="F7" s="1">
        <v>0.25</v>
      </c>
      <c r="G7" t="s">
        <v>20</v>
      </c>
      <c r="H7" s="1">
        <v>0.6</v>
      </c>
      <c r="I7" s="1"/>
      <c r="J7" s="1">
        <v>0.43</v>
      </c>
      <c r="K7" s="1">
        <v>0.43</v>
      </c>
      <c r="L7" s="1">
        <v>0.4</v>
      </c>
      <c r="M7" s="1">
        <v>0.35</v>
      </c>
      <c r="N7" s="1">
        <v>0.31</v>
      </c>
    </row>
    <row r="8" spans="1:14" x14ac:dyDescent="0.3">
      <c r="A8" t="s">
        <v>448</v>
      </c>
      <c r="B8" t="s">
        <v>449</v>
      </c>
      <c r="C8" t="s">
        <v>450</v>
      </c>
      <c r="D8" s="1">
        <v>0.15</v>
      </c>
      <c r="E8" t="s">
        <v>453</v>
      </c>
      <c r="F8" s="1">
        <v>0.3</v>
      </c>
      <c r="G8" s="1" t="s">
        <v>30</v>
      </c>
      <c r="H8" s="1">
        <v>0.1</v>
      </c>
      <c r="I8" s="1"/>
      <c r="J8" s="1">
        <v>0.43</v>
      </c>
      <c r="K8" s="1">
        <v>0.43</v>
      </c>
      <c r="L8" s="1">
        <v>0.4</v>
      </c>
      <c r="M8" s="1">
        <v>0.35</v>
      </c>
      <c r="N8" s="1">
        <v>0.31</v>
      </c>
    </row>
    <row r="9" spans="1:14" x14ac:dyDescent="0.3">
      <c r="A9" t="s">
        <v>448</v>
      </c>
      <c r="B9" t="s">
        <v>449</v>
      </c>
      <c r="C9" t="s">
        <v>450</v>
      </c>
      <c r="D9" s="1">
        <v>0.15</v>
      </c>
      <c r="E9" t="s">
        <v>454</v>
      </c>
      <c r="F9" s="1">
        <v>0.2</v>
      </c>
      <c r="G9" t="s">
        <v>24</v>
      </c>
      <c r="H9" s="1">
        <v>0.95</v>
      </c>
      <c r="I9" s="1"/>
      <c r="J9" s="1">
        <v>0.43</v>
      </c>
      <c r="K9" s="1">
        <v>0.43</v>
      </c>
      <c r="L9" s="1">
        <v>0.4</v>
      </c>
      <c r="M9" s="1">
        <v>0.35</v>
      </c>
      <c r="N9" s="1">
        <v>0.31</v>
      </c>
    </row>
    <row r="10" spans="1:14" x14ac:dyDescent="0.3">
      <c r="A10" t="s">
        <v>448</v>
      </c>
      <c r="B10" t="s">
        <v>449</v>
      </c>
      <c r="C10" t="s">
        <v>25</v>
      </c>
      <c r="D10" s="1">
        <v>0.1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6.2000000000000013E-2</v>
      </c>
      <c r="J10" s="1">
        <v>0.45</v>
      </c>
      <c r="K10" s="1">
        <v>0.45</v>
      </c>
      <c r="L10" s="1">
        <v>0.42</v>
      </c>
      <c r="M10" s="1">
        <v>0.37</v>
      </c>
      <c r="N10" s="1">
        <v>0.32</v>
      </c>
    </row>
    <row r="11" spans="1:14" x14ac:dyDescent="0.3">
      <c r="A11" t="s">
        <v>448</v>
      </c>
      <c r="B11" t="s">
        <v>449</v>
      </c>
      <c r="C11" t="s">
        <v>25</v>
      </c>
      <c r="D11" s="1">
        <v>0.1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0.45</v>
      </c>
      <c r="K11" s="1">
        <v>0.45</v>
      </c>
      <c r="L11" s="1">
        <v>0.42</v>
      </c>
      <c r="M11" s="1">
        <v>0.37</v>
      </c>
      <c r="N11" s="1">
        <v>0.32</v>
      </c>
    </row>
    <row r="12" spans="1:14" x14ac:dyDescent="0.3">
      <c r="A12" t="s">
        <v>448</v>
      </c>
      <c r="B12" t="s">
        <v>449</v>
      </c>
      <c r="C12" t="s">
        <v>25</v>
      </c>
      <c r="D12" s="1">
        <v>0.1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0.45</v>
      </c>
      <c r="K12" s="1">
        <v>0.45</v>
      </c>
      <c r="L12" s="1">
        <v>0.42</v>
      </c>
      <c r="M12" s="1">
        <v>0.37</v>
      </c>
      <c r="N12" s="1">
        <v>0.32</v>
      </c>
    </row>
    <row r="13" spans="1:14" x14ac:dyDescent="0.3">
      <c r="A13" t="s">
        <v>448</v>
      </c>
      <c r="B13" t="s">
        <v>449</v>
      </c>
      <c r="C13" t="s">
        <v>25</v>
      </c>
      <c r="D13" s="1">
        <v>0.1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0.45</v>
      </c>
      <c r="K13" s="1">
        <v>0.45</v>
      </c>
      <c r="L13" s="1">
        <v>0.42</v>
      </c>
      <c r="M13" s="1">
        <v>0.37</v>
      </c>
      <c r="N13" s="1">
        <v>0.32</v>
      </c>
    </row>
    <row r="14" spans="1:14" x14ac:dyDescent="0.3">
      <c r="A14" t="s">
        <v>448</v>
      </c>
      <c r="B14" t="s">
        <v>449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0.65</v>
      </c>
      <c r="K14" s="1">
        <v>0.65</v>
      </c>
      <c r="L14" s="1">
        <v>0.62</v>
      </c>
      <c r="M14" s="1">
        <v>0.56999999999999995</v>
      </c>
      <c r="N14" s="1">
        <v>0.52</v>
      </c>
    </row>
    <row r="15" spans="1:14" x14ac:dyDescent="0.3">
      <c r="A15" t="s">
        <v>448</v>
      </c>
      <c r="B15" t="s">
        <v>449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0.65</v>
      </c>
      <c r="K15" s="1">
        <v>0.65</v>
      </c>
      <c r="L15" s="1">
        <v>0.62</v>
      </c>
      <c r="M15" s="1">
        <v>0.56999999999999995</v>
      </c>
      <c r="N15" s="1">
        <v>0.52</v>
      </c>
    </row>
    <row r="16" spans="1:14" x14ac:dyDescent="0.3">
      <c r="A16" t="s">
        <v>448</v>
      </c>
      <c r="B16" t="s">
        <v>449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0.65</v>
      </c>
      <c r="K16" s="1">
        <v>0.65</v>
      </c>
      <c r="L16" s="1">
        <v>0.62</v>
      </c>
      <c r="M16" s="1">
        <v>0.56999999999999995</v>
      </c>
      <c r="N16" s="1">
        <v>0.52</v>
      </c>
    </row>
    <row r="17" spans="1:14" x14ac:dyDescent="0.3">
      <c r="A17" t="s">
        <v>448</v>
      </c>
      <c r="B17" t="s">
        <v>449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0.65</v>
      </c>
      <c r="K17" s="1">
        <v>0.65</v>
      </c>
      <c r="L17" s="1">
        <v>0.62</v>
      </c>
      <c r="M17" s="1">
        <v>0.56999999999999995</v>
      </c>
      <c r="N17" s="1">
        <v>0.52</v>
      </c>
    </row>
    <row r="18" spans="1:14" x14ac:dyDescent="0.3">
      <c r="A18" t="s">
        <v>448</v>
      </c>
      <c r="B18" t="s">
        <v>449</v>
      </c>
      <c r="C18" t="s">
        <v>48</v>
      </c>
      <c r="D18" s="1">
        <v>0.2</v>
      </c>
      <c r="E18" t="s">
        <v>123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0.43</v>
      </c>
      <c r="K18" s="1">
        <v>0.43</v>
      </c>
      <c r="L18" s="1">
        <v>0.4</v>
      </c>
      <c r="M18" s="1">
        <v>0.35</v>
      </c>
      <c r="N18" s="1">
        <v>0.3</v>
      </c>
    </row>
    <row r="19" spans="1:14" x14ac:dyDescent="0.3">
      <c r="A19" t="s">
        <v>448</v>
      </c>
      <c r="B19" t="s">
        <v>449</v>
      </c>
      <c r="C19" t="s">
        <v>48</v>
      </c>
      <c r="D19" s="1">
        <v>0.2</v>
      </c>
      <c r="E19" t="s">
        <v>455</v>
      </c>
      <c r="F19" s="1">
        <v>0.25</v>
      </c>
      <c r="G19" t="s">
        <v>20</v>
      </c>
      <c r="H19" s="1">
        <v>0.6</v>
      </c>
      <c r="I19" s="1"/>
      <c r="J19" s="1">
        <v>0.43</v>
      </c>
      <c r="K19" s="1">
        <v>0.43</v>
      </c>
      <c r="L19" s="1">
        <v>0.4</v>
      </c>
      <c r="M19" s="1">
        <v>0.35</v>
      </c>
      <c r="N19" s="1">
        <v>0.3</v>
      </c>
    </row>
    <row r="20" spans="1:14" x14ac:dyDescent="0.3">
      <c r="A20" t="s">
        <v>448</v>
      </c>
      <c r="B20" t="s">
        <v>449</v>
      </c>
      <c r="C20" t="s">
        <v>48</v>
      </c>
      <c r="D20" s="1">
        <v>0.2</v>
      </c>
      <c r="E20" t="s">
        <v>456</v>
      </c>
      <c r="F20" s="1">
        <v>0.25</v>
      </c>
      <c r="G20" t="s">
        <v>30</v>
      </c>
      <c r="H20" s="1">
        <v>0.1</v>
      </c>
      <c r="I20" s="1"/>
      <c r="J20" s="1">
        <v>0.43</v>
      </c>
      <c r="K20" s="1">
        <v>0.43</v>
      </c>
      <c r="L20" s="1">
        <v>0.4</v>
      </c>
      <c r="M20" s="1">
        <v>0.35</v>
      </c>
      <c r="N20" s="1">
        <v>0.3</v>
      </c>
    </row>
    <row r="21" spans="1:14" x14ac:dyDescent="0.3">
      <c r="A21" t="s">
        <v>448</v>
      </c>
      <c r="B21" t="s">
        <v>449</v>
      </c>
      <c r="C21" t="s">
        <v>48</v>
      </c>
      <c r="D21" s="1">
        <v>0.2</v>
      </c>
      <c r="E21" t="s">
        <v>53</v>
      </c>
      <c r="F21" s="1">
        <v>0.25</v>
      </c>
      <c r="G21" t="s">
        <v>24</v>
      </c>
      <c r="H21" s="1">
        <v>0.95</v>
      </c>
      <c r="I21" s="1"/>
      <c r="J21" s="1">
        <v>0.43</v>
      </c>
      <c r="K21" s="1">
        <v>0.43</v>
      </c>
      <c r="L21" s="1">
        <v>0.4</v>
      </c>
      <c r="M21" s="1">
        <v>0.35</v>
      </c>
      <c r="N21" s="1">
        <v>0.3</v>
      </c>
    </row>
    <row r="22" spans="1:14" x14ac:dyDescent="0.3">
      <c r="A22" t="s">
        <v>448</v>
      </c>
      <c r="B22" t="s">
        <v>449</v>
      </c>
      <c r="C22" t="s">
        <v>271</v>
      </c>
      <c r="D22" s="1">
        <v>0.15</v>
      </c>
      <c r="E22" t="s">
        <v>457</v>
      </c>
      <c r="F22" s="1">
        <v>0.3</v>
      </c>
      <c r="G22" t="s">
        <v>56</v>
      </c>
      <c r="H22" s="1">
        <v>0.3</v>
      </c>
      <c r="I22" s="1">
        <f>SUMPRODUCT(H22:H25,F22:F25)*D22</f>
        <v>6.8250000000000005E-2</v>
      </c>
      <c r="J22" s="1">
        <v>0.34</v>
      </c>
      <c r="K22" s="1">
        <v>0.34</v>
      </c>
      <c r="L22" s="1">
        <v>0.31</v>
      </c>
      <c r="M22" s="1">
        <v>0.27</v>
      </c>
      <c r="N22" s="1">
        <v>0.23</v>
      </c>
    </row>
    <row r="23" spans="1:14" x14ac:dyDescent="0.3">
      <c r="A23" t="s">
        <v>448</v>
      </c>
      <c r="B23" t="s">
        <v>449</v>
      </c>
      <c r="C23" t="s">
        <v>271</v>
      </c>
      <c r="D23" s="1">
        <v>0.15</v>
      </c>
      <c r="E23" t="s">
        <v>458</v>
      </c>
      <c r="F23" s="1">
        <v>0.25</v>
      </c>
      <c r="G23" t="s">
        <v>20</v>
      </c>
      <c r="H23" s="1">
        <v>0.6</v>
      </c>
      <c r="I23" s="1"/>
      <c r="J23" s="1">
        <v>0.34</v>
      </c>
      <c r="K23" s="1">
        <v>0.34</v>
      </c>
      <c r="L23" s="1">
        <v>0.31</v>
      </c>
      <c r="M23" s="1">
        <v>0.27</v>
      </c>
      <c r="N23" s="1">
        <v>0.23</v>
      </c>
    </row>
    <row r="24" spans="1:14" x14ac:dyDescent="0.3">
      <c r="A24" t="s">
        <v>448</v>
      </c>
      <c r="B24" t="s">
        <v>449</v>
      </c>
      <c r="C24" t="s">
        <v>271</v>
      </c>
      <c r="D24" s="1">
        <v>0.15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0.34</v>
      </c>
      <c r="K24" s="1">
        <v>0.34</v>
      </c>
      <c r="L24" s="1">
        <v>0.31</v>
      </c>
      <c r="M24" s="1">
        <v>0.27</v>
      </c>
      <c r="N24" s="1">
        <v>0.23</v>
      </c>
    </row>
    <row r="25" spans="1:14" x14ac:dyDescent="0.3">
      <c r="A25" t="s">
        <v>448</v>
      </c>
      <c r="B25" t="s">
        <v>449</v>
      </c>
      <c r="C25" t="s">
        <v>271</v>
      </c>
      <c r="D25" s="1">
        <v>0.15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0.34</v>
      </c>
      <c r="K25" s="1">
        <v>0.34</v>
      </c>
      <c r="L25" s="1">
        <v>0.31</v>
      </c>
      <c r="M25" s="1">
        <v>0.27</v>
      </c>
      <c r="N25" s="1">
        <v>0.23</v>
      </c>
    </row>
    <row r="26" spans="1:14" x14ac:dyDescent="0.3">
      <c r="D26" s="1"/>
      <c r="F26" s="1"/>
      <c r="H26" s="1"/>
      <c r="I26" s="2">
        <f>SUM(I2:I22)</f>
        <v>0.66725000000000001</v>
      </c>
      <c r="J26" s="2">
        <f>+J6*$D6+J10*$D10+J14*$D14+J18*$D18+J22*$D22+$D2*J2</f>
        <v>0.50900000000000001</v>
      </c>
      <c r="K26" s="2">
        <f t="shared" ref="K26:N26" si="0">+K6*$D6+K10*$D10+K14*$D14+K18*$D18+K22*$D22+$D2*K2</f>
        <v>0.50900000000000001</v>
      </c>
      <c r="L26" s="2">
        <f t="shared" si="0"/>
        <v>0.47899999999999998</v>
      </c>
      <c r="M26" s="2">
        <f t="shared" si="0"/>
        <v>0.42799999999999994</v>
      </c>
      <c r="N26" s="2">
        <f t="shared" si="0"/>
        <v>0.38100000000000001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448</v>
      </c>
      <c r="B28" t="s">
        <v>459</v>
      </c>
      <c r="C28" t="s">
        <v>16</v>
      </c>
      <c r="D28" s="1">
        <v>0.25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0.20687500000000003</v>
      </c>
      <c r="J28" s="1">
        <v>0.65</v>
      </c>
      <c r="K28" s="1">
        <v>0.65</v>
      </c>
      <c r="L28" s="1">
        <v>0.62</v>
      </c>
      <c r="M28" s="1">
        <v>0.56000000000000005</v>
      </c>
      <c r="N28" s="1">
        <v>0.5</v>
      </c>
    </row>
    <row r="29" spans="1:14" x14ac:dyDescent="0.3">
      <c r="A29" t="s">
        <v>448</v>
      </c>
      <c r="B29" t="s">
        <v>459</v>
      </c>
      <c r="C29" t="s">
        <v>16</v>
      </c>
      <c r="D29" s="1">
        <v>0.25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0.65</v>
      </c>
      <c r="K29" s="1">
        <v>0.65</v>
      </c>
      <c r="L29" s="1">
        <v>0.62</v>
      </c>
      <c r="M29" s="1">
        <v>0.56000000000000005</v>
      </c>
      <c r="N29" s="1">
        <v>0.5</v>
      </c>
    </row>
    <row r="30" spans="1:14" x14ac:dyDescent="0.3">
      <c r="A30" t="s">
        <v>448</v>
      </c>
      <c r="B30" t="s">
        <v>459</v>
      </c>
      <c r="C30" t="s">
        <v>16</v>
      </c>
      <c r="D30" s="1">
        <v>0.25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0.65</v>
      </c>
      <c r="K30" s="1">
        <v>0.65</v>
      </c>
      <c r="L30" s="1">
        <v>0.62</v>
      </c>
      <c r="M30" s="1">
        <v>0.56000000000000005</v>
      </c>
      <c r="N30" s="1">
        <v>0.5</v>
      </c>
    </row>
    <row r="31" spans="1:14" x14ac:dyDescent="0.3">
      <c r="A31" t="s">
        <v>448</v>
      </c>
      <c r="B31" t="s">
        <v>459</v>
      </c>
      <c r="C31" t="s">
        <v>16</v>
      </c>
      <c r="D31" s="1">
        <v>0.25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0.65</v>
      </c>
      <c r="K31" s="1">
        <v>0.65</v>
      </c>
      <c r="L31" s="1">
        <v>0.62</v>
      </c>
      <c r="M31" s="1">
        <v>0.56000000000000005</v>
      </c>
      <c r="N31" s="1">
        <v>0.5</v>
      </c>
    </row>
    <row r="32" spans="1:14" x14ac:dyDescent="0.3">
      <c r="A32" t="s">
        <v>448</v>
      </c>
      <c r="B32" t="s">
        <v>459</v>
      </c>
      <c r="C32" t="s">
        <v>450</v>
      </c>
      <c r="D32" s="1">
        <v>0.15</v>
      </c>
      <c r="E32" t="s">
        <v>451</v>
      </c>
      <c r="F32" s="1">
        <v>0.25</v>
      </c>
      <c r="G32" t="s">
        <v>24</v>
      </c>
      <c r="H32" s="1">
        <v>0.95</v>
      </c>
      <c r="I32" s="1">
        <f>SUMPRODUCT(H32:H35,F32:F35)*D32</f>
        <v>9.1124999999999984E-2</v>
      </c>
      <c r="J32" s="1">
        <v>0.42</v>
      </c>
      <c r="K32" s="1">
        <v>0.42</v>
      </c>
      <c r="L32" s="1">
        <v>0.39</v>
      </c>
      <c r="M32" s="1">
        <v>0.34</v>
      </c>
      <c r="N32" s="1">
        <v>0.28999999999999998</v>
      </c>
    </row>
    <row r="33" spans="1:14" x14ac:dyDescent="0.3">
      <c r="A33" t="s">
        <v>448</v>
      </c>
      <c r="B33" t="s">
        <v>459</v>
      </c>
      <c r="C33" t="s">
        <v>450</v>
      </c>
      <c r="D33" s="1">
        <v>0.15</v>
      </c>
      <c r="E33" t="s">
        <v>452</v>
      </c>
      <c r="F33" s="1">
        <v>0.25</v>
      </c>
      <c r="G33" t="s">
        <v>20</v>
      </c>
      <c r="H33" s="1">
        <v>0.6</v>
      </c>
      <c r="I33" s="1"/>
      <c r="J33" s="1">
        <v>0.42</v>
      </c>
      <c r="K33" s="1">
        <v>0.42</v>
      </c>
      <c r="L33" s="1">
        <v>0.39</v>
      </c>
      <c r="M33" s="1">
        <v>0.34</v>
      </c>
      <c r="N33" s="1">
        <v>0.28999999999999998</v>
      </c>
    </row>
    <row r="34" spans="1:14" x14ac:dyDescent="0.3">
      <c r="A34" t="s">
        <v>448</v>
      </c>
      <c r="B34" t="s">
        <v>459</v>
      </c>
      <c r="C34" t="s">
        <v>450</v>
      </c>
      <c r="D34" s="1">
        <v>0.15</v>
      </c>
      <c r="E34" t="s">
        <v>453</v>
      </c>
      <c r="F34" s="1">
        <v>0.3</v>
      </c>
      <c r="G34" t="s">
        <v>30</v>
      </c>
      <c r="H34" s="1">
        <v>0.1</v>
      </c>
      <c r="I34" s="1"/>
      <c r="J34" s="1">
        <v>0.42</v>
      </c>
      <c r="K34" s="1">
        <v>0.42</v>
      </c>
      <c r="L34" s="1">
        <v>0.39</v>
      </c>
      <c r="M34" s="1">
        <v>0.34</v>
      </c>
      <c r="N34" s="1">
        <v>0.28999999999999998</v>
      </c>
    </row>
    <row r="35" spans="1:14" x14ac:dyDescent="0.3">
      <c r="A35" t="s">
        <v>448</v>
      </c>
      <c r="B35" t="s">
        <v>459</v>
      </c>
      <c r="C35" t="s">
        <v>450</v>
      </c>
      <c r="D35" s="1">
        <v>0.15</v>
      </c>
      <c r="E35" t="s">
        <v>454</v>
      </c>
      <c r="F35" s="1">
        <v>0.2</v>
      </c>
      <c r="G35" t="s">
        <v>24</v>
      </c>
      <c r="H35" s="1">
        <v>0.95</v>
      </c>
      <c r="I35" s="1"/>
      <c r="J35" s="1">
        <v>0.42</v>
      </c>
      <c r="K35" s="1">
        <v>0.42</v>
      </c>
      <c r="L35" s="1">
        <v>0.39</v>
      </c>
      <c r="M35" s="1">
        <v>0.34</v>
      </c>
      <c r="N35" s="1">
        <v>0.28999999999999998</v>
      </c>
    </row>
    <row r="36" spans="1:14" x14ac:dyDescent="0.3">
      <c r="A36" t="s">
        <v>448</v>
      </c>
      <c r="B36" t="s">
        <v>459</v>
      </c>
      <c r="C36" t="s">
        <v>25</v>
      </c>
      <c r="D36" s="1">
        <v>0.1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6.2000000000000013E-2</v>
      </c>
      <c r="J36" s="1">
        <v>0.43</v>
      </c>
      <c r="K36" s="1">
        <v>0.43</v>
      </c>
      <c r="L36" s="1">
        <v>0.4</v>
      </c>
      <c r="M36" s="1">
        <v>0.35</v>
      </c>
      <c r="N36" s="1">
        <v>0.28999999999999998</v>
      </c>
    </row>
    <row r="37" spans="1:14" x14ac:dyDescent="0.3">
      <c r="A37" t="s">
        <v>448</v>
      </c>
      <c r="B37" t="s">
        <v>459</v>
      </c>
      <c r="C37" t="s">
        <v>25</v>
      </c>
      <c r="D37" s="1">
        <v>0.1</v>
      </c>
      <c r="E37" t="s">
        <v>460</v>
      </c>
      <c r="F37" s="1">
        <v>0.25</v>
      </c>
      <c r="G37" t="s">
        <v>28</v>
      </c>
      <c r="H37" s="1">
        <v>0.7</v>
      </c>
      <c r="I37" s="1"/>
      <c r="J37" s="1">
        <v>0.43</v>
      </c>
      <c r="K37" s="1">
        <v>0.43</v>
      </c>
      <c r="L37" s="1">
        <v>0.4</v>
      </c>
      <c r="M37" s="1">
        <v>0.35</v>
      </c>
      <c r="N37" s="1">
        <v>0.28999999999999998</v>
      </c>
    </row>
    <row r="38" spans="1:14" x14ac:dyDescent="0.3">
      <c r="A38" t="s">
        <v>448</v>
      </c>
      <c r="B38" t="s">
        <v>459</v>
      </c>
      <c r="C38" t="s">
        <v>25</v>
      </c>
      <c r="D38" s="1">
        <v>0.1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0.43</v>
      </c>
      <c r="K38" s="1">
        <v>0.43</v>
      </c>
      <c r="L38" s="1">
        <v>0.4</v>
      </c>
      <c r="M38" s="1">
        <v>0.35</v>
      </c>
      <c r="N38" s="1">
        <v>0.28999999999999998</v>
      </c>
    </row>
    <row r="39" spans="1:14" x14ac:dyDescent="0.3">
      <c r="A39" t="s">
        <v>448</v>
      </c>
      <c r="B39" t="s">
        <v>459</v>
      </c>
      <c r="C39" t="s">
        <v>25</v>
      </c>
      <c r="D39" s="1">
        <v>0.1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0.43</v>
      </c>
      <c r="K39" s="1">
        <v>0.43</v>
      </c>
      <c r="L39" s="1">
        <v>0.4</v>
      </c>
      <c r="M39" s="1">
        <v>0.35</v>
      </c>
      <c r="N39" s="1">
        <v>0.28999999999999998</v>
      </c>
    </row>
    <row r="40" spans="1:14" x14ac:dyDescent="0.3">
      <c r="A40" t="s">
        <v>448</v>
      </c>
      <c r="B40" t="s">
        <v>459</v>
      </c>
      <c r="C40" t="s">
        <v>37</v>
      </c>
      <c r="D40" s="1">
        <v>0.15</v>
      </c>
      <c r="E40" t="s">
        <v>38</v>
      </c>
      <c r="F40" s="1">
        <v>0.3</v>
      </c>
      <c r="G40" t="s">
        <v>18</v>
      </c>
      <c r="H40" s="1">
        <v>0.9</v>
      </c>
      <c r="I40" s="1">
        <f>SUMPRODUCT(H40:H43,F40:F43)*D40</f>
        <v>0.1215</v>
      </c>
      <c r="J40" s="1">
        <v>0.63</v>
      </c>
      <c r="K40" s="1">
        <v>0.63</v>
      </c>
      <c r="L40" s="1">
        <v>0.6</v>
      </c>
      <c r="M40" s="1">
        <v>0.54</v>
      </c>
      <c r="N40" s="1">
        <v>0.48</v>
      </c>
    </row>
    <row r="41" spans="1:14" x14ac:dyDescent="0.3">
      <c r="A41" t="s">
        <v>448</v>
      </c>
      <c r="B41" t="s">
        <v>459</v>
      </c>
      <c r="C41" t="s">
        <v>37</v>
      </c>
      <c r="D41" s="1">
        <v>0.15</v>
      </c>
      <c r="E41" t="s">
        <v>39</v>
      </c>
      <c r="F41" s="1">
        <v>0.25</v>
      </c>
      <c r="G41" t="s">
        <v>40</v>
      </c>
      <c r="H41" s="1">
        <v>0.7</v>
      </c>
      <c r="I41" s="1"/>
      <c r="J41" s="1">
        <v>0.63</v>
      </c>
      <c r="K41" s="1">
        <v>0.63</v>
      </c>
      <c r="L41" s="1">
        <v>0.6</v>
      </c>
      <c r="M41" s="1">
        <v>0.54</v>
      </c>
      <c r="N41" s="1">
        <v>0.48</v>
      </c>
    </row>
    <row r="42" spans="1:14" x14ac:dyDescent="0.3">
      <c r="A42" t="s">
        <v>448</v>
      </c>
      <c r="B42" t="s">
        <v>459</v>
      </c>
      <c r="C42" t="s">
        <v>37</v>
      </c>
      <c r="D42" s="1">
        <v>0.15</v>
      </c>
      <c r="E42" t="s">
        <v>41</v>
      </c>
      <c r="F42" s="1">
        <v>0.25</v>
      </c>
      <c r="G42" t="s">
        <v>28</v>
      </c>
      <c r="H42" s="1">
        <v>0.7</v>
      </c>
      <c r="I42" s="1"/>
      <c r="J42" s="1">
        <v>0.63</v>
      </c>
      <c r="K42" s="1">
        <v>0.63</v>
      </c>
      <c r="L42" s="1">
        <v>0.6</v>
      </c>
      <c r="M42" s="1">
        <v>0.54</v>
      </c>
      <c r="N42" s="1">
        <v>0.48</v>
      </c>
    </row>
    <row r="43" spans="1:14" x14ac:dyDescent="0.3">
      <c r="A43" t="s">
        <v>448</v>
      </c>
      <c r="B43" t="s">
        <v>459</v>
      </c>
      <c r="C43" t="s">
        <v>37</v>
      </c>
      <c r="D43" s="1">
        <v>0.15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0.63</v>
      </c>
      <c r="K43" s="1">
        <v>0.63</v>
      </c>
      <c r="L43" s="1">
        <v>0.6</v>
      </c>
      <c r="M43" s="1">
        <v>0.54</v>
      </c>
      <c r="N43" s="1">
        <v>0.48</v>
      </c>
    </row>
    <row r="44" spans="1:14" x14ac:dyDescent="0.3">
      <c r="A44" t="s">
        <v>448</v>
      </c>
      <c r="B44" t="s">
        <v>459</v>
      </c>
      <c r="C44" t="s">
        <v>48</v>
      </c>
      <c r="D44" s="1">
        <v>0.2</v>
      </c>
      <c r="E44" t="s">
        <v>123</v>
      </c>
      <c r="F44" s="1">
        <v>0.25</v>
      </c>
      <c r="G44" t="s">
        <v>40</v>
      </c>
      <c r="H44" s="1">
        <v>0.7</v>
      </c>
      <c r="I44" s="1">
        <f>SUMPRODUCT(H44:H47,F44:F47)*D44</f>
        <v>0.11749999999999999</v>
      </c>
      <c r="J44" s="1">
        <v>0.42</v>
      </c>
      <c r="K44" s="1">
        <v>0.42</v>
      </c>
      <c r="L44" s="1">
        <v>0.39</v>
      </c>
      <c r="M44" s="1">
        <v>0.34</v>
      </c>
      <c r="N44" s="1">
        <v>0.28000000000000003</v>
      </c>
    </row>
    <row r="45" spans="1:14" x14ac:dyDescent="0.3">
      <c r="A45" t="s">
        <v>448</v>
      </c>
      <c r="B45" t="s">
        <v>459</v>
      </c>
      <c r="C45" t="s">
        <v>48</v>
      </c>
      <c r="D45" s="1">
        <v>0.2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0.42</v>
      </c>
      <c r="K45" s="1">
        <v>0.42</v>
      </c>
      <c r="L45" s="1">
        <v>0.39</v>
      </c>
      <c r="M45" s="1">
        <v>0.34</v>
      </c>
      <c r="N45" s="1">
        <v>0.28000000000000003</v>
      </c>
    </row>
    <row r="46" spans="1:14" x14ac:dyDescent="0.3">
      <c r="A46" t="s">
        <v>448</v>
      </c>
      <c r="B46" t="s">
        <v>459</v>
      </c>
      <c r="C46" t="s">
        <v>48</v>
      </c>
      <c r="D46" s="1">
        <v>0.2</v>
      </c>
      <c r="E46" t="s">
        <v>456</v>
      </c>
      <c r="F46" s="1">
        <v>0.25</v>
      </c>
      <c r="G46" t="s">
        <v>30</v>
      </c>
      <c r="H46" s="1">
        <v>0.1</v>
      </c>
      <c r="I46" s="1"/>
      <c r="J46" s="1">
        <v>0.42</v>
      </c>
      <c r="K46" s="1">
        <v>0.42</v>
      </c>
      <c r="L46" s="1">
        <v>0.39</v>
      </c>
      <c r="M46" s="1">
        <v>0.34</v>
      </c>
      <c r="N46" s="1">
        <v>0.28000000000000003</v>
      </c>
    </row>
    <row r="47" spans="1:14" x14ac:dyDescent="0.3">
      <c r="A47" t="s">
        <v>448</v>
      </c>
      <c r="B47" t="s">
        <v>459</v>
      </c>
      <c r="C47" t="s">
        <v>48</v>
      </c>
      <c r="D47" s="1">
        <v>0.2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0.42</v>
      </c>
      <c r="K47" s="1">
        <v>0.42</v>
      </c>
      <c r="L47" s="1">
        <v>0.39</v>
      </c>
      <c r="M47" s="1">
        <v>0.34</v>
      </c>
      <c r="N47" s="1">
        <v>0.28000000000000003</v>
      </c>
    </row>
    <row r="48" spans="1:14" x14ac:dyDescent="0.3">
      <c r="A48" t="s">
        <v>448</v>
      </c>
      <c r="B48" t="s">
        <v>459</v>
      </c>
      <c r="C48" t="s">
        <v>271</v>
      </c>
      <c r="D48" s="1">
        <v>0.15</v>
      </c>
      <c r="E48" t="s">
        <v>457</v>
      </c>
      <c r="F48" s="1">
        <v>0.3</v>
      </c>
      <c r="G48" t="s">
        <v>56</v>
      </c>
      <c r="H48" s="1">
        <v>0.3</v>
      </c>
      <c r="I48" s="1">
        <f>SUMPRODUCT(H48:H51,F48:F51)*D48</f>
        <v>6.8250000000000005E-2</v>
      </c>
      <c r="J48" s="1">
        <v>0.33</v>
      </c>
      <c r="K48" s="1">
        <v>0.33</v>
      </c>
      <c r="L48" s="1">
        <v>0.3</v>
      </c>
      <c r="M48" s="1">
        <v>0.26</v>
      </c>
      <c r="N48" s="1">
        <v>0.21</v>
      </c>
    </row>
    <row r="49" spans="1:14" x14ac:dyDescent="0.3">
      <c r="A49" t="s">
        <v>448</v>
      </c>
      <c r="B49" t="s">
        <v>459</v>
      </c>
      <c r="C49" t="s">
        <v>271</v>
      </c>
      <c r="D49" s="1">
        <v>0.15</v>
      </c>
      <c r="E49" t="s">
        <v>458</v>
      </c>
      <c r="F49" s="1">
        <v>0.25</v>
      </c>
      <c r="G49" t="s">
        <v>20</v>
      </c>
      <c r="H49" s="1">
        <v>0.6</v>
      </c>
      <c r="I49" s="1"/>
      <c r="J49" s="1">
        <v>0.33</v>
      </c>
      <c r="K49" s="1">
        <v>0.33</v>
      </c>
      <c r="L49" s="1">
        <v>0.3</v>
      </c>
      <c r="M49" s="1">
        <v>0.26</v>
      </c>
      <c r="N49" s="1">
        <v>0.21</v>
      </c>
    </row>
    <row r="50" spans="1:14" x14ac:dyDescent="0.3">
      <c r="A50" t="s">
        <v>448</v>
      </c>
      <c r="B50" t="s">
        <v>459</v>
      </c>
      <c r="C50" t="s">
        <v>271</v>
      </c>
      <c r="D50" s="1">
        <v>0.15</v>
      </c>
      <c r="E50" t="s">
        <v>461</v>
      </c>
      <c r="F50" s="1">
        <v>0.25</v>
      </c>
      <c r="G50" t="s">
        <v>30</v>
      </c>
      <c r="H50" s="1">
        <v>0.1</v>
      </c>
      <c r="I50" s="1"/>
      <c r="J50" s="1">
        <v>0.33</v>
      </c>
      <c r="K50" s="1">
        <v>0.33</v>
      </c>
      <c r="L50" s="1">
        <v>0.3</v>
      </c>
      <c r="M50" s="1">
        <v>0.26</v>
      </c>
      <c r="N50" s="1">
        <v>0.21</v>
      </c>
    </row>
    <row r="51" spans="1:14" x14ac:dyDescent="0.3">
      <c r="A51" t="s">
        <v>448</v>
      </c>
      <c r="B51" t="s">
        <v>459</v>
      </c>
      <c r="C51" t="s">
        <v>271</v>
      </c>
      <c r="D51" s="1">
        <v>0.15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0.33</v>
      </c>
      <c r="K51" s="1">
        <v>0.33</v>
      </c>
      <c r="L51" s="1">
        <v>0.3</v>
      </c>
      <c r="M51" s="1">
        <v>0.26</v>
      </c>
      <c r="N51" s="1">
        <v>0.21</v>
      </c>
    </row>
    <row r="52" spans="1:14" x14ac:dyDescent="0.3">
      <c r="D52" s="1"/>
      <c r="F52" s="1"/>
      <c r="H52" s="1"/>
      <c r="I52" s="2">
        <f>SUM(I28:I48)</f>
        <v>0.66725000000000001</v>
      </c>
      <c r="J52" s="2">
        <f>+J32*$D32+J36*$D36+J40*$D40+J44*$D44+J48*$D48+$D28*J28</f>
        <v>0.49650000000000005</v>
      </c>
      <c r="K52" s="2">
        <f t="shared" ref="K52:N52" si="1">+K32*$D32+K36*$D36+K40*$D40+K44*$D44+K48*$D48+$D28*K28</f>
        <v>0.49650000000000005</v>
      </c>
      <c r="L52" s="2">
        <f t="shared" si="1"/>
        <v>0.46650000000000003</v>
      </c>
      <c r="M52" s="2">
        <f t="shared" si="1"/>
        <v>0.41399999999999998</v>
      </c>
      <c r="N52" s="2">
        <f t="shared" si="1"/>
        <v>0.35699999999999998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448</v>
      </c>
      <c r="B54" t="s">
        <v>462</v>
      </c>
      <c r="C54" t="s">
        <v>16</v>
      </c>
      <c r="D54" s="1">
        <v>0.25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0.20687500000000003</v>
      </c>
      <c r="J54" s="1">
        <v>0.67</v>
      </c>
      <c r="K54" s="1">
        <v>0.67</v>
      </c>
      <c r="L54" s="1">
        <v>0.64</v>
      </c>
      <c r="M54" s="1">
        <v>0.59</v>
      </c>
      <c r="N54" s="1">
        <v>0.55000000000000004</v>
      </c>
    </row>
    <row r="55" spans="1:14" x14ac:dyDescent="0.3">
      <c r="A55" t="s">
        <v>448</v>
      </c>
      <c r="B55" t="s">
        <v>462</v>
      </c>
      <c r="C55" t="s">
        <v>16</v>
      </c>
      <c r="D55" s="1">
        <v>0.25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0.67</v>
      </c>
      <c r="K55" s="1">
        <v>0.67</v>
      </c>
      <c r="L55" s="1">
        <v>0.64</v>
      </c>
      <c r="M55" s="1">
        <v>0.59</v>
      </c>
      <c r="N55" s="1">
        <v>0.55000000000000004</v>
      </c>
    </row>
    <row r="56" spans="1:14" x14ac:dyDescent="0.3">
      <c r="A56" t="s">
        <v>448</v>
      </c>
      <c r="B56" t="s">
        <v>462</v>
      </c>
      <c r="C56" t="s">
        <v>16</v>
      </c>
      <c r="D56" s="1">
        <v>0.25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0.67</v>
      </c>
      <c r="K56" s="1">
        <v>0.67</v>
      </c>
      <c r="L56" s="1">
        <v>0.64</v>
      </c>
      <c r="M56" s="1">
        <v>0.59</v>
      </c>
      <c r="N56" s="1">
        <v>0.55000000000000004</v>
      </c>
    </row>
    <row r="57" spans="1:14" x14ac:dyDescent="0.3">
      <c r="A57" t="s">
        <v>448</v>
      </c>
      <c r="B57" t="s">
        <v>462</v>
      </c>
      <c r="C57" t="s">
        <v>16</v>
      </c>
      <c r="D57" s="1">
        <v>0.25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0.67</v>
      </c>
      <c r="K57" s="1">
        <v>0.67</v>
      </c>
      <c r="L57" s="1">
        <v>0.64</v>
      </c>
      <c r="M57" s="1">
        <v>0.59</v>
      </c>
      <c r="N57" s="1">
        <v>0.55000000000000004</v>
      </c>
    </row>
    <row r="58" spans="1:14" x14ac:dyDescent="0.3">
      <c r="A58" t="s">
        <v>448</v>
      </c>
      <c r="B58" t="s">
        <v>462</v>
      </c>
      <c r="C58" t="s">
        <v>450</v>
      </c>
      <c r="D58" s="1">
        <v>0.15</v>
      </c>
      <c r="E58" t="s">
        <v>451</v>
      </c>
      <c r="F58" s="1">
        <v>0.25</v>
      </c>
      <c r="G58" t="s">
        <v>24</v>
      </c>
      <c r="H58" s="1">
        <v>0.95</v>
      </c>
      <c r="I58" s="1">
        <f>SUMPRODUCT(H58:H61,F58:F61)*D58</f>
        <v>9.1124999999999984E-2</v>
      </c>
      <c r="J58" s="1">
        <v>0.44</v>
      </c>
      <c r="K58" s="1">
        <v>0.44</v>
      </c>
      <c r="L58" s="1">
        <v>0.41</v>
      </c>
      <c r="M58" s="1">
        <v>0.36</v>
      </c>
      <c r="N58" s="1">
        <v>0.32</v>
      </c>
    </row>
    <row r="59" spans="1:14" x14ac:dyDescent="0.3">
      <c r="A59" t="s">
        <v>448</v>
      </c>
      <c r="B59" t="s">
        <v>462</v>
      </c>
      <c r="C59" t="s">
        <v>450</v>
      </c>
      <c r="D59" s="1">
        <v>0.15</v>
      </c>
      <c r="E59" t="s">
        <v>452</v>
      </c>
      <c r="F59" s="1">
        <v>0.25</v>
      </c>
      <c r="G59" t="s">
        <v>20</v>
      </c>
      <c r="H59" s="1">
        <v>0.6</v>
      </c>
      <c r="I59" s="1"/>
      <c r="J59" s="1">
        <v>0.44</v>
      </c>
      <c r="K59" s="1">
        <v>0.44</v>
      </c>
      <c r="L59" s="1">
        <v>0.41</v>
      </c>
      <c r="M59" s="1">
        <v>0.36</v>
      </c>
      <c r="N59" s="1">
        <v>0.32</v>
      </c>
    </row>
    <row r="60" spans="1:14" x14ac:dyDescent="0.3">
      <c r="A60" t="s">
        <v>448</v>
      </c>
      <c r="B60" t="s">
        <v>462</v>
      </c>
      <c r="C60" t="s">
        <v>450</v>
      </c>
      <c r="D60" s="1">
        <v>0.15</v>
      </c>
      <c r="E60" t="s">
        <v>453</v>
      </c>
      <c r="F60" s="1">
        <v>0.3</v>
      </c>
      <c r="G60" t="s">
        <v>30</v>
      </c>
      <c r="H60" s="1">
        <v>0.1</v>
      </c>
      <c r="I60" s="1"/>
      <c r="J60" s="1">
        <v>0.44</v>
      </c>
      <c r="K60" s="1">
        <v>0.44</v>
      </c>
      <c r="L60" s="1">
        <v>0.41</v>
      </c>
      <c r="M60" s="1">
        <v>0.36</v>
      </c>
      <c r="N60" s="1">
        <v>0.32</v>
      </c>
    </row>
    <row r="61" spans="1:14" x14ac:dyDescent="0.3">
      <c r="A61" t="s">
        <v>448</v>
      </c>
      <c r="B61" t="s">
        <v>462</v>
      </c>
      <c r="C61" t="s">
        <v>450</v>
      </c>
      <c r="D61" s="1">
        <v>0.15</v>
      </c>
      <c r="E61" t="s">
        <v>454</v>
      </c>
      <c r="F61" s="1">
        <v>0.2</v>
      </c>
      <c r="G61" t="s">
        <v>24</v>
      </c>
      <c r="H61" s="1">
        <v>0.95</v>
      </c>
      <c r="I61" s="1"/>
      <c r="J61" s="1">
        <v>0.44</v>
      </c>
      <c r="K61" s="1">
        <v>0.44</v>
      </c>
      <c r="L61" s="1">
        <v>0.41</v>
      </c>
      <c r="M61" s="1">
        <v>0.36</v>
      </c>
      <c r="N61" s="1">
        <v>0.32</v>
      </c>
    </row>
    <row r="62" spans="1:14" x14ac:dyDescent="0.3">
      <c r="A62" t="s">
        <v>448</v>
      </c>
      <c r="B62" t="s">
        <v>462</v>
      </c>
      <c r="C62" t="s">
        <v>25</v>
      </c>
      <c r="D62" s="1">
        <v>0.1</v>
      </c>
      <c r="E62" t="s">
        <v>26</v>
      </c>
      <c r="F62" s="1">
        <v>0.25</v>
      </c>
      <c r="G62" t="s">
        <v>18</v>
      </c>
      <c r="H62" s="1">
        <v>0.9</v>
      </c>
      <c r="I62" s="1">
        <f>SUMPRODUCT(H62:H65,F62:F65)*D62</f>
        <v>6.2000000000000013E-2</v>
      </c>
      <c r="J62" s="1">
        <v>0.46</v>
      </c>
      <c r="K62" s="1">
        <v>0.46</v>
      </c>
      <c r="L62" s="1">
        <v>0.43</v>
      </c>
      <c r="M62" s="1">
        <v>0.38</v>
      </c>
      <c r="N62" s="1">
        <v>0.34</v>
      </c>
    </row>
    <row r="63" spans="1:14" x14ac:dyDescent="0.3">
      <c r="A63" t="s">
        <v>448</v>
      </c>
      <c r="B63" t="s">
        <v>462</v>
      </c>
      <c r="C63" t="s">
        <v>25</v>
      </c>
      <c r="D63" s="1">
        <v>0.1</v>
      </c>
      <c r="E63" t="s">
        <v>27</v>
      </c>
      <c r="F63" s="1">
        <v>0.25</v>
      </c>
      <c r="G63" t="s">
        <v>28</v>
      </c>
      <c r="H63" s="1">
        <v>0.7</v>
      </c>
      <c r="I63" s="1"/>
      <c r="J63" s="1">
        <v>0.46</v>
      </c>
      <c r="K63" s="1">
        <v>0.46</v>
      </c>
      <c r="L63" s="1">
        <v>0.43</v>
      </c>
      <c r="M63" s="1">
        <v>0.38</v>
      </c>
      <c r="N63" s="1">
        <v>0.34</v>
      </c>
    </row>
    <row r="64" spans="1:14" x14ac:dyDescent="0.3">
      <c r="A64" t="s">
        <v>448</v>
      </c>
      <c r="B64" t="s">
        <v>462</v>
      </c>
      <c r="C64" t="s">
        <v>25</v>
      </c>
      <c r="D64" s="1">
        <v>0.1</v>
      </c>
      <c r="E64" t="s">
        <v>29</v>
      </c>
      <c r="F64" s="1">
        <v>0.3</v>
      </c>
      <c r="G64" t="s">
        <v>30</v>
      </c>
      <c r="H64" s="1">
        <v>0.1</v>
      </c>
      <c r="I64" s="1"/>
      <c r="J64" s="1">
        <v>0.46</v>
      </c>
      <c r="K64" s="1">
        <v>0.46</v>
      </c>
      <c r="L64" s="1">
        <v>0.43</v>
      </c>
      <c r="M64" s="1">
        <v>0.38</v>
      </c>
      <c r="N64" s="1">
        <v>0.34</v>
      </c>
    </row>
    <row r="65" spans="1:14" x14ac:dyDescent="0.3">
      <c r="A65" t="s">
        <v>448</v>
      </c>
      <c r="B65" t="s">
        <v>462</v>
      </c>
      <c r="C65" t="s">
        <v>25</v>
      </c>
      <c r="D65" s="1">
        <v>0.1</v>
      </c>
      <c r="E65" t="s">
        <v>31</v>
      </c>
      <c r="F65" s="1">
        <v>0.2</v>
      </c>
      <c r="G65" t="s">
        <v>24</v>
      </c>
      <c r="H65" s="1">
        <v>0.95</v>
      </c>
      <c r="I65" s="1"/>
      <c r="J65" s="1">
        <v>0.46</v>
      </c>
      <c r="K65" s="1">
        <v>0.46</v>
      </c>
      <c r="L65" s="1">
        <v>0.43</v>
      </c>
      <c r="M65" s="1">
        <v>0.38</v>
      </c>
      <c r="N65" s="1">
        <v>0.34</v>
      </c>
    </row>
    <row r="66" spans="1:14" x14ac:dyDescent="0.3">
      <c r="A66" t="s">
        <v>448</v>
      </c>
      <c r="B66" t="s">
        <v>462</v>
      </c>
      <c r="C66" t="s">
        <v>37</v>
      </c>
      <c r="D66" s="1">
        <v>0.2</v>
      </c>
      <c r="E66" t="s">
        <v>38</v>
      </c>
      <c r="F66" s="1">
        <v>0.3</v>
      </c>
      <c r="G66" t="s">
        <v>18</v>
      </c>
      <c r="H66" s="1">
        <v>0.9</v>
      </c>
      <c r="I66" s="1">
        <f>SUMPRODUCT(H66:H69,F66:F69)*D66</f>
        <v>0.16200000000000003</v>
      </c>
      <c r="J66" s="1">
        <v>0.68</v>
      </c>
      <c r="K66" s="1">
        <v>0.68</v>
      </c>
      <c r="L66" s="1">
        <v>0.65</v>
      </c>
      <c r="M66" s="1">
        <v>0.6</v>
      </c>
      <c r="N66" s="1">
        <v>0.56999999999999995</v>
      </c>
    </row>
    <row r="67" spans="1:14" x14ac:dyDescent="0.3">
      <c r="A67" t="s">
        <v>448</v>
      </c>
      <c r="B67" t="s">
        <v>462</v>
      </c>
      <c r="C67" t="s">
        <v>37</v>
      </c>
      <c r="D67" s="1">
        <v>0.2</v>
      </c>
      <c r="E67" t="s">
        <v>463</v>
      </c>
      <c r="F67" s="1">
        <v>0.25</v>
      </c>
      <c r="G67" t="s">
        <v>40</v>
      </c>
      <c r="H67" s="1">
        <v>0.7</v>
      </c>
      <c r="I67" s="1"/>
      <c r="J67" s="1">
        <v>0.68</v>
      </c>
      <c r="K67" s="1">
        <v>0.68</v>
      </c>
      <c r="L67" s="1">
        <v>0.65</v>
      </c>
      <c r="M67" s="1">
        <v>0.6</v>
      </c>
      <c r="N67" s="1">
        <v>0.56999999999999995</v>
      </c>
    </row>
    <row r="68" spans="1:14" x14ac:dyDescent="0.3">
      <c r="A68" t="s">
        <v>448</v>
      </c>
      <c r="B68" t="s">
        <v>462</v>
      </c>
      <c r="C68" t="s">
        <v>37</v>
      </c>
      <c r="D68" s="1">
        <v>0.2</v>
      </c>
      <c r="E68" t="s">
        <v>41</v>
      </c>
      <c r="F68" s="1">
        <v>0.25</v>
      </c>
      <c r="G68" t="s">
        <v>28</v>
      </c>
      <c r="H68" s="1">
        <v>0.7</v>
      </c>
      <c r="I68" s="1"/>
      <c r="J68" s="1">
        <v>0.68</v>
      </c>
      <c r="K68" s="1">
        <v>0.68</v>
      </c>
      <c r="L68" s="1">
        <v>0.65</v>
      </c>
      <c r="M68" s="1">
        <v>0.6</v>
      </c>
      <c r="N68" s="1">
        <v>0.56999999999999995</v>
      </c>
    </row>
    <row r="69" spans="1:14" x14ac:dyDescent="0.3">
      <c r="A69" t="s">
        <v>448</v>
      </c>
      <c r="B69" t="s">
        <v>462</v>
      </c>
      <c r="C69" t="s">
        <v>37</v>
      </c>
      <c r="D69" s="1">
        <v>0.2</v>
      </c>
      <c r="E69" t="s">
        <v>42</v>
      </c>
      <c r="F69" s="1">
        <v>0.2</v>
      </c>
      <c r="G69" t="s">
        <v>24</v>
      </c>
      <c r="H69" s="1">
        <v>0.95</v>
      </c>
      <c r="I69" s="1"/>
      <c r="J69" s="1">
        <v>0.68</v>
      </c>
      <c r="K69" s="1">
        <v>0.68</v>
      </c>
      <c r="L69" s="1">
        <v>0.65</v>
      </c>
      <c r="M69" s="1">
        <v>0.6</v>
      </c>
      <c r="N69" s="1">
        <v>0.56999999999999995</v>
      </c>
    </row>
    <row r="70" spans="1:14" x14ac:dyDescent="0.3">
      <c r="A70" t="s">
        <v>448</v>
      </c>
      <c r="B70" t="s">
        <v>462</v>
      </c>
      <c r="C70" t="s">
        <v>48</v>
      </c>
      <c r="D70" s="1">
        <v>0.15</v>
      </c>
      <c r="E70" t="s">
        <v>123</v>
      </c>
      <c r="F70" s="1">
        <v>0.25</v>
      </c>
      <c r="G70" t="s">
        <v>40</v>
      </c>
      <c r="H70" s="1">
        <v>0.7</v>
      </c>
      <c r="I70" s="1">
        <f>SUMPRODUCT(H70:H73,F70:F73)*D70</f>
        <v>8.8124999999999981E-2</v>
      </c>
      <c r="J70" s="1">
        <v>0.44</v>
      </c>
      <c r="K70" s="1">
        <v>0.44</v>
      </c>
      <c r="L70" s="1">
        <v>0.41</v>
      </c>
      <c r="M70" s="1">
        <v>0.36</v>
      </c>
      <c r="N70" s="1">
        <v>0.32</v>
      </c>
    </row>
    <row r="71" spans="1:14" x14ac:dyDescent="0.3">
      <c r="A71" t="s">
        <v>448</v>
      </c>
      <c r="B71" t="s">
        <v>462</v>
      </c>
      <c r="C71" t="s">
        <v>48</v>
      </c>
      <c r="D71" s="1">
        <v>0.15</v>
      </c>
      <c r="E71" t="s">
        <v>50</v>
      </c>
      <c r="F71" s="1">
        <v>0.25</v>
      </c>
      <c r="G71" t="s">
        <v>20</v>
      </c>
      <c r="H71" s="1">
        <v>0.6</v>
      </c>
      <c r="I71" s="1"/>
      <c r="J71" s="1">
        <v>0.44</v>
      </c>
      <c r="K71" s="1">
        <v>0.44</v>
      </c>
      <c r="L71" s="1">
        <v>0.41</v>
      </c>
      <c r="M71" s="1">
        <v>0.36</v>
      </c>
      <c r="N71" s="1">
        <v>0.32</v>
      </c>
    </row>
    <row r="72" spans="1:14" x14ac:dyDescent="0.3">
      <c r="A72" t="s">
        <v>448</v>
      </c>
      <c r="B72" t="s">
        <v>462</v>
      </c>
      <c r="C72" t="s">
        <v>48</v>
      </c>
      <c r="D72" s="1">
        <v>0.15</v>
      </c>
      <c r="E72" t="s">
        <v>456</v>
      </c>
      <c r="F72" s="1">
        <v>0.25</v>
      </c>
      <c r="G72" t="s">
        <v>30</v>
      </c>
      <c r="H72" s="1">
        <v>0.1</v>
      </c>
      <c r="I72" s="1"/>
      <c r="J72" s="1">
        <v>0.44</v>
      </c>
      <c r="K72" s="1">
        <v>0.44</v>
      </c>
      <c r="L72" s="1">
        <v>0.41</v>
      </c>
      <c r="M72" s="1">
        <v>0.36</v>
      </c>
      <c r="N72" s="1">
        <v>0.32</v>
      </c>
    </row>
    <row r="73" spans="1:14" x14ac:dyDescent="0.3">
      <c r="A73" t="s">
        <v>448</v>
      </c>
      <c r="B73" t="s">
        <v>462</v>
      </c>
      <c r="C73" t="s">
        <v>48</v>
      </c>
      <c r="D73" s="1">
        <v>0.15</v>
      </c>
      <c r="E73" t="s">
        <v>53</v>
      </c>
      <c r="F73" s="1">
        <v>0.25</v>
      </c>
      <c r="G73" t="s">
        <v>24</v>
      </c>
      <c r="H73" s="1">
        <v>0.95</v>
      </c>
      <c r="I73" s="1"/>
      <c r="J73" s="1">
        <v>0.44</v>
      </c>
      <c r="K73" s="1">
        <v>0.44</v>
      </c>
      <c r="L73" s="1">
        <v>0.41</v>
      </c>
      <c r="M73" s="1">
        <v>0.36</v>
      </c>
      <c r="N73" s="1">
        <v>0.32</v>
      </c>
    </row>
    <row r="74" spans="1:14" x14ac:dyDescent="0.3">
      <c r="A74" t="s">
        <v>448</v>
      </c>
      <c r="B74" t="s">
        <v>462</v>
      </c>
      <c r="C74" t="s">
        <v>271</v>
      </c>
      <c r="D74" s="1">
        <v>0.15</v>
      </c>
      <c r="E74" t="s">
        <v>464</v>
      </c>
      <c r="F74" s="1">
        <v>0.3</v>
      </c>
      <c r="G74" t="s">
        <v>56</v>
      </c>
      <c r="H74" s="1">
        <v>0.3</v>
      </c>
      <c r="I74" s="1">
        <f>SUMPRODUCT(H74:H77,F74:F77)*D74</f>
        <v>6.8250000000000005E-2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0.25</v>
      </c>
    </row>
    <row r="75" spans="1:14" x14ac:dyDescent="0.3">
      <c r="A75" t="s">
        <v>448</v>
      </c>
      <c r="B75" t="s">
        <v>462</v>
      </c>
      <c r="C75" t="s">
        <v>271</v>
      </c>
      <c r="D75" s="1">
        <v>0.15</v>
      </c>
      <c r="E75" t="s">
        <v>465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0.25</v>
      </c>
    </row>
    <row r="76" spans="1:14" x14ac:dyDescent="0.3">
      <c r="A76" t="s">
        <v>448</v>
      </c>
      <c r="B76" t="s">
        <v>462</v>
      </c>
      <c r="C76" t="s">
        <v>271</v>
      </c>
      <c r="D76" s="1">
        <v>0.15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0.25</v>
      </c>
    </row>
    <row r="77" spans="1:14" x14ac:dyDescent="0.3">
      <c r="A77" t="s">
        <v>448</v>
      </c>
      <c r="B77" t="s">
        <v>462</v>
      </c>
      <c r="C77" t="s">
        <v>271</v>
      </c>
      <c r="D77" s="1">
        <v>0.15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0.25</v>
      </c>
    </row>
    <row r="78" spans="1:14" x14ac:dyDescent="0.3">
      <c r="D78" s="1"/>
      <c r="F78" s="1"/>
      <c r="H78" s="1"/>
      <c r="I78" s="2">
        <f>SUM(I54:I74)</f>
        <v>0.67837500000000006</v>
      </c>
      <c r="J78" s="2">
        <f>+J58*$D58+J62*$D62+J66*$D66+J70*$D70+J74*$D74+$D54*J54</f>
        <v>0.53400000000000003</v>
      </c>
      <c r="K78" s="2">
        <f t="shared" ref="K78:N78" si="2">+K58*$D58+K62*$D62+K66*$D66+K70*$D70+K74*$D74+$D54*K54</f>
        <v>0.53400000000000003</v>
      </c>
      <c r="L78" s="2">
        <f t="shared" si="2"/>
        <v>0.504</v>
      </c>
      <c r="M78" s="2">
        <f t="shared" si="2"/>
        <v>0.45550000000000002</v>
      </c>
      <c r="N78" s="2">
        <f t="shared" si="2"/>
        <v>0.41899999999999998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448</v>
      </c>
      <c r="B80" t="s">
        <v>466</v>
      </c>
      <c r="C80" t="s">
        <v>16</v>
      </c>
      <c r="D80" s="1">
        <v>0.25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0.20687500000000003</v>
      </c>
      <c r="J80" s="1">
        <v>0.62</v>
      </c>
      <c r="K80" s="1">
        <v>0.62</v>
      </c>
      <c r="L80" s="1">
        <v>0.57999999999999996</v>
      </c>
      <c r="M80" s="1">
        <v>0.51</v>
      </c>
      <c r="N80" s="1">
        <v>0.42</v>
      </c>
    </row>
    <row r="81" spans="1:14" x14ac:dyDescent="0.3">
      <c r="A81" t="s">
        <v>448</v>
      </c>
      <c r="B81" t="s">
        <v>466</v>
      </c>
      <c r="C81" t="s">
        <v>16</v>
      </c>
      <c r="D81" s="1">
        <v>0.25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0.62</v>
      </c>
      <c r="K81" s="1">
        <v>0.62</v>
      </c>
      <c r="L81" s="1">
        <v>0.57999999999999996</v>
      </c>
      <c r="M81" s="1">
        <v>0.51</v>
      </c>
      <c r="N81" s="1">
        <v>0.42</v>
      </c>
    </row>
    <row r="82" spans="1:14" x14ac:dyDescent="0.3">
      <c r="A82" t="s">
        <v>448</v>
      </c>
      <c r="B82" t="s">
        <v>466</v>
      </c>
      <c r="C82" t="s">
        <v>16</v>
      </c>
      <c r="D82" s="1">
        <v>0.25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0.62</v>
      </c>
      <c r="K82" s="1">
        <v>0.62</v>
      </c>
      <c r="L82" s="1">
        <v>0.57999999999999996</v>
      </c>
      <c r="M82" s="1">
        <v>0.51</v>
      </c>
      <c r="N82" s="1">
        <v>0.42</v>
      </c>
    </row>
    <row r="83" spans="1:14" x14ac:dyDescent="0.3">
      <c r="A83" t="s">
        <v>448</v>
      </c>
      <c r="B83" t="s">
        <v>466</v>
      </c>
      <c r="C83" t="s">
        <v>16</v>
      </c>
      <c r="D83" s="1">
        <v>0.25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0.62</v>
      </c>
      <c r="K83" s="1">
        <v>0.62</v>
      </c>
      <c r="L83" s="1">
        <v>0.57999999999999996</v>
      </c>
      <c r="M83" s="1">
        <v>0.51</v>
      </c>
      <c r="N83" s="1">
        <v>0.42</v>
      </c>
    </row>
    <row r="84" spans="1:14" x14ac:dyDescent="0.3">
      <c r="A84" t="s">
        <v>448</v>
      </c>
      <c r="B84" t="s">
        <v>466</v>
      </c>
      <c r="C84" t="s">
        <v>25</v>
      </c>
      <c r="D84" s="1">
        <v>0.15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9.3000000000000013E-2</v>
      </c>
      <c r="J84" s="1">
        <v>0.42</v>
      </c>
      <c r="K84" s="1">
        <v>0.42</v>
      </c>
      <c r="L84" s="1">
        <v>0.39</v>
      </c>
      <c r="M84" s="1">
        <v>0.34</v>
      </c>
      <c r="N84" s="1">
        <v>0.27</v>
      </c>
    </row>
    <row r="85" spans="1:14" x14ac:dyDescent="0.3">
      <c r="A85" t="s">
        <v>448</v>
      </c>
      <c r="B85" t="s">
        <v>466</v>
      </c>
      <c r="C85" t="s">
        <v>25</v>
      </c>
      <c r="D85" s="1">
        <v>0.15</v>
      </c>
      <c r="E85" t="s">
        <v>460</v>
      </c>
      <c r="F85" s="1">
        <v>0.25</v>
      </c>
      <c r="G85" t="s">
        <v>28</v>
      </c>
      <c r="H85" s="1">
        <v>0.7</v>
      </c>
      <c r="I85" s="1"/>
      <c r="J85" s="1">
        <v>0.42</v>
      </c>
      <c r="K85" s="1">
        <v>0.42</v>
      </c>
      <c r="L85" s="1">
        <v>0.39</v>
      </c>
      <c r="M85" s="1">
        <v>0.34</v>
      </c>
      <c r="N85" s="1">
        <v>0.27</v>
      </c>
    </row>
    <row r="86" spans="1:14" x14ac:dyDescent="0.3">
      <c r="A86" t="s">
        <v>448</v>
      </c>
      <c r="B86" t="s">
        <v>466</v>
      </c>
      <c r="C86" t="s">
        <v>25</v>
      </c>
      <c r="D86" s="1">
        <v>0.15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0.42</v>
      </c>
      <c r="K86" s="1">
        <v>0.42</v>
      </c>
      <c r="L86" s="1">
        <v>0.39</v>
      </c>
      <c r="M86" s="1">
        <v>0.34</v>
      </c>
      <c r="N86" s="1">
        <v>0.27</v>
      </c>
    </row>
    <row r="87" spans="1:14" x14ac:dyDescent="0.3">
      <c r="A87" t="s">
        <v>448</v>
      </c>
      <c r="B87" t="s">
        <v>466</v>
      </c>
      <c r="C87" t="s">
        <v>25</v>
      </c>
      <c r="D87" s="1">
        <v>0.15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0.42</v>
      </c>
      <c r="K87" s="1">
        <v>0.42</v>
      </c>
      <c r="L87" s="1">
        <v>0.39</v>
      </c>
      <c r="M87" s="1">
        <v>0.34</v>
      </c>
      <c r="N87" s="1">
        <v>0.27</v>
      </c>
    </row>
    <row r="88" spans="1:14" x14ac:dyDescent="0.3">
      <c r="A88" t="s">
        <v>448</v>
      </c>
      <c r="B88" t="s">
        <v>466</v>
      </c>
      <c r="C88" t="s">
        <v>37</v>
      </c>
      <c r="D88" s="1">
        <v>0.15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0.1215</v>
      </c>
      <c r="J88" s="1">
        <v>0.6</v>
      </c>
      <c r="K88" s="1">
        <v>0.6</v>
      </c>
      <c r="L88" s="1">
        <v>0.56000000000000005</v>
      </c>
      <c r="M88" s="1">
        <v>0.49</v>
      </c>
      <c r="N88" s="1">
        <v>0.4</v>
      </c>
    </row>
    <row r="89" spans="1:14" x14ac:dyDescent="0.3">
      <c r="A89" t="s">
        <v>448</v>
      </c>
      <c r="B89" t="s">
        <v>466</v>
      </c>
      <c r="C89" t="s">
        <v>37</v>
      </c>
      <c r="D89" s="1">
        <v>0.15</v>
      </c>
      <c r="E89" t="s">
        <v>39</v>
      </c>
      <c r="F89" s="1">
        <v>0.25</v>
      </c>
      <c r="G89" t="s">
        <v>40</v>
      </c>
      <c r="H89" s="1">
        <v>0.7</v>
      </c>
      <c r="I89" s="1"/>
      <c r="J89" s="1">
        <v>0.6</v>
      </c>
      <c r="K89" s="1">
        <v>0.6</v>
      </c>
      <c r="L89" s="1">
        <v>0.56000000000000005</v>
      </c>
      <c r="M89" s="1">
        <v>0.49</v>
      </c>
      <c r="N89" s="1">
        <v>0.4</v>
      </c>
    </row>
    <row r="90" spans="1:14" x14ac:dyDescent="0.3">
      <c r="A90" t="s">
        <v>448</v>
      </c>
      <c r="B90" t="s">
        <v>466</v>
      </c>
      <c r="C90" t="s">
        <v>37</v>
      </c>
      <c r="D90" s="1">
        <v>0.15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</v>
      </c>
      <c r="K90" s="1">
        <v>0.6</v>
      </c>
      <c r="L90" s="1">
        <v>0.56000000000000005</v>
      </c>
      <c r="M90" s="1">
        <v>0.49</v>
      </c>
      <c r="N90" s="1">
        <v>0.4</v>
      </c>
    </row>
    <row r="91" spans="1:14" x14ac:dyDescent="0.3">
      <c r="A91" t="s">
        <v>448</v>
      </c>
      <c r="B91" t="s">
        <v>466</v>
      </c>
      <c r="C91" t="s">
        <v>37</v>
      </c>
      <c r="D91" s="1">
        <v>0.15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</v>
      </c>
      <c r="K91" s="1">
        <v>0.6</v>
      </c>
      <c r="L91" s="1">
        <v>0.56000000000000005</v>
      </c>
      <c r="M91" s="1">
        <v>0.49</v>
      </c>
      <c r="N91" s="1">
        <v>0.4</v>
      </c>
    </row>
    <row r="92" spans="1:14" x14ac:dyDescent="0.3">
      <c r="A92" t="s">
        <v>448</v>
      </c>
      <c r="B92" t="s">
        <v>466</v>
      </c>
      <c r="C92" t="s">
        <v>151</v>
      </c>
      <c r="D92" s="1">
        <v>0.2</v>
      </c>
      <c r="E92" t="s">
        <v>467</v>
      </c>
      <c r="F92" s="1">
        <v>0.25</v>
      </c>
      <c r="G92" t="s">
        <v>40</v>
      </c>
      <c r="H92" s="1">
        <v>0.7</v>
      </c>
      <c r="I92" s="1">
        <f>SUMPRODUCT(H92:H95,F92:F95)*D92</f>
        <v>0.11749999999999999</v>
      </c>
      <c r="J92" s="1">
        <v>0.4</v>
      </c>
      <c r="K92" s="1">
        <v>0.4</v>
      </c>
      <c r="L92" s="1">
        <v>0.37</v>
      </c>
      <c r="M92" s="1">
        <v>0.32</v>
      </c>
      <c r="N92" s="1">
        <v>0.25</v>
      </c>
    </row>
    <row r="93" spans="1:14" x14ac:dyDescent="0.3">
      <c r="A93" t="s">
        <v>448</v>
      </c>
      <c r="B93" t="s">
        <v>466</v>
      </c>
      <c r="C93" t="s">
        <v>151</v>
      </c>
      <c r="D93" s="1">
        <v>0.2</v>
      </c>
      <c r="E93" t="s">
        <v>468</v>
      </c>
      <c r="F93" s="1">
        <v>0.25</v>
      </c>
      <c r="G93" t="s">
        <v>20</v>
      </c>
      <c r="H93" s="1">
        <v>0.6</v>
      </c>
      <c r="I93" s="1"/>
      <c r="J93" s="1">
        <v>0.4</v>
      </c>
      <c r="K93" s="1">
        <v>0.4</v>
      </c>
      <c r="L93" s="1">
        <v>0.37</v>
      </c>
      <c r="M93" s="1">
        <v>0.32</v>
      </c>
      <c r="N93" s="1">
        <v>0.25</v>
      </c>
    </row>
    <row r="94" spans="1:14" x14ac:dyDescent="0.3">
      <c r="A94" t="s">
        <v>448</v>
      </c>
      <c r="B94" t="s">
        <v>466</v>
      </c>
      <c r="C94" t="s">
        <v>151</v>
      </c>
      <c r="D94" s="1">
        <v>0.2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</v>
      </c>
      <c r="K94" s="1">
        <v>0.4</v>
      </c>
      <c r="L94" s="1">
        <v>0.37</v>
      </c>
      <c r="M94" s="1">
        <v>0.32</v>
      </c>
      <c r="N94" s="1">
        <v>0.25</v>
      </c>
    </row>
    <row r="95" spans="1:14" x14ac:dyDescent="0.3">
      <c r="A95" t="s">
        <v>448</v>
      </c>
      <c r="B95" t="s">
        <v>466</v>
      </c>
      <c r="C95" t="s">
        <v>151</v>
      </c>
      <c r="D95" s="1">
        <v>0.2</v>
      </c>
      <c r="E95" t="s">
        <v>469</v>
      </c>
      <c r="F95" s="1">
        <v>0.25</v>
      </c>
      <c r="G95" t="s">
        <v>24</v>
      </c>
      <c r="H95" s="1">
        <v>0.95</v>
      </c>
      <c r="I95" s="1"/>
      <c r="J95" s="1">
        <v>0.4</v>
      </c>
      <c r="K95" s="1">
        <v>0.4</v>
      </c>
      <c r="L95" s="1">
        <v>0.37</v>
      </c>
      <c r="M95" s="1">
        <v>0.32</v>
      </c>
      <c r="N95" s="1">
        <v>0.25</v>
      </c>
    </row>
    <row r="96" spans="1:14" x14ac:dyDescent="0.3">
      <c r="A96" t="s">
        <v>448</v>
      </c>
      <c r="B96" t="s">
        <v>466</v>
      </c>
      <c r="C96" t="s">
        <v>43</v>
      </c>
      <c r="D96" s="1">
        <v>0.15</v>
      </c>
      <c r="E96" t="s">
        <v>308</v>
      </c>
      <c r="F96" s="1">
        <v>0.25</v>
      </c>
      <c r="G96" t="s">
        <v>18</v>
      </c>
      <c r="H96" s="1">
        <v>0.9</v>
      </c>
      <c r="I96" s="1">
        <f>SUMPRODUCT(H96:H99,F96:F99)*D96</f>
        <v>8.9249999999999996E-2</v>
      </c>
      <c r="J96" s="1">
        <v>0.42</v>
      </c>
      <c r="K96" s="1">
        <v>0.42</v>
      </c>
      <c r="L96" s="1">
        <v>0.39</v>
      </c>
      <c r="M96" s="1">
        <v>0.34</v>
      </c>
      <c r="N96" s="1">
        <v>0.27</v>
      </c>
    </row>
    <row r="97" spans="1:14" x14ac:dyDescent="0.3">
      <c r="A97" t="s">
        <v>448</v>
      </c>
      <c r="B97" t="s">
        <v>466</v>
      </c>
      <c r="C97" t="s">
        <v>43</v>
      </c>
      <c r="D97" s="1">
        <v>0.15</v>
      </c>
      <c r="E97" t="s">
        <v>403</v>
      </c>
      <c r="F97" s="1">
        <v>0.25</v>
      </c>
      <c r="G97" t="s">
        <v>20</v>
      </c>
      <c r="H97" s="1">
        <v>0.6</v>
      </c>
      <c r="I97" s="1"/>
      <c r="J97" s="1">
        <v>0.42</v>
      </c>
      <c r="K97" s="1">
        <v>0.42</v>
      </c>
      <c r="L97" s="1">
        <v>0.39</v>
      </c>
      <c r="M97" s="1">
        <v>0.34</v>
      </c>
      <c r="N97" s="1">
        <v>0.27</v>
      </c>
    </row>
    <row r="98" spans="1:14" x14ac:dyDescent="0.3">
      <c r="A98" t="s">
        <v>448</v>
      </c>
      <c r="B98" t="s">
        <v>466</v>
      </c>
      <c r="C98" t="s">
        <v>43</v>
      </c>
      <c r="D98" s="1">
        <v>0.15</v>
      </c>
      <c r="E98" t="s">
        <v>470</v>
      </c>
      <c r="F98" s="1">
        <v>0.3</v>
      </c>
      <c r="G98" t="s">
        <v>30</v>
      </c>
      <c r="H98" s="1">
        <v>0.1</v>
      </c>
      <c r="I98" s="1"/>
      <c r="J98" s="1">
        <v>0.42</v>
      </c>
      <c r="K98" s="1">
        <v>0.42</v>
      </c>
      <c r="L98" s="1">
        <v>0.39</v>
      </c>
      <c r="M98" s="1">
        <v>0.34</v>
      </c>
      <c r="N98" s="1">
        <v>0.27</v>
      </c>
    </row>
    <row r="99" spans="1:14" x14ac:dyDescent="0.3">
      <c r="A99" t="s">
        <v>448</v>
      </c>
      <c r="B99" t="s">
        <v>466</v>
      </c>
      <c r="C99" t="s">
        <v>43</v>
      </c>
      <c r="D99" s="1">
        <v>0.15</v>
      </c>
      <c r="E99" t="s">
        <v>116</v>
      </c>
      <c r="F99" s="1">
        <v>0.2</v>
      </c>
      <c r="G99" t="s">
        <v>24</v>
      </c>
      <c r="H99" s="1">
        <v>0.95</v>
      </c>
      <c r="I99" s="1"/>
      <c r="J99" s="1">
        <v>0.42</v>
      </c>
      <c r="K99" s="1">
        <v>0.42</v>
      </c>
      <c r="L99" s="1">
        <v>0.39</v>
      </c>
      <c r="M99" s="1">
        <v>0.34</v>
      </c>
      <c r="N99" s="1">
        <v>0.27</v>
      </c>
    </row>
    <row r="100" spans="1:14" x14ac:dyDescent="0.3">
      <c r="A100" t="s">
        <v>448</v>
      </c>
      <c r="B100" t="s">
        <v>466</v>
      </c>
      <c r="C100" t="s">
        <v>271</v>
      </c>
      <c r="D100" s="1">
        <v>0.1</v>
      </c>
      <c r="E100" t="s">
        <v>457</v>
      </c>
      <c r="F100" s="1">
        <v>0.3</v>
      </c>
      <c r="G100" t="s">
        <v>56</v>
      </c>
      <c r="H100" s="1">
        <v>0.3</v>
      </c>
      <c r="I100" s="1">
        <f>SUMPRODUCT(H100:H103,F100:F103)*D100</f>
        <v>4.5500000000000006E-2</v>
      </c>
      <c r="J100" s="1">
        <v>0.31</v>
      </c>
      <c r="K100" s="1">
        <v>0.31</v>
      </c>
      <c r="L100" s="1">
        <v>0.28000000000000003</v>
      </c>
      <c r="M100" s="1">
        <v>0.24</v>
      </c>
      <c r="N100" s="1">
        <v>0.19</v>
      </c>
    </row>
    <row r="101" spans="1:14" x14ac:dyDescent="0.3">
      <c r="A101" t="s">
        <v>448</v>
      </c>
      <c r="B101" t="s">
        <v>466</v>
      </c>
      <c r="C101" t="s">
        <v>271</v>
      </c>
      <c r="D101" s="1">
        <v>0.1</v>
      </c>
      <c r="E101" t="s">
        <v>471</v>
      </c>
      <c r="F101" s="1">
        <v>0.25</v>
      </c>
      <c r="G101" t="s">
        <v>20</v>
      </c>
      <c r="H101" s="1">
        <v>0.6</v>
      </c>
      <c r="I101" s="1"/>
      <c r="J101" s="1">
        <v>0.31</v>
      </c>
      <c r="K101" s="1">
        <v>0.31</v>
      </c>
      <c r="L101" s="1">
        <v>0.28000000000000003</v>
      </c>
      <c r="M101" s="1">
        <v>0.24</v>
      </c>
      <c r="N101" s="1">
        <v>0.19</v>
      </c>
    </row>
    <row r="102" spans="1:14" x14ac:dyDescent="0.3">
      <c r="A102" t="s">
        <v>448</v>
      </c>
      <c r="B102" t="s">
        <v>466</v>
      </c>
      <c r="C102" t="s">
        <v>271</v>
      </c>
      <c r="D102" s="1">
        <v>0.1</v>
      </c>
      <c r="E102" t="s">
        <v>472</v>
      </c>
      <c r="F102" s="1">
        <v>0.25</v>
      </c>
      <c r="G102" t="s">
        <v>30</v>
      </c>
      <c r="H102" s="1">
        <v>0.1</v>
      </c>
      <c r="I102" s="1"/>
      <c r="J102" s="1">
        <v>0.31</v>
      </c>
      <c r="K102" s="1">
        <v>0.31</v>
      </c>
      <c r="L102" s="1">
        <v>0.28000000000000003</v>
      </c>
      <c r="M102" s="1">
        <v>0.24</v>
      </c>
      <c r="N102" s="1">
        <v>0.19</v>
      </c>
    </row>
    <row r="103" spans="1:14" x14ac:dyDescent="0.3">
      <c r="A103" t="s">
        <v>448</v>
      </c>
      <c r="B103" t="s">
        <v>466</v>
      </c>
      <c r="C103" t="s">
        <v>271</v>
      </c>
      <c r="D103" s="1">
        <v>0.1</v>
      </c>
      <c r="E103" t="s">
        <v>59</v>
      </c>
      <c r="F103" s="1">
        <v>0.2</v>
      </c>
      <c r="G103" t="s">
        <v>24</v>
      </c>
      <c r="H103" s="1">
        <v>0.95</v>
      </c>
      <c r="I103" s="1"/>
      <c r="J103" s="1">
        <v>0.31</v>
      </c>
      <c r="K103" s="1">
        <v>0.31</v>
      </c>
      <c r="L103" s="1">
        <v>0.28000000000000003</v>
      </c>
      <c r="M103" s="1">
        <v>0.24</v>
      </c>
      <c r="N103" s="1">
        <v>0.19</v>
      </c>
    </row>
    <row r="104" spans="1:14" x14ac:dyDescent="0.3">
      <c r="D104" s="1"/>
      <c r="F104" s="1"/>
      <c r="H104" s="1"/>
      <c r="I104" s="2">
        <f>SUM(I80:I100)</f>
        <v>0.67362500000000003</v>
      </c>
      <c r="J104" s="2">
        <f>+J84*$D84+J88*$D88+J92*$D92+J96*$D96+J100*$D100+$D80*J80</f>
        <v>0.4820000000000001</v>
      </c>
      <c r="K104" s="2">
        <f t="shared" ref="K104:N104" si="3">+K84*$D84+K88*$D88+K92*$D92+K96*$D96+K100*$D100+$D80*K80</f>
        <v>0.4820000000000001</v>
      </c>
      <c r="L104" s="2">
        <f t="shared" si="3"/>
        <v>0.44800000000000006</v>
      </c>
      <c r="M104" s="2">
        <f t="shared" si="3"/>
        <v>0.39100000000000001</v>
      </c>
      <c r="N104" s="2">
        <f t="shared" si="3"/>
        <v>0.315</v>
      </c>
    </row>
    <row r="105" spans="1:14" x14ac:dyDescent="0.3">
      <c r="D105" s="1"/>
      <c r="F105" s="1"/>
      <c r="H105" s="1"/>
      <c r="I105" s="1"/>
      <c r="J105" s="1"/>
      <c r="K105" s="1"/>
      <c r="L105" s="1"/>
      <c r="M105" s="1"/>
      <c r="N105" s="1"/>
    </row>
    <row r="106" spans="1:14" x14ac:dyDescent="0.3">
      <c r="A106" t="s">
        <v>448</v>
      </c>
      <c r="B106" t="s">
        <v>473</v>
      </c>
      <c r="C106" t="s">
        <v>16</v>
      </c>
      <c r="D106" s="1">
        <v>0.25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0.20687500000000003</v>
      </c>
      <c r="J106" s="1">
        <v>0.64</v>
      </c>
      <c r="K106" s="1">
        <v>0.64</v>
      </c>
      <c r="L106" s="1">
        <v>0.6</v>
      </c>
      <c r="M106" s="1">
        <v>0.54</v>
      </c>
      <c r="N106" s="1">
        <v>0.46</v>
      </c>
    </row>
    <row r="107" spans="1:14" x14ac:dyDescent="0.3">
      <c r="A107" t="s">
        <v>448</v>
      </c>
      <c r="B107" t="s">
        <v>473</v>
      </c>
      <c r="C107" t="s">
        <v>16</v>
      </c>
      <c r="D107" s="1">
        <v>0.25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0.64</v>
      </c>
      <c r="K107" s="1">
        <v>0.64</v>
      </c>
      <c r="L107" s="1">
        <v>0.6</v>
      </c>
      <c r="M107" s="1">
        <v>0.54</v>
      </c>
      <c r="N107" s="1">
        <v>0.46</v>
      </c>
    </row>
    <row r="108" spans="1:14" x14ac:dyDescent="0.3">
      <c r="A108" t="s">
        <v>448</v>
      </c>
      <c r="B108" t="s">
        <v>473</v>
      </c>
      <c r="C108" t="s">
        <v>16</v>
      </c>
      <c r="D108" s="1">
        <v>0.25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0.64</v>
      </c>
      <c r="K108" s="1">
        <v>0.64</v>
      </c>
      <c r="L108" s="1">
        <v>0.6</v>
      </c>
      <c r="M108" s="1">
        <v>0.54</v>
      </c>
      <c r="N108" s="1">
        <v>0.46</v>
      </c>
    </row>
    <row r="109" spans="1:14" x14ac:dyDescent="0.3">
      <c r="A109" t="s">
        <v>448</v>
      </c>
      <c r="B109" t="s">
        <v>473</v>
      </c>
      <c r="C109" t="s">
        <v>16</v>
      </c>
      <c r="D109" s="1">
        <v>0.25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0.64</v>
      </c>
      <c r="K109" s="1">
        <v>0.64</v>
      </c>
      <c r="L109" s="1">
        <v>0.6</v>
      </c>
      <c r="M109" s="1">
        <v>0.54</v>
      </c>
      <c r="N109" s="1">
        <v>0.46</v>
      </c>
    </row>
    <row r="110" spans="1:14" x14ac:dyDescent="0.3">
      <c r="A110" t="s">
        <v>448</v>
      </c>
      <c r="B110" t="s">
        <v>473</v>
      </c>
      <c r="C110" t="s">
        <v>301</v>
      </c>
      <c r="D110" s="1">
        <v>0.15</v>
      </c>
      <c r="E110" t="s">
        <v>474</v>
      </c>
      <c r="F110" s="1">
        <v>0.3</v>
      </c>
      <c r="G110" t="s">
        <v>73</v>
      </c>
      <c r="H110" s="1">
        <v>0.7</v>
      </c>
      <c r="I110" s="1">
        <f>SUMPRODUCT(H110:H113,F110:F113)*D110</f>
        <v>6.8250000000000005E-2</v>
      </c>
      <c r="J110" s="1">
        <v>0.34</v>
      </c>
      <c r="K110" s="1">
        <v>0.34</v>
      </c>
      <c r="L110" s="1">
        <v>0.31</v>
      </c>
      <c r="M110" s="1">
        <v>0.27</v>
      </c>
      <c r="N110" s="1">
        <v>0.22</v>
      </c>
    </row>
    <row r="111" spans="1:14" x14ac:dyDescent="0.3">
      <c r="A111" t="s">
        <v>448</v>
      </c>
      <c r="B111" t="s">
        <v>473</v>
      </c>
      <c r="C111" t="s">
        <v>301</v>
      </c>
      <c r="D111" s="1">
        <v>0.15</v>
      </c>
      <c r="E111" t="s">
        <v>475</v>
      </c>
      <c r="F111" s="1">
        <v>0.25</v>
      </c>
      <c r="G111" t="s">
        <v>20</v>
      </c>
      <c r="H111" s="1">
        <v>0.6</v>
      </c>
      <c r="I111" s="1"/>
      <c r="J111" s="1">
        <v>0.34</v>
      </c>
      <c r="K111" s="1">
        <v>0.34</v>
      </c>
      <c r="L111" s="1">
        <v>0.31</v>
      </c>
      <c r="M111" s="1">
        <v>0.27</v>
      </c>
      <c r="N111" s="1">
        <v>0.22</v>
      </c>
    </row>
    <row r="112" spans="1:14" x14ac:dyDescent="0.3">
      <c r="A112" t="s">
        <v>448</v>
      </c>
      <c r="B112" t="s">
        <v>473</v>
      </c>
      <c r="C112" t="s">
        <v>301</v>
      </c>
      <c r="D112" s="1">
        <v>0.15</v>
      </c>
      <c r="E112" t="s">
        <v>85</v>
      </c>
      <c r="F112" s="1">
        <v>0.25</v>
      </c>
      <c r="G112" t="s">
        <v>56</v>
      </c>
      <c r="H112" s="1">
        <v>0.3</v>
      </c>
      <c r="I112" s="1"/>
      <c r="J112" s="1">
        <v>0.34</v>
      </c>
      <c r="K112" s="1">
        <v>0.34</v>
      </c>
      <c r="L112" s="1">
        <v>0.31</v>
      </c>
      <c r="M112" s="1">
        <v>0.27</v>
      </c>
      <c r="N112" s="1">
        <v>0.22</v>
      </c>
    </row>
    <row r="113" spans="1:14" x14ac:dyDescent="0.3">
      <c r="A113" t="s">
        <v>448</v>
      </c>
      <c r="B113" t="s">
        <v>473</v>
      </c>
      <c r="C113" t="s">
        <v>301</v>
      </c>
      <c r="D113" s="1">
        <v>0.15</v>
      </c>
      <c r="E113" t="s">
        <v>303</v>
      </c>
      <c r="F113" s="1">
        <v>0.2</v>
      </c>
      <c r="G113" t="s">
        <v>30</v>
      </c>
      <c r="H113" s="1">
        <v>0.1</v>
      </c>
      <c r="I113" s="1"/>
      <c r="J113" s="1">
        <v>0.34</v>
      </c>
      <c r="K113" s="1">
        <v>0.34</v>
      </c>
      <c r="L113" s="1">
        <v>0.31</v>
      </c>
      <c r="M113" s="1">
        <v>0.27</v>
      </c>
      <c r="N113" s="1">
        <v>0.22</v>
      </c>
    </row>
    <row r="114" spans="1:14" x14ac:dyDescent="0.3">
      <c r="A114" t="s">
        <v>448</v>
      </c>
      <c r="B114" t="s">
        <v>473</v>
      </c>
      <c r="C114" t="s">
        <v>25</v>
      </c>
      <c r="D114" s="1">
        <v>0.15</v>
      </c>
      <c r="E114" t="s">
        <v>26</v>
      </c>
      <c r="F114" s="1">
        <v>0.25</v>
      </c>
      <c r="G114" t="s">
        <v>18</v>
      </c>
      <c r="H114" s="1">
        <v>0.9</v>
      </c>
      <c r="I114" s="1">
        <f>SUMPRODUCT(H114:H117,F114:F117)*D114</f>
        <v>9.3000000000000013E-2</v>
      </c>
      <c r="J114" s="1">
        <v>0.44</v>
      </c>
      <c r="K114" s="1">
        <v>0.44</v>
      </c>
      <c r="L114" s="1">
        <v>0.41</v>
      </c>
      <c r="M114" s="1">
        <v>0.36</v>
      </c>
      <c r="N114" s="1">
        <v>0.3</v>
      </c>
    </row>
    <row r="115" spans="1:14" x14ac:dyDescent="0.3">
      <c r="A115" t="s">
        <v>448</v>
      </c>
      <c r="B115" t="s">
        <v>473</v>
      </c>
      <c r="C115" t="s">
        <v>25</v>
      </c>
      <c r="D115" s="1">
        <v>0.15</v>
      </c>
      <c r="E115" t="s">
        <v>27</v>
      </c>
      <c r="F115" s="1">
        <v>0.25</v>
      </c>
      <c r="G115" t="s">
        <v>28</v>
      </c>
      <c r="H115" s="1">
        <v>0.7</v>
      </c>
      <c r="I115" s="1"/>
      <c r="J115" s="1">
        <v>0.44</v>
      </c>
      <c r="K115" s="1">
        <v>0.44</v>
      </c>
      <c r="L115" s="1">
        <v>0.41</v>
      </c>
      <c r="M115" s="1">
        <v>0.36</v>
      </c>
      <c r="N115" s="1">
        <v>0.3</v>
      </c>
    </row>
    <row r="116" spans="1:14" x14ac:dyDescent="0.3">
      <c r="A116" t="s">
        <v>448</v>
      </c>
      <c r="B116" t="s">
        <v>473</v>
      </c>
      <c r="C116" t="s">
        <v>25</v>
      </c>
      <c r="D116" s="1">
        <v>0.15</v>
      </c>
      <c r="E116" t="s">
        <v>29</v>
      </c>
      <c r="F116" s="1">
        <v>0.3</v>
      </c>
      <c r="G116" t="s">
        <v>30</v>
      </c>
      <c r="H116" s="1">
        <v>0.1</v>
      </c>
      <c r="I116" s="1"/>
      <c r="J116" s="1">
        <v>0.44</v>
      </c>
      <c r="K116" s="1">
        <v>0.44</v>
      </c>
      <c r="L116" s="1">
        <v>0.41</v>
      </c>
      <c r="M116" s="1">
        <v>0.36</v>
      </c>
      <c r="N116" s="1">
        <v>0.3</v>
      </c>
    </row>
    <row r="117" spans="1:14" x14ac:dyDescent="0.3">
      <c r="A117" t="s">
        <v>448</v>
      </c>
      <c r="B117" t="s">
        <v>473</v>
      </c>
      <c r="C117" t="s">
        <v>25</v>
      </c>
      <c r="D117" s="1">
        <v>0.15</v>
      </c>
      <c r="E117" t="s">
        <v>31</v>
      </c>
      <c r="F117" s="1">
        <v>0.2</v>
      </c>
      <c r="G117" t="s">
        <v>24</v>
      </c>
      <c r="H117" s="1">
        <v>0.95</v>
      </c>
      <c r="I117" s="1"/>
      <c r="J117" s="1">
        <v>0.44</v>
      </c>
      <c r="K117" s="1">
        <v>0.44</v>
      </c>
      <c r="L117" s="1">
        <v>0.41</v>
      </c>
      <c r="M117" s="1">
        <v>0.36</v>
      </c>
      <c r="N117" s="1">
        <v>0.3</v>
      </c>
    </row>
    <row r="118" spans="1:14" x14ac:dyDescent="0.3">
      <c r="A118" t="s">
        <v>448</v>
      </c>
      <c r="B118" t="s">
        <v>473</v>
      </c>
      <c r="C118" t="s">
        <v>37</v>
      </c>
      <c r="D118" s="1">
        <v>0.15</v>
      </c>
      <c r="E118" t="s">
        <v>38</v>
      </c>
      <c r="F118" s="1">
        <v>0.3</v>
      </c>
      <c r="G118" t="s">
        <v>18</v>
      </c>
      <c r="H118" s="1">
        <v>0.9</v>
      </c>
      <c r="I118" s="1">
        <f>SUMPRODUCT(H118:H121,F118:F121)*D118</f>
        <v>0.1215</v>
      </c>
      <c r="J118" s="1">
        <v>0.64</v>
      </c>
      <c r="K118" s="1">
        <v>0.64</v>
      </c>
      <c r="L118" s="1">
        <v>0.6</v>
      </c>
      <c r="M118" s="1">
        <v>0.55000000000000004</v>
      </c>
      <c r="N118" s="1">
        <v>0.47</v>
      </c>
    </row>
    <row r="119" spans="1:14" x14ac:dyDescent="0.3">
      <c r="A119" t="s">
        <v>448</v>
      </c>
      <c r="B119" t="s">
        <v>473</v>
      </c>
      <c r="C119" t="s">
        <v>37</v>
      </c>
      <c r="D119" s="1">
        <v>0.15</v>
      </c>
      <c r="E119" t="s">
        <v>39</v>
      </c>
      <c r="F119" s="1">
        <v>0.25</v>
      </c>
      <c r="G119" t="s">
        <v>40</v>
      </c>
      <c r="H119" s="1">
        <v>0.7</v>
      </c>
      <c r="I119" s="1"/>
      <c r="J119" s="1">
        <v>0.64</v>
      </c>
      <c r="K119" s="1">
        <v>0.64</v>
      </c>
      <c r="L119" s="1">
        <v>0.6</v>
      </c>
      <c r="M119" s="1">
        <v>0.55000000000000004</v>
      </c>
      <c r="N119" s="1">
        <v>0.47</v>
      </c>
    </row>
    <row r="120" spans="1:14" x14ac:dyDescent="0.3">
      <c r="A120" t="s">
        <v>448</v>
      </c>
      <c r="B120" t="s">
        <v>473</v>
      </c>
      <c r="C120" t="s">
        <v>37</v>
      </c>
      <c r="D120" s="1">
        <v>0.15</v>
      </c>
      <c r="E120" t="s">
        <v>41</v>
      </c>
      <c r="F120" s="1">
        <v>0.25</v>
      </c>
      <c r="G120" t="s">
        <v>28</v>
      </c>
      <c r="H120" s="1">
        <v>0.7</v>
      </c>
      <c r="I120" s="1"/>
      <c r="J120" s="1">
        <v>0.64</v>
      </c>
      <c r="K120" s="1">
        <v>0.64</v>
      </c>
      <c r="L120" s="1">
        <v>0.6</v>
      </c>
      <c r="M120" s="1">
        <v>0.55000000000000004</v>
      </c>
      <c r="N120" s="1">
        <v>0.47</v>
      </c>
    </row>
    <row r="121" spans="1:14" x14ac:dyDescent="0.3">
      <c r="A121" t="s">
        <v>448</v>
      </c>
      <c r="B121" t="s">
        <v>473</v>
      </c>
      <c r="C121" t="s">
        <v>37</v>
      </c>
      <c r="D121" s="1">
        <v>0.15</v>
      </c>
      <c r="E121" t="s">
        <v>42</v>
      </c>
      <c r="F121" s="1">
        <v>0.2</v>
      </c>
      <c r="G121" t="s">
        <v>24</v>
      </c>
      <c r="H121" s="1">
        <v>0.95</v>
      </c>
      <c r="I121" s="1"/>
      <c r="J121" s="1">
        <v>0.64</v>
      </c>
      <c r="K121" s="1">
        <v>0.64</v>
      </c>
      <c r="L121" s="1">
        <v>0.6</v>
      </c>
      <c r="M121" s="1">
        <v>0.55000000000000004</v>
      </c>
      <c r="N121" s="1">
        <v>0.47</v>
      </c>
    </row>
    <row r="122" spans="1:14" x14ac:dyDescent="0.3">
      <c r="A122" t="s">
        <v>448</v>
      </c>
      <c r="B122" t="s">
        <v>473</v>
      </c>
      <c r="C122" t="s">
        <v>48</v>
      </c>
      <c r="D122" s="1">
        <v>0.15</v>
      </c>
      <c r="E122" t="s">
        <v>123</v>
      </c>
      <c r="F122" s="1">
        <v>0.25</v>
      </c>
      <c r="G122" t="s">
        <v>40</v>
      </c>
      <c r="H122" s="1">
        <v>0.7</v>
      </c>
      <c r="I122" s="1">
        <f>SUMPRODUCT(H122:H125,F122:F125)*D122</f>
        <v>8.8124999999999981E-2</v>
      </c>
      <c r="J122" s="1">
        <v>0.42</v>
      </c>
      <c r="K122" s="1">
        <v>0.42</v>
      </c>
      <c r="L122" s="1">
        <v>0.39</v>
      </c>
      <c r="M122" s="1">
        <v>0.34</v>
      </c>
      <c r="N122" s="1">
        <v>0.28000000000000003</v>
      </c>
    </row>
    <row r="123" spans="1:14" x14ac:dyDescent="0.3">
      <c r="A123" t="s">
        <v>448</v>
      </c>
      <c r="B123" t="s">
        <v>473</v>
      </c>
      <c r="C123" t="s">
        <v>48</v>
      </c>
      <c r="D123" s="1">
        <v>0.15</v>
      </c>
      <c r="E123" t="s">
        <v>50</v>
      </c>
      <c r="F123" s="1">
        <v>0.25</v>
      </c>
      <c r="G123" t="s">
        <v>20</v>
      </c>
      <c r="H123" s="1">
        <v>0.6</v>
      </c>
      <c r="I123" s="1"/>
      <c r="J123" s="1">
        <v>0.42</v>
      </c>
      <c r="K123" s="1">
        <v>0.42</v>
      </c>
      <c r="L123" s="1">
        <v>0.39</v>
      </c>
      <c r="M123" s="1">
        <v>0.34</v>
      </c>
      <c r="N123" s="1">
        <v>0.28000000000000003</v>
      </c>
    </row>
    <row r="124" spans="1:14" x14ac:dyDescent="0.3">
      <c r="A124" t="s">
        <v>448</v>
      </c>
      <c r="B124" t="s">
        <v>473</v>
      </c>
      <c r="C124" t="s">
        <v>48</v>
      </c>
      <c r="D124" s="1">
        <v>0.15</v>
      </c>
      <c r="E124" t="s">
        <v>456</v>
      </c>
      <c r="F124" s="1">
        <v>0.25</v>
      </c>
      <c r="G124" t="s">
        <v>30</v>
      </c>
      <c r="H124" s="1">
        <v>0.1</v>
      </c>
      <c r="I124" s="1"/>
      <c r="J124" s="1">
        <v>0.42</v>
      </c>
      <c r="K124" s="1">
        <v>0.42</v>
      </c>
      <c r="L124" s="1">
        <v>0.39</v>
      </c>
      <c r="M124" s="1">
        <v>0.34</v>
      </c>
      <c r="N124" s="1">
        <v>0.28000000000000003</v>
      </c>
    </row>
    <row r="125" spans="1:14" x14ac:dyDescent="0.3">
      <c r="A125" t="s">
        <v>448</v>
      </c>
      <c r="B125" t="s">
        <v>473</v>
      </c>
      <c r="C125" t="s">
        <v>48</v>
      </c>
      <c r="D125" s="1">
        <v>0.15</v>
      </c>
      <c r="E125" t="s">
        <v>53</v>
      </c>
      <c r="F125" s="1">
        <v>0.25</v>
      </c>
      <c r="G125" t="s">
        <v>24</v>
      </c>
      <c r="H125" s="1">
        <v>0.95</v>
      </c>
      <c r="I125" s="1"/>
      <c r="J125" s="1">
        <v>0.42</v>
      </c>
      <c r="K125" s="1">
        <v>0.42</v>
      </c>
      <c r="L125" s="1">
        <v>0.39</v>
      </c>
      <c r="M125" s="1">
        <v>0.34</v>
      </c>
      <c r="N125" s="1">
        <v>0.28000000000000003</v>
      </c>
    </row>
    <row r="126" spans="1:14" x14ac:dyDescent="0.3">
      <c r="A126" t="s">
        <v>448</v>
      </c>
      <c r="B126" t="s">
        <v>473</v>
      </c>
      <c r="C126" t="s">
        <v>271</v>
      </c>
      <c r="D126" s="1">
        <v>0.15</v>
      </c>
      <c r="E126" t="s">
        <v>476</v>
      </c>
      <c r="F126" s="1">
        <v>0.3</v>
      </c>
      <c r="G126" t="s">
        <v>56</v>
      </c>
      <c r="H126" s="1">
        <v>0.3</v>
      </c>
      <c r="I126" s="1">
        <f>SUMPRODUCT(H126:H129,F126:F129)*D126</f>
        <v>6.8250000000000005E-2</v>
      </c>
      <c r="J126" s="1">
        <v>0.33</v>
      </c>
      <c r="K126" s="1">
        <v>0.33</v>
      </c>
      <c r="L126" s="1">
        <v>0.3</v>
      </c>
      <c r="M126" s="1">
        <v>0.26</v>
      </c>
      <c r="N126" s="1">
        <v>0.21</v>
      </c>
    </row>
    <row r="127" spans="1:14" x14ac:dyDescent="0.3">
      <c r="A127" t="s">
        <v>448</v>
      </c>
      <c r="B127" t="s">
        <v>473</v>
      </c>
      <c r="C127" t="s">
        <v>271</v>
      </c>
      <c r="D127" s="1">
        <v>0.15</v>
      </c>
      <c r="E127" t="s">
        <v>273</v>
      </c>
      <c r="F127" s="1">
        <v>0.25</v>
      </c>
      <c r="G127" t="s">
        <v>20</v>
      </c>
      <c r="H127" s="1">
        <v>0.6</v>
      </c>
      <c r="I127" s="1"/>
      <c r="J127" s="1">
        <v>0.33</v>
      </c>
      <c r="K127" s="1">
        <v>0.33</v>
      </c>
      <c r="L127" s="1">
        <v>0.3</v>
      </c>
      <c r="M127" s="1">
        <v>0.26</v>
      </c>
      <c r="N127" s="1">
        <v>0.21</v>
      </c>
    </row>
    <row r="128" spans="1:14" x14ac:dyDescent="0.3">
      <c r="A128" t="s">
        <v>448</v>
      </c>
      <c r="B128" t="s">
        <v>473</v>
      </c>
      <c r="C128" t="s">
        <v>271</v>
      </c>
      <c r="D128" s="1">
        <v>0.15</v>
      </c>
      <c r="E128" t="s">
        <v>477</v>
      </c>
      <c r="F128" s="1">
        <v>0.25</v>
      </c>
      <c r="G128" t="s">
        <v>30</v>
      </c>
      <c r="H128" s="1">
        <v>0.1</v>
      </c>
      <c r="I128" s="1"/>
      <c r="J128" s="1">
        <v>0.33</v>
      </c>
      <c r="K128" s="1">
        <v>0.33</v>
      </c>
      <c r="L128" s="1">
        <v>0.3</v>
      </c>
      <c r="M128" s="1">
        <v>0.26</v>
      </c>
      <c r="N128" s="1">
        <v>0.21</v>
      </c>
    </row>
    <row r="129" spans="1:14" x14ac:dyDescent="0.3">
      <c r="A129" t="s">
        <v>448</v>
      </c>
      <c r="B129" t="s">
        <v>473</v>
      </c>
      <c r="C129" t="s">
        <v>271</v>
      </c>
      <c r="D129" s="1">
        <v>0.15</v>
      </c>
      <c r="E129" t="s">
        <v>59</v>
      </c>
      <c r="F129" s="1">
        <v>0.2</v>
      </c>
      <c r="G129" t="s">
        <v>24</v>
      </c>
      <c r="H129" s="1">
        <v>0.95</v>
      </c>
      <c r="I129" s="1"/>
      <c r="J129" s="1">
        <v>0.33</v>
      </c>
      <c r="K129" s="1">
        <v>0.33</v>
      </c>
      <c r="L129" s="1">
        <v>0.3</v>
      </c>
      <c r="M129" s="1">
        <v>0.26</v>
      </c>
      <c r="N129" s="1">
        <v>0.21</v>
      </c>
    </row>
    <row r="130" spans="1:14" x14ac:dyDescent="0.3">
      <c r="I130" s="2">
        <f>SUM(I106:I126)</f>
        <v>0.64600000000000013</v>
      </c>
      <c r="J130" s="2">
        <f>+J110*$D110+J114*$D114+J118*$D118+J122*$D122+J126*$D126+$D106*J106</f>
        <v>0.48550000000000004</v>
      </c>
      <c r="K130" s="2">
        <f t="shared" ref="K130:N130" si="4">+K110*$D110+K114*$D114+K118*$D118+K122*$D122+K126*$D126+$D106*K106</f>
        <v>0.48550000000000004</v>
      </c>
      <c r="L130" s="2">
        <f t="shared" si="4"/>
        <v>0.4514999999999999</v>
      </c>
      <c r="M130" s="2">
        <f t="shared" si="4"/>
        <v>0.40199999999999997</v>
      </c>
      <c r="N130" s="2">
        <f t="shared" si="4"/>
        <v>0.33700000000000002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5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478</v>
      </c>
      <c r="B2" t="s">
        <v>479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0.68</v>
      </c>
      <c r="K2" s="1">
        <v>0.68</v>
      </c>
      <c r="L2" s="1">
        <v>0.65</v>
      </c>
      <c r="M2" s="1">
        <v>0.61</v>
      </c>
      <c r="N2" s="1">
        <v>0.57999999999999996</v>
      </c>
    </row>
    <row r="3" spans="1:14" x14ac:dyDescent="0.3">
      <c r="A3" t="s">
        <v>478</v>
      </c>
      <c r="B3" t="s">
        <v>479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0.68</v>
      </c>
      <c r="K3" s="1">
        <v>0.68</v>
      </c>
      <c r="L3" s="1">
        <v>0.65</v>
      </c>
      <c r="M3" s="1">
        <v>0.61</v>
      </c>
      <c r="N3" s="1">
        <v>0.57999999999999996</v>
      </c>
    </row>
    <row r="4" spans="1:14" x14ac:dyDescent="0.3">
      <c r="A4" t="s">
        <v>478</v>
      </c>
      <c r="B4" t="s">
        <v>479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0.68</v>
      </c>
      <c r="K4" s="1">
        <v>0.68</v>
      </c>
      <c r="L4" s="1">
        <v>0.65</v>
      </c>
      <c r="M4" s="1">
        <v>0.61</v>
      </c>
      <c r="N4" s="1">
        <v>0.57999999999999996</v>
      </c>
    </row>
    <row r="5" spans="1:14" x14ac:dyDescent="0.3">
      <c r="A5" t="s">
        <v>478</v>
      </c>
      <c r="B5" t="s">
        <v>479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0.68</v>
      </c>
      <c r="K5" s="1">
        <v>0.68</v>
      </c>
      <c r="L5" s="1">
        <v>0.65</v>
      </c>
      <c r="M5" s="1">
        <v>0.61</v>
      </c>
      <c r="N5" s="1">
        <v>0.57999999999999996</v>
      </c>
    </row>
    <row r="6" spans="1:14" x14ac:dyDescent="0.3">
      <c r="A6" t="s">
        <v>478</v>
      </c>
      <c r="B6" t="s">
        <v>479</v>
      </c>
      <c r="C6" t="s">
        <v>25</v>
      </c>
      <c r="D6" s="1">
        <v>0.1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6.2000000000000013E-2</v>
      </c>
      <c r="J6" s="1">
        <v>0.48</v>
      </c>
      <c r="K6" s="1">
        <v>0.48</v>
      </c>
      <c r="L6" s="1">
        <v>0.45</v>
      </c>
      <c r="M6" s="1">
        <v>0.41</v>
      </c>
      <c r="N6" s="1">
        <v>0.38</v>
      </c>
    </row>
    <row r="7" spans="1:14" x14ac:dyDescent="0.3">
      <c r="A7" t="s">
        <v>478</v>
      </c>
      <c r="B7" t="s">
        <v>479</v>
      </c>
      <c r="C7" t="s">
        <v>25</v>
      </c>
      <c r="D7" s="1">
        <v>0.1</v>
      </c>
      <c r="E7" t="s">
        <v>27</v>
      </c>
      <c r="F7" s="1">
        <v>0.25</v>
      </c>
      <c r="G7" t="s">
        <v>28</v>
      </c>
      <c r="H7" s="1">
        <v>0.7</v>
      </c>
      <c r="I7" s="1"/>
      <c r="J7" s="1">
        <v>0.48</v>
      </c>
      <c r="K7" s="1">
        <v>0.48</v>
      </c>
      <c r="L7" s="1">
        <v>0.45</v>
      </c>
      <c r="M7" s="1">
        <v>0.41</v>
      </c>
      <c r="N7" s="1">
        <v>0.38</v>
      </c>
    </row>
    <row r="8" spans="1:14" x14ac:dyDescent="0.3">
      <c r="A8" t="s">
        <v>478</v>
      </c>
      <c r="B8" t="s">
        <v>479</v>
      </c>
      <c r="C8" t="s">
        <v>25</v>
      </c>
      <c r="D8" s="1">
        <v>0.1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0.48</v>
      </c>
      <c r="K8" s="1">
        <v>0.48</v>
      </c>
      <c r="L8" s="1">
        <v>0.45</v>
      </c>
      <c r="M8" s="1">
        <v>0.41</v>
      </c>
      <c r="N8" s="1">
        <v>0.38</v>
      </c>
    </row>
    <row r="9" spans="1:14" x14ac:dyDescent="0.3">
      <c r="A9" t="s">
        <v>478</v>
      </c>
      <c r="B9" t="s">
        <v>479</v>
      </c>
      <c r="C9" t="s">
        <v>25</v>
      </c>
      <c r="D9" s="1">
        <v>0.1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0.48</v>
      </c>
      <c r="K9" s="1">
        <v>0.48</v>
      </c>
      <c r="L9" s="1">
        <v>0.45</v>
      </c>
      <c r="M9" s="1">
        <v>0.41</v>
      </c>
      <c r="N9" s="1">
        <v>0.38</v>
      </c>
    </row>
    <row r="10" spans="1:14" x14ac:dyDescent="0.3">
      <c r="A10" t="s">
        <v>478</v>
      </c>
      <c r="B10" t="s">
        <v>479</v>
      </c>
      <c r="C10" t="s">
        <v>37</v>
      </c>
      <c r="D10" s="1">
        <v>0.2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0.16200000000000003</v>
      </c>
      <c r="J10" s="1">
        <v>0.69</v>
      </c>
      <c r="K10" s="1">
        <v>0.69</v>
      </c>
      <c r="L10" s="1">
        <v>0.66</v>
      </c>
      <c r="M10" s="1">
        <v>0.62</v>
      </c>
      <c r="N10" s="1">
        <v>0.59</v>
      </c>
    </row>
    <row r="11" spans="1:14" x14ac:dyDescent="0.3">
      <c r="A11" t="s">
        <v>478</v>
      </c>
      <c r="B11" t="s">
        <v>479</v>
      </c>
      <c r="C11" t="s">
        <v>37</v>
      </c>
      <c r="D11" s="1">
        <v>0.2</v>
      </c>
      <c r="E11" t="s">
        <v>39</v>
      </c>
      <c r="F11" s="1">
        <v>0.25</v>
      </c>
      <c r="G11" t="s">
        <v>40</v>
      </c>
      <c r="H11" s="1">
        <v>0.7</v>
      </c>
      <c r="I11" s="1"/>
      <c r="J11" s="1">
        <v>0.69</v>
      </c>
      <c r="K11" s="1">
        <v>0.69</v>
      </c>
      <c r="L11" s="1">
        <v>0.66</v>
      </c>
      <c r="M11" s="1">
        <v>0.62</v>
      </c>
      <c r="N11" s="1">
        <v>0.59</v>
      </c>
    </row>
    <row r="12" spans="1:14" x14ac:dyDescent="0.3">
      <c r="A12" t="s">
        <v>478</v>
      </c>
      <c r="B12" t="s">
        <v>479</v>
      </c>
      <c r="C12" t="s">
        <v>37</v>
      </c>
      <c r="D12" s="1">
        <v>0.2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0.69</v>
      </c>
      <c r="K12" s="1">
        <v>0.69</v>
      </c>
      <c r="L12" s="1">
        <v>0.66</v>
      </c>
      <c r="M12" s="1">
        <v>0.62</v>
      </c>
      <c r="N12" s="1">
        <v>0.59</v>
      </c>
    </row>
    <row r="13" spans="1:14" x14ac:dyDescent="0.3">
      <c r="A13" t="s">
        <v>478</v>
      </c>
      <c r="B13" t="s">
        <v>479</v>
      </c>
      <c r="C13" t="s">
        <v>37</v>
      </c>
      <c r="D13" s="1">
        <v>0.2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0.69</v>
      </c>
      <c r="K13" s="1">
        <v>0.69</v>
      </c>
      <c r="L13" s="1">
        <v>0.66</v>
      </c>
      <c r="M13" s="1">
        <v>0.62</v>
      </c>
      <c r="N13" s="1">
        <v>0.59</v>
      </c>
    </row>
    <row r="14" spans="1:14" x14ac:dyDescent="0.3">
      <c r="A14" t="s">
        <v>478</v>
      </c>
      <c r="B14" t="s">
        <v>479</v>
      </c>
      <c r="C14" t="s">
        <v>480</v>
      </c>
      <c r="D14" s="1">
        <v>0.2</v>
      </c>
      <c r="E14" t="s">
        <v>481</v>
      </c>
      <c r="F14" s="1">
        <v>0.25</v>
      </c>
      <c r="G14" t="s">
        <v>40</v>
      </c>
      <c r="H14" s="1">
        <v>0.7</v>
      </c>
      <c r="I14" s="1">
        <f>SUMPRODUCT(H14:H17,F14:F17)*D14</f>
        <v>0.11749999999999999</v>
      </c>
      <c r="J14" s="1">
        <v>0.46</v>
      </c>
      <c r="K14" s="1">
        <v>0.46</v>
      </c>
      <c r="L14" s="1">
        <v>0.43</v>
      </c>
      <c r="M14" s="1">
        <v>0.39</v>
      </c>
      <c r="N14" s="1">
        <v>0.36</v>
      </c>
    </row>
    <row r="15" spans="1:14" x14ac:dyDescent="0.3">
      <c r="A15" t="s">
        <v>478</v>
      </c>
      <c r="B15" t="s">
        <v>479</v>
      </c>
      <c r="C15" t="s">
        <v>480</v>
      </c>
      <c r="D15" s="1">
        <v>0.2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0.46</v>
      </c>
      <c r="K15" s="1">
        <v>0.46</v>
      </c>
      <c r="L15" s="1">
        <v>0.43</v>
      </c>
      <c r="M15" s="1">
        <v>0.39</v>
      </c>
      <c r="N15" s="1">
        <v>0.36</v>
      </c>
    </row>
    <row r="16" spans="1:14" x14ac:dyDescent="0.3">
      <c r="A16" t="s">
        <v>478</v>
      </c>
      <c r="B16" t="s">
        <v>479</v>
      </c>
      <c r="C16" t="s">
        <v>480</v>
      </c>
      <c r="D16" s="1">
        <v>0.2</v>
      </c>
      <c r="E16" t="s">
        <v>210</v>
      </c>
      <c r="F16" s="1">
        <v>0.25</v>
      </c>
      <c r="G16" t="s">
        <v>30</v>
      </c>
      <c r="H16" s="1">
        <v>0.1</v>
      </c>
      <c r="I16" s="1"/>
      <c r="J16" s="1">
        <v>0.46</v>
      </c>
      <c r="K16" s="1">
        <v>0.46</v>
      </c>
      <c r="L16" s="1">
        <v>0.43</v>
      </c>
      <c r="M16" s="1">
        <v>0.39</v>
      </c>
      <c r="N16" s="1">
        <v>0.36</v>
      </c>
    </row>
    <row r="17" spans="1:14" x14ac:dyDescent="0.3">
      <c r="A17" t="s">
        <v>478</v>
      </c>
      <c r="B17" t="s">
        <v>479</v>
      </c>
      <c r="C17" t="s">
        <v>480</v>
      </c>
      <c r="D17" s="1">
        <v>0.2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0.46</v>
      </c>
      <c r="K17" s="1">
        <v>0.46</v>
      </c>
      <c r="L17" s="1">
        <v>0.43</v>
      </c>
      <c r="M17" s="1">
        <v>0.39</v>
      </c>
      <c r="N17" s="1">
        <v>0.36</v>
      </c>
    </row>
    <row r="18" spans="1:14" x14ac:dyDescent="0.3">
      <c r="A18" t="s">
        <v>478</v>
      </c>
      <c r="B18" t="s">
        <v>479</v>
      </c>
      <c r="C18" t="s">
        <v>43</v>
      </c>
      <c r="D18" s="1">
        <v>0.1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5.9499999999999997E-2</v>
      </c>
      <c r="J18" s="1">
        <v>0.47</v>
      </c>
      <c r="K18" s="1">
        <v>0.47</v>
      </c>
      <c r="L18" s="1">
        <v>0.44</v>
      </c>
      <c r="M18" s="1">
        <v>0.4</v>
      </c>
      <c r="N18" s="1">
        <v>0.37</v>
      </c>
    </row>
    <row r="19" spans="1:14" x14ac:dyDescent="0.3">
      <c r="A19" t="s">
        <v>478</v>
      </c>
      <c r="B19" t="s">
        <v>479</v>
      </c>
      <c r="C19" t="s">
        <v>43</v>
      </c>
      <c r="D19" s="1">
        <v>0.1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0.47</v>
      </c>
      <c r="K19" s="1">
        <v>0.47</v>
      </c>
      <c r="L19" s="1">
        <v>0.44</v>
      </c>
      <c r="M19" s="1">
        <v>0.4</v>
      </c>
      <c r="N19" s="1">
        <v>0.37</v>
      </c>
    </row>
    <row r="20" spans="1:14" x14ac:dyDescent="0.3">
      <c r="A20" t="s">
        <v>478</v>
      </c>
      <c r="B20" t="s">
        <v>479</v>
      </c>
      <c r="C20" t="s">
        <v>43</v>
      </c>
      <c r="D20" s="1">
        <v>0.1</v>
      </c>
      <c r="E20" t="s">
        <v>46</v>
      </c>
      <c r="F20" s="1">
        <v>0.3</v>
      </c>
      <c r="G20" t="s">
        <v>30</v>
      </c>
      <c r="H20" s="1">
        <v>0.1</v>
      </c>
      <c r="I20" s="1"/>
      <c r="J20" s="1">
        <v>0.47</v>
      </c>
      <c r="K20" s="1">
        <v>0.47</v>
      </c>
      <c r="L20" s="1">
        <v>0.44</v>
      </c>
      <c r="M20" s="1">
        <v>0.4</v>
      </c>
      <c r="N20" s="1">
        <v>0.37</v>
      </c>
    </row>
    <row r="21" spans="1:14" x14ac:dyDescent="0.3">
      <c r="A21" t="s">
        <v>478</v>
      </c>
      <c r="B21" t="s">
        <v>479</v>
      </c>
      <c r="C21" t="s">
        <v>43</v>
      </c>
      <c r="D21" s="1">
        <v>0.1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0.47</v>
      </c>
      <c r="K21" s="1">
        <v>0.47</v>
      </c>
      <c r="L21" s="1">
        <v>0.44</v>
      </c>
      <c r="M21" s="1">
        <v>0.4</v>
      </c>
      <c r="N21" s="1">
        <v>0.37</v>
      </c>
    </row>
    <row r="22" spans="1:14" x14ac:dyDescent="0.3">
      <c r="A22" t="s">
        <v>478</v>
      </c>
      <c r="B22" t="s">
        <v>479</v>
      </c>
      <c r="C22" t="s">
        <v>271</v>
      </c>
      <c r="D22" s="1">
        <v>0.2</v>
      </c>
      <c r="E22" t="s">
        <v>482</v>
      </c>
      <c r="F22" s="1">
        <v>0.3</v>
      </c>
      <c r="G22" t="s">
        <v>56</v>
      </c>
      <c r="H22" s="1">
        <v>0.3</v>
      </c>
      <c r="I22" s="1">
        <f>SUMPRODUCT(H22:H25,F22:F25)*D22</f>
        <v>9.1000000000000011E-2</v>
      </c>
      <c r="J22" s="1">
        <v>0.36</v>
      </c>
      <c r="K22" s="1">
        <v>0.36</v>
      </c>
      <c r="L22" s="1">
        <v>0.33</v>
      </c>
      <c r="M22" s="1">
        <v>0.28999999999999998</v>
      </c>
      <c r="N22" s="1">
        <v>0.27</v>
      </c>
    </row>
    <row r="23" spans="1:14" x14ac:dyDescent="0.3">
      <c r="A23" t="s">
        <v>478</v>
      </c>
      <c r="B23" t="s">
        <v>479</v>
      </c>
      <c r="C23" t="s">
        <v>271</v>
      </c>
      <c r="D23" s="1">
        <v>0.2</v>
      </c>
      <c r="E23" t="s">
        <v>471</v>
      </c>
      <c r="F23" s="1">
        <v>0.25</v>
      </c>
      <c r="G23" t="s">
        <v>20</v>
      </c>
      <c r="H23" s="1">
        <v>0.6</v>
      </c>
      <c r="I23" s="1"/>
      <c r="J23" s="1">
        <v>0.36</v>
      </c>
      <c r="K23" s="1">
        <v>0.36</v>
      </c>
      <c r="L23" s="1">
        <v>0.33</v>
      </c>
      <c r="M23" s="1">
        <v>0.28999999999999998</v>
      </c>
      <c r="N23" s="1">
        <v>0.27</v>
      </c>
    </row>
    <row r="24" spans="1:14" x14ac:dyDescent="0.3">
      <c r="A24" t="s">
        <v>478</v>
      </c>
      <c r="B24" t="s">
        <v>479</v>
      </c>
      <c r="C24" t="s">
        <v>271</v>
      </c>
      <c r="D24" s="1">
        <v>0.2</v>
      </c>
      <c r="E24" t="s">
        <v>58</v>
      </c>
      <c r="F24" s="1">
        <v>0.25</v>
      </c>
      <c r="G24" t="s">
        <v>30</v>
      </c>
      <c r="H24" s="1">
        <v>0.1</v>
      </c>
      <c r="I24" s="1"/>
      <c r="J24" s="1">
        <v>0.36</v>
      </c>
      <c r="K24" s="1">
        <v>0.36</v>
      </c>
      <c r="L24" s="1">
        <v>0.33</v>
      </c>
      <c r="M24" s="1">
        <v>0.28999999999999998</v>
      </c>
      <c r="N24" s="1">
        <v>0.27</v>
      </c>
    </row>
    <row r="25" spans="1:14" x14ac:dyDescent="0.3">
      <c r="A25" t="s">
        <v>478</v>
      </c>
      <c r="B25" t="s">
        <v>479</v>
      </c>
      <c r="C25" t="s">
        <v>271</v>
      </c>
      <c r="D25" s="1">
        <v>0.2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0.36</v>
      </c>
      <c r="K25" s="1">
        <v>0.36</v>
      </c>
      <c r="L25" s="1">
        <v>0.33</v>
      </c>
      <c r="M25" s="1">
        <v>0.28999999999999998</v>
      </c>
      <c r="N25" s="1">
        <v>0.27</v>
      </c>
    </row>
    <row r="26" spans="1:14" x14ac:dyDescent="0.3">
      <c r="D26" s="1"/>
      <c r="F26" s="1"/>
      <c r="H26" s="1"/>
      <c r="I26" s="2">
        <f>SUM(I2:I25)</f>
        <v>0.65750000000000008</v>
      </c>
      <c r="J26" s="2">
        <f>+J6*$D6+J10*$D10+J14*$D14+J18*$D18+J22*$D22+$D2*J2</f>
        <v>0.53300000000000003</v>
      </c>
      <c r="K26" s="2">
        <f t="shared" ref="K26:N26" si="0">+K6*$D6+K10*$D10+K14*$D14+K18*$D18+K22*$D22+$D2*K2</f>
        <v>0.53300000000000003</v>
      </c>
      <c r="L26" s="2">
        <f t="shared" si="0"/>
        <v>0.503</v>
      </c>
      <c r="M26" s="2">
        <f t="shared" si="0"/>
        <v>0.46300000000000002</v>
      </c>
      <c r="N26" s="2">
        <f t="shared" si="0"/>
        <v>0.43499999999999994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478</v>
      </c>
      <c r="B28" t="s">
        <v>483</v>
      </c>
      <c r="C28" t="s">
        <v>16</v>
      </c>
      <c r="D28" s="1">
        <v>0.2</v>
      </c>
      <c r="E28" t="s">
        <v>17</v>
      </c>
      <c r="F28" s="1">
        <v>0.3</v>
      </c>
      <c r="G28" t="s">
        <v>18</v>
      </c>
      <c r="H28" s="1">
        <v>0.9</v>
      </c>
      <c r="I28" s="1">
        <f>SUMPRODUCT(H28:H31,F28:F31)*D28</f>
        <v>0.16550000000000004</v>
      </c>
      <c r="J28" s="1">
        <v>0.66</v>
      </c>
      <c r="K28" s="1">
        <v>0.66</v>
      </c>
      <c r="L28" s="1">
        <v>0.63</v>
      </c>
      <c r="M28" s="1">
        <v>0.57999999999999996</v>
      </c>
      <c r="N28" s="1">
        <v>0.55000000000000004</v>
      </c>
    </row>
    <row r="29" spans="1:14" x14ac:dyDescent="0.3">
      <c r="A29" t="s">
        <v>478</v>
      </c>
      <c r="B29" t="s">
        <v>483</v>
      </c>
      <c r="C29" t="s">
        <v>16</v>
      </c>
      <c r="D29" s="1">
        <v>0.2</v>
      </c>
      <c r="E29" t="s">
        <v>19</v>
      </c>
      <c r="F29" s="1">
        <v>0.25</v>
      </c>
      <c r="G29" t="s">
        <v>20</v>
      </c>
      <c r="H29" s="1">
        <v>0.6</v>
      </c>
      <c r="I29" s="1"/>
      <c r="J29" s="1">
        <v>0.66</v>
      </c>
      <c r="K29" s="1">
        <v>0.66</v>
      </c>
      <c r="L29" s="1">
        <v>0.63</v>
      </c>
      <c r="M29" s="1">
        <v>0.57999999999999996</v>
      </c>
      <c r="N29" s="1">
        <v>0.55000000000000004</v>
      </c>
    </row>
    <row r="30" spans="1:14" x14ac:dyDescent="0.3">
      <c r="A30" t="s">
        <v>478</v>
      </c>
      <c r="B30" t="s">
        <v>483</v>
      </c>
      <c r="C30" t="s">
        <v>16</v>
      </c>
      <c r="D30" s="1">
        <v>0.2</v>
      </c>
      <c r="E30" t="s">
        <v>21</v>
      </c>
      <c r="F30" s="1">
        <v>0.2</v>
      </c>
      <c r="G30" t="s">
        <v>22</v>
      </c>
      <c r="H30" s="1">
        <v>0.85</v>
      </c>
      <c r="I30" s="1"/>
      <c r="J30" s="1">
        <v>0.66</v>
      </c>
      <c r="K30" s="1">
        <v>0.66</v>
      </c>
      <c r="L30" s="1">
        <v>0.63</v>
      </c>
      <c r="M30" s="1">
        <v>0.57999999999999996</v>
      </c>
      <c r="N30" s="1">
        <v>0.55000000000000004</v>
      </c>
    </row>
    <row r="31" spans="1:14" x14ac:dyDescent="0.3">
      <c r="A31" t="s">
        <v>478</v>
      </c>
      <c r="B31" t="s">
        <v>483</v>
      </c>
      <c r="C31" t="s">
        <v>16</v>
      </c>
      <c r="D31" s="1">
        <v>0.2</v>
      </c>
      <c r="E31" t="s">
        <v>23</v>
      </c>
      <c r="F31" s="1">
        <v>0.25</v>
      </c>
      <c r="G31" t="s">
        <v>24</v>
      </c>
      <c r="H31" s="1">
        <v>0.95</v>
      </c>
      <c r="I31" s="1"/>
      <c r="J31" s="1">
        <v>0.66</v>
      </c>
      <c r="K31" s="1">
        <v>0.66</v>
      </c>
      <c r="L31" s="1">
        <v>0.63</v>
      </c>
      <c r="M31" s="1">
        <v>0.57999999999999996</v>
      </c>
      <c r="N31" s="1">
        <v>0.55000000000000004</v>
      </c>
    </row>
    <row r="32" spans="1:14" x14ac:dyDescent="0.3">
      <c r="A32" t="s">
        <v>478</v>
      </c>
      <c r="B32" t="s">
        <v>483</v>
      </c>
      <c r="C32" t="s">
        <v>25</v>
      </c>
      <c r="D32" s="1">
        <v>0.15</v>
      </c>
      <c r="E32" t="s">
        <v>26</v>
      </c>
      <c r="F32" s="1">
        <v>0.25</v>
      </c>
      <c r="G32" t="s">
        <v>18</v>
      </c>
      <c r="H32" s="1">
        <v>0.9</v>
      </c>
      <c r="I32" s="1">
        <f>SUMPRODUCT(H32:H35,F32:F35)*D32</f>
        <v>9.3000000000000013E-2</v>
      </c>
      <c r="J32" s="1">
        <v>0.46</v>
      </c>
      <c r="K32" s="1">
        <v>0.46</v>
      </c>
      <c r="L32" s="1">
        <v>0.43</v>
      </c>
      <c r="M32" s="1">
        <v>0.38</v>
      </c>
      <c r="N32" s="1">
        <v>0.35</v>
      </c>
    </row>
    <row r="33" spans="1:14" x14ac:dyDescent="0.3">
      <c r="A33" t="s">
        <v>478</v>
      </c>
      <c r="B33" t="s">
        <v>483</v>
      </c>
      <c r="C33" t="s">
        <v>25</v>
      </c>
      <c r="D33" s="1">
        <v>0.15</v>
      </c>
      <c r="E33" t="s">
        <v>27</v>
      </c>
      <c r="F33" s="1">
        <v>0.25</v>
      </c>
      <c r="G33" t="s">
        <v>28</v>
      </c>
      <c r="H33" s="1">
        <v>0.7</v>
      </c>
      <c r="I33" s="1"/>
      <c r="J33" s="1">
        <v>0.46</v>
      </c>
      <c r="K33" s="1">
        <v>0.46</v>
      </c>
      <c r="L33" s="1">
        <v>0.43</v>
      </c>
      <c r="M33" s="1">
        <v>0.38</v>
      </c>
      <c r="N33" s="1">
        <v>0.35</v>
      </c>
    </row>
    <row r="34" spans="1:14" x14ac:dyDescent="0.3">
      <c r="A34" t="s">
        <v>478</v>
      </c>
      <c r="B34" t="s">
        <v>483</v>
      </c>
      <c r="C34" t="s">
        <v>25</v>
      </c>
      <c r="D34" s="1">
        <v>0.15</v>
      </c>
      <c r="E34" t="s">
        <v>29</v>
      </c>
      <c r="F34" s="1">
        <v>0.3</v>
      </c>
      <c r="G34" t="s">
        <v>30</v>
      </c>
      <c r="H34" s="1">
        <v>0.1</v>
      </c>
      <c r="I34" s="1"/>
      <c r="J34" s="1">
        <v>0.46</v>
      </c>
      <c r="K34" s="1">
        <v>0.46</v>
      </c>
      <c r="L34" s="1">
        <v>0.43</v>
      </c>
      <c r="M34" s="1">
        <v>0.38</v>
      </c>
      <c r="N34" s="1">
        <v>0.35</v>
      </c>
    </row>
    <row r="35" spans="1:14" x14ac:dyDescent="0.3">
      <c r="A35" t="s">
        <v>478</v>
      </c>
      <c r="B35" t="s">
        <v>483</v>
      </c>
      <c r="C35" t="s">
        <v>25</v>
      </c>
      <c r="D35" s="1">
        <v>0.15</v>
      </c>
      <c r="E35" t="s">
        <v>31</v>
      </c>
      <c r="F35" s="1">
        <v>0.2</v>
      </c>
      <c r="G35" t="s">
        <v>24</v>
      </c>
      <c r="H35" s="1">
        <v>0.95</v>
      </c>
      <c r="I35" s="1"/>
      <c r="J35" s="1">
        <v>0.46</v>
      </c>
      <c r="K35" s="1">
        <v>0.46</v>
      </c>
      <c r="L35" s="1">
        <v>0.43</v>
      </c>
      <c r="M35" s="1">
        <v>0.38</v>
      </c>
      <c r="N35" s="1">
        <v>0.35</v>
      </c>
    </row>
    <row r="36" spans="1:14" x14ac:dyDescent="0.3">
      <c r="A36" t="s">
        <v>478</v>
      </c>
      <c r="B36" t="s">
        <v>483</v>
      </c>
      <c r="C36" t="s">
        <v>37</v>
      </c>
      <c r="D36" s="1">
        <v>0.2</v>
      </c>
      <c r="E36" t="s">
        <v>38</v>
      </c>
      <c r="F36" s="1">
        <v>0.3</v>
      </c>
      <c r="G36" t="s">
        <v>18</v>
      </c>
      <c r="H36" s="1">
        <v>0.9</v>
      </c>
      <c r="I36" s="1">
        <f>SUMPRODUCT(H36:H39,F36:F39)*D36</f>
        <v>0.16200000000000003</v>
      </c>
      <c r="J36" s="1">
        <v>0.67</v>
      </c>
      <c r="K36" s="1">
        <v>0.67</v>
      </c>
      <c r="L36" s="1">
        <v>0.64</v>
      </c>
      <c r="M36" s="1">
        <v>0.59</v>
      </c>
      <c r="N36" s="1">
        <v>0.56000000000000005</v>
      </c>
    </row>
    <row r="37" spans="1:14" x14ac:dyDescent="0.3">
      <c r="A37" t="s">
        <v>478</v>
      </c>
      <c r="B37" t="s">
        <v>483</v>
      </c>
      <c r="C37" t="s">
        <v>37</v>
      </c>
      <c r="D37" s="1">
        <v>0.2</v>
      </c>
      <c r="E37" t="s">
        <v>304</v>
      </c>
      <c r="F37" s="1">
        <v>0.25</v>
      </c>
      <c r="G37" t="s">
        <v>40</v>
      </c>
      <c r="H37" s="1">
        <v>0.7</v>
      </c>
      <c r="I37" s="1"/>
      <c r="J37" s="1">
        <v>0.67</v>
      </c>
      <c r="K37" s="1">
        <v>0.67</v>
      </c>
      <c r="L37" s="1">
        <v>0.64</v>
      </c>
      <c r="M37" s="1">
        <v>0.59</v>
      </c>
      <c r="N37" s="1">
        <v>0.56000000000000005</v>
      </c>
    </row>
    <row r="38" spans="1:14" x14ac:dyDescent="0.3">
      <c r="A38" t="s">
        <v>478</v>
      </c>
      <c r="B38" t="s">
        <v>483</v>
      </c>
      <c r="C38" t="s">
        <v>37</v>
      </c>
      <c r="D38" s="1">
        <v>0.2</v>
      </c>
      <c r="E38" t="s">
        <v>41</v>
      </c>
      <c r="F38" s="1">
        <v>0.25</v>
      </c>
      <c r="G38" t="s">
        <v>28</v>
      </c>
      <c r="H38" s="1">
        <v>0.7</v>
      </c>
      <c r="I38" s="1"/>
      <c r="J38" s="1">
        <v>0.67</v>
      </c>
      <c r="K38" s="1">
        <v>0.67</v>
      </c>
      <c r="L38" s="1">
        <v>0.64</v>
      </c>
      <c r="M38" s="1">
        <v>0.59</v>
      </c>
      <c r="N38" s="1">
        <v>0.56000000000000005</v>
      </c>
    </row>
    <row r="39" spans="1:14" x14ac:dyDescent="0.3">
      <c r="A39" t="s">
        <v>478</v>
      </c>
      <c r="B39" t="s">
        <v>483</v>
      </c>
      <c r="C39" t="s">
        <v>37</v>
      </c>
      <c r="D39" s="1">
        <v>0.2</v>
      </c>
      <c r="E39" t="s">
        <v>42</v>
      </c>
      <c r="F39" s="1">
        <v>0.2</v>
      </c>
      <c r="G39" t="s">
        <v>24</v>
      </c>
      <c r="H39" s="1">
        <v>0.95</v>
      </c>
      <c r="I39" s="1"/>
      <c r="J39" s="1">
        <v>0.67</v>
      </c>
      <c r="K39" s="1">
        <v>0.67</v>
      </c>
      <c r="L39" s="1">
        <v>0.64</v>
      </c>
      <c r="M39" s="1">
        <v>0.59</v>
      </c>
      <c r="N39" s="1">
        <v>0.56000000000000005</v>
      </c>
    </row>
    <row r="40" spans="1:14" x14ac:dyDescent="0.3">
      <c r="A40" t="s">
        <v>478</v>
      </c>
      <c r="B40" t="s">
        <v>483</v>
      </c>
      <c r="C40" t="s">
        <v>151</v>
      </c>
      <c r="D40" s="1">
        <v>0.2</v>
      </c>
      <c r="E40" t="s">
        <v>208</v>
      </c>
      <c r="F40" s="1">
        <v>0.25</v>
      </c>
      <c r="G40" t="s">
        <v>40</v>
      </c>
      <c r="H40" s="1">
        <v>0.7</v>
      </c>
      <c r="I40" s="1">
        <f>SUMPRODUCT(H40:H43,F40:F43)*D40</f>
        <v>0.11749999999999999</v>
      </c>
      <c r="J40" s="1">
        <v>0.44</v>
      </c>
      <c r="K40" s="1">
        <v>0.44</v>
      </c>
      <c r="L40" s="1">
        <v>0.41</v>
      </c>
      <c r="M40" s="1">
        <v>0.36</v>
      </c>
      <c r="N40" s="1">
        <v>0.33</v>
      </c>
    </row>
    <row r="41" spans="1:14" x14ac:dyDescent="0.3">
      <c r="A41" t="s">
        <v>478</v>
      </c>
      <c r="B41" t="s">
        <v>483</v>
      </c>
      <c r="C41" t="s">
        <v>151</v>
      </c>
      <c r="D41" s="1">
        <v>0.2</v>
      </c>
      <c r="E41" t="s">
        <v>50</v>
      </c>
      <c r="F41" s="1">
        <v>0.25</v>
      </c>
      <c r="G41" t="s">
        <v>20</v>
      </c>
      <c r="H41" s="1">
        <v>0.6</v>
      </c>
      <c r="I41" s="1"/>
      <c r="J41" s="1">
        <v>0.44</v>
      </c>
      <c r="K41" s="1">
        <v>0.44</v>
      </c>
      <c r="L41" s="1">
        <v>0.41</v>
      </c>
      <c r="M41" s="1">
        <v>0.36</v>
      </c>
      <c r="N41" s="1">
        <v>0.33</v>
      </c>
    </row>
    <row r="42" spans="1:14" x14ac:dyDescent="0.3">
      <c r="A42" t="s">
        <v>478</v>
      </c>
      <c r="B42" t="s">
        <v>483</v>
      </c>
      <c r="C42" t="s">
        <v>151</v>
      </c>
      <c r="D42" s="1">
        <v>0.2</v>
      </c>
      <c r="E42" t="s">
        <v>210</v>
      </c>
      <c r="F42" s="1">
        <v>0.25</v>
      </c>
      <c r="G42" t="s">
        <v>30</v>
      </c>
      <c r="H42" s="1">
        <v>0.1</v>
      </c>
      <c r="I42" s="1"/>
      <c r="J42" s="1">
        <v>0.44</v>
      </c>
      <c r="K42" s="1">
        <v>0.44</v>
      </c>
      <c r="L42" s="1">
        <v>0.41</v>
      </c>
      <c r="M42" s="1">
        <v>0.36</v>
      </c>
      <c r="N42" s="1">
        <v>0.33</v>
      </c>
    </row>
    <row r="43" spans="1:14" x14ac:dyDescent="0.3">
      <c r="A43" t="s">
        <v>478</v>
      </c>
      <c r="B43" t="s">
        <v>483</v>
      </c>
      <c r="C43" t="s">
        <v>151</v>
      </c>
      <c r="D43" s="1">
        <v>0.2</v>
      </c>
      <c r="E43" t="s">
        <v>53</v>
      </c>
      <c r="F43" s="1">
        <v>0.25</v>
      </c>
      <c r="G43" t="s">
        <v>24</v>
      </c>
      <c r="H43" s="1">
        <v>0.95</v>
      </c>
      <c r="I43" s="1"/>
      <c r="J43" s="1">
        <v>0.44</v>
      </c>
      <c r="K43" s="1">
        <v>0.44</v>
      </c>
      <c r="L43" s="1">
        <v>0.41</v>
      </c>
      <c r="M43" s="1">
        <v>0.36</v>
      </c>
      <c r="N43" s="1">
        <v>0.33</v>
      </c>
    </row>
    <row r="44" spans="1:14" x14ac:dyDescent="0.3">
      <c r="A44" t="s">
        <v>478</v>
      </c>
      <c r="B44" t="s">
        <v>483</v>
      </c>
      <c r="C44" t="s">
        <v>43</v>
      </c>
      <c r="D44" s="1">
        <v>0.15</v>
      </c>
      <c r="E44" t="s">
        <v>308</v>
      </c>
      <c r="F44" s="1">
        <v>0.25</v>
      </c>
      <c r="G44" t="s">
        <v>18</v>
      </c>
      <c r="H44" s="1">
        <v>0.9</v>
      </c>
      <c r="I44" s="1">
        <f>SUMPRODUCT(H44:H47,F44:F47)*D44</f>
        <v>8.9249999999999996E-2</v>
      </c>
      <c r="J44" s="1">
        <v>0.46</v>
      </c>
      <c r="K44" s="1">
        <v>0.46</v>
      </c>
      <c r="L44" s="1">
        <v>0.43</v>
      </c>
      <c r="M44" s="1">
        <v>0.38</v>
      </c>
      <c r="N44" s="1">
        <v>0.35</v>
      </c>
    </row>
    <row r="45" spans="1:14" x14ac:dyDescent="0.3">
      <c r="A45" t="s">
        <v>478</v>
      </c>
      <c r="B45" t="s">
        <v>483</v>
      </c>
      <c r="C45" t="s">
        <v>43</v>
      </c>
      <c r="D45" s="1">
        <v>0.15</v>
      </c>
      <c r="E45" t="s">
        <v>403</v>
      </c>
      <c r="F45" s="1">
        <v>0.25</v>
      </c>
      <c r="G45" t="s">
        <v>20</v>
      </c>
      <c r="H45" s="1">
        <v>0.6</v>
      </c>
      <c r="I45" s="1"/>
      <c r="J45" s="1">
        <v>0.46</v>
      </c>
      <c r="K45" s="1">
        <v>0.46</v>
      </c>
      <c r="L45" s="1">
        <v>0.43</v>
      </c>
      <c r="M45" s="1">
        <v>0.38</v>
      </c>
      <c r="N45" s="1">
        <v>0.35</v>
      </c>
    </row>
    <row r="46" spans="1:14" x14ac:dyDescent="0.3">
      <c r="A46" t="s">
        <v>478</v>
      </c>
      <c r="B46" t="s">
        <v>483</v>
      </c>
      <c r="C46" t="s">
        <v>43</v>
      </c>
      <c r="D46" s="1">
        <v>0.15</v>
      </c>
      <c r="E46" t="s">
        <v>46</v>
      </c>
      <c r="F46" s="1">
        <v>0.3</v>
      </c>
      <c r="G46" t="s">
        <v>30</v>
      </c>
      <c r="H46" s="1">
        <v>0.1</v>
      </c>
      <c r="I46" s="1"/>
      <c r="J46" s="1">
        <v>0.46</v>
      </c>
      <c r="K46" s="1">
        <v>0.46</v>
      </c>
      <c r="L46" s="1">
        <v>0.43</v>
      </c>
      <c r="M46" s="1">
        <v>0.38</v>
      </c>
      <c r="N46" s="1">
        <v>0.35</v>
      </c>
    </row>
    <row r="47" spans="1:14" x14ac:dyDescent="0.3">
      <c r="A47" t="s">
        <v>478</v>
      </c>
      <c r="B47" t="s">
        <v>483</v>
      </c>
      <c r="C47" t="s">
        <v>43</v>
      </c>
      <c r="D47" s="1">
        <v>0.15</v>
      </c>
      <c r="E47" t="s">
        <v>116</v>
      </c>
      <c r="F47" s="1">
        <v>0.2</v>
      </c>
      <c r="G47" t="s">
        <v>24</v>
      </c>
      <c r="H47" s="1">
        <v>0.95</v>
      </c>
      <c r="I47" s="1"/>
      <c r="J47" s="1">
        <v>0.46</v>
      </c>
      <c r="K47" s="1">
        <v>0.46</v>
      </c>
      <c r="L47" s="1">
        <v>0.43</v>
      </c>
      <c r="M47" s="1">
        <v>0.38</v>
      </c>
      <c r="N47" s="1">
        <v>0.35</v>
      </c>
    </row>
    <row r="48" spans="1:14" x14ac:dyDescent="0.3">
      <c r="A48" t="s">
        <v>478</v>
      </c>
      <c r="B48" t="s">
        <v>483</v>
      </c>
      <c r="C48" t="s">
        <v>271</v>
      </c>
      <c r="D48" s="1">
        <v>0.1</v>
      </c>
      <c r="E48" t="s">
        <v>484</v>
      </c>
      <c r="F48" s="1">
        <v>0.3</v>
      </c>
      <c r="G48" t="s">
        <v>56</v>
      </c>
      <c r="H48" s="1">
        <v>0.3</v>
      </c>
      <c r="I48" s="1">
        <f>SUMPRODUCT(H48:H51,F48:F51)*D48</f>
        <v>4.5500000000000006E-2</v>
      </c>
      <c r="J48" s="1">
        <v>0.34</v>
      </c>
      <c r="K48" s="1">
        <v>0.34</v>
      </c>
      <c r="L48" s="1">
        <v>0.31</v>
      </c>
      <c r="M48" s="1">
        <v>0.27</v>
      </c>
      <c r="N48" s="1">
        <v>0.24</v>
      </c>
    </row>
    <row r="49" spans="1:14" x14ac:dyDescent="0.3">
      <c r="A49" t="s">
        <v>478</v>
      </c>
      <c r="B49" t="s">
        <v>483</v>
      </c>
      <c r="C49" t="s">
        <v>271</v>
      </c>
      <c r="D49" s="1">
        <v>0.1</v>
      </c>
      <c r="E49" t="s">
        <v>485</v>
      </c>
      <c r="F49" s="1">
        <v>0.25</v>
      </c>
      <c r="G49" t="s">
        <v>20</v>
      </c>
      <c r="H49" s="1">
        <v>0.6</v>
      </c>
      <c r="I49" s="1"/>
      <c r="J49" s="1">
        <v>0.34</v>
      </c>
      <c r="K49" s="1">
        <v>0.34</v>
      </c>
      <c r="L49" s="1">
        <v>0.31</v>
      </c>
      <c r="M49" s="1">
        <v>0.27</v>
      </c>
      <c r="N49" s="1">
        <v>0.24</v>
      </c>
    </row>
    <row r="50" spans="1:14" x14ac:dyDescent="0.3">
      <c r="A50" t="s">
        <v>478</v>
      </c>
      <c r="B50" t="s">
        <v>483</v>
      </c>
      <c r="C50" t="s">
        <v>271</v>
      </c>
      <c r="D50" s="1">
        <v>0.1</v>
      </c>
      <c r="E50" t="s">
        <v>58</v>
      </c>
      <c r="F50" s="1">
        <v>0.25</v>
      </c>
      <c r="G50" t="s">
        <v>30</v>
      </c>
      <c r="H50" s="1">
        <v>0.1</v>
      </c>
      <c r="I50" s="1"/>
      <c r="J50" s="1">
        <v>0.34</v>
      </c>
      <c r="K50" s="1">
        <v>0.34</v>
      </c>
      <c r="L50" s="1">
        <v>0.31</v>
      </c>
      <c r="M50" s="1">
        <v>0.27</v>
      </c>
      <c r="N50" s="1">
        <v>0.24</v>
      </c>
    </row>
    <row r="51" spans="1:14" x14ac:dyDescent="0.3">
      <c r="A51" t="s">
        <v>478</v>
      </c>
      <c r="B51" t="s">
        <v>483</v>
      </c>
      <c r="C51" t="s">
        <v>271</v>
      </c>
      <c r="D51" s="1">
        <v>0.1</v>
      </c>
      <c r="E51" t="s">
        <v>59</v>
      </c>
      <c r="F51" s="1">
        <v>0.2</v>
      </c>
      <c r="G51" t="s">
        <v>24</v>
      </c>
      <c r="H51" s="1">
        <v>0.95</v>
      </c>
      <c r="I51" s="1"/>
      <c r="J51" s="1">
        <v>0.34</v>
      </c>
      <c r="K51" s="1">
        <v>0.34</v>
      </c>
      <c r="L51" s="1">
        <v>0.31</v>
      </c>
      <c r="M51" s="1">
        <v>0.27</v>
      </c>
      <c r="N51" s="1">
        <v>0.24</v>
      </c>
    </row>
    <row r="52" spans="1:14" x14ac:dyDescent="0.3">
      <c r="D52" s="1"/>
      <c r="F52" s="1"/>
      <c r="H52" s="1"/>
      <c r="I52" s="2">
        <f>SUM(I28:I51)</f>
        <v>0.67275000000000007</v>
      </c>
      <c r="J52" s="2">
        <f>+J32*$D32+J36*$D36+J40*$D40+J44*$D44+J48*$D48+$D28*J28</f>
        <v>0.52600000000000002</v>
      </c>
      <c r="K52" s="2">
        <f t="shared" ref="K52:N52" si="1">+K32*$D32+K36*$D36+K40*$D40+K44*$D44+K48*$D48+$D28*K28</f>
        <v>0.52600000000000002</v>
      </c>
      <c r="L52" s="2">
        <f t="shared" si="1"/>
        <v>0.496</v>
      </c>
      <c r="M52" s="2">
        <f t="shared" si="1"/>
        <v>0.44700000000000001</v>
      </c>
      <c r="N52" s="2">
        <f t="shared" si="1"/>
        <v>0.41700000000000004</v>
      </c>
    </row>
    <row r="53" spans="1:14" x14ac:dyDescent="0.3">
      <c r="D53" s="1"/>
      <c r="F53" s="1"/>
      <c r="H53" s="1"/>
      <c r="I53" s="1"/>
      <c r="J53" s="1"/>
      <c r="K53" s="1"/>
      <c r="L53" s="1"/>
      <c r="M53" s="1"/>
      <c r="N53" s="1"/>
    </row>
    <row r="54" spans="1:14" x14ac:dyDescent="0.3">
      <c r="A54" t="s">
        <v>478</v>
      </c>
      <c r="B54" t="s">
        <v>486</v>
      </c>
      <c r="C54" t="s">
        <v>16</v>
      </c>
      <c r="D54" s="1">
        <v>0.2</v>
      </c>
      <c r="E54" t="s">
        <v>17</v>
      </c>
      <c r="F54" s="1">
        <v>0.3</v>
      </c>
      <c r="G54" t="s">
        <v>18</v>
      </c>
      <c r="H54" s="1">
        <v>0.9</v>
      </c>
      <c r="I54" s="1">
        <f>SUMPRODUCT(H54:H57,F54:F57)*D54</f>
        <v>0.16550000000000004</v>
      </c>
      <c r="J54" s="1">
        <v>0.68</v>
      </c>
      <c r="K54" s="1">
        <v>0.68</v>
      </c>
      <c r="L54" s="1">
        <v>0.65</v>
      </c>
      <c r="M54" s="1">
        <v>0.6</v>
      </c>
      <c r="N54" s="1">
        <v>0.56999999999999995</v>
      </c>
    </row>
    <row r="55" spans="1:14" x14ac:dyDescent="0.3">
      <c r="A55" t="s">
        <v>478</v>
      </c>
      <c r="B55" t="s">
        <v>486</v>
      </c>
      <c r="C55" t="s">
        <v>16</v>
      </c>
      <c r="D55" s="1">
        <v>0.2</v>
      </c>
      <c r="E55" t="s">
        <v>19</v>
      </c>
      <c r="F55" s="1">
        <v>0.25</v>
      </c>
      <c r="G55" t="s">
        <v>20</v>
      </c>
      <c r="H55" s="1">
        <v>0.6</v>
      </c>
      <c r="I55" s="1"/>
      <c r="J55" s="1">
        <v>0.68</v>
      </c>
      <c r="K55" s="1">
        <v>0.68</v>
      </c>
      <c r="L55" s="1">
        <v>0.65</v>
      </c>
      <c r="M55" s="1">
        <v>0.6</v>
      </c>
      <c r="N55" s="1">
        <v>0.56999999999999995</v>
      </c>
    </row>
    <row r="56" spans="1:14" x14ac:dyDescent="0.3">
      <c r="A56" t="s">
        <v>478</v>
      </c>
      <c r="B56" t="s">
        <v>486</v>
      </c>
      <c r="C56" t="s">
        <v>16</v>
      </c>
      <c r="D56" s="1">
        <v>0.2</v>
      </c>
      <c r="E56" t="s">
        <v>21</v>
      </c>
      <c r="F56" s="1">
        <v>0.2</v>
      </c>
      <c r="G56" t="s">
        <v>22</v>
      </c>
      <c r="H56" s="1">
        <v>0.85</v>
      </c>
      <c r="I56" s="1"/>
      <c r="J56" s="1">
        <v>0.68</v>
      </c>
      <c r="K56" s="1">
        <v>0.68</v>
      </c>
      <c r="L56" s="1">
        <v>0.65</v>
      </c>
      <c r="M56" s="1">
        <v>0.6</v>
      </c>
      <c r="N56" s="1">
        <v>0.56999999999999995</v>
      </c>
    </row>
    <row r="57" spans="1:14" x14ac:dyDescent="0.3">
      <c r="A57" t="s">
        <v>478</v>
      </c>
      <c r="B57" t="s">
        <v>486</v>
      </c>
      <c r="C57" t="s">
        <v>16</v>
      </c>
      <c r="D57" s="1">
        <v>0.2</v>
      </c>
      <c r="E57" t="s">
        <v>23</v>
      </c>
      <c r="F57" s="1">
        <v>0.25</v>
      </c>
      <c r="G57" t="s">
        <v>24</v>
      </c>
      <c r="H57" s="1">
        <v>0.95</v>
      </c>
      <c r="I57" s="1"/>
      <c r="J57" s="1">
        <v>0.68</v>
      </c>
      <c r="K57" s="1">
        <v>0.68</v>
      </c>
      <c r="L57" s="1">
        <v>0.65</v>
      </c>
      <c r="M57" s="1">
        <v>0.6</v>
      </c>
      <c r="N57" s="1">
        <v>0.56999999999999995</v>
      </c>
    </row>
    <row r="58" spans="1:14" x14ac:dyDescent="0.3">
      <c r="A58" t="s">
        <v>478</v>
      </c>
      <c r="B58" t="s">
        <v>486</v>
      </c>
      <c r="C58" t="s">
        <v>25</v>
      </c>
      <c r="D58" s="1">
        <v>0.15</v>
      </c>
      <c r="E58" t="s">
        <v>26</v>
      </c>
      <c r="F58" s="1">
        <v>0.25</v>
      </c>
      <c r="G58" t="s">
        <v>18</v>
      </c>
      <c r="H58" s="1">
        <v>0.9</v>
      </c>
      <c r="I58" s="1">
        <f>SUMPRODUCT(H58:H61,F58:F61)*D58</f>
        <v>9.3000000000000013E-2</v>
      </c>
      <c r="J58" s="1">
        <v>0.47</v>
      </c>
      <c r="K58" s="1">
        <v>0.47</v>
      </c>
      <c r="L58" s="1">
        <v>0.44</v>
      </c>
      <c r="M58" s="1">
        <v>0.39</v>
      </c>
      <c r="N58" s="1">
        <v>0.36</v>
      </c>
    </row>
    <row r="59" spans="1:14" x14ac:dyDescent="0.3">
      <c r="A59" t="s">
        <v>478</v>
      </c>
      <c r="B59" t="s">
        <v>486</v>
      </c>
      <c r="C59" t="s">
        <v>25</v>
      </c>
      <c r="D59" s="1">
        <v>0.15</v>
      </c>
      <c r="E59" t="s">
        <v>27</v>
      </c>
      <c r="F59" s="1">
        <v>0.25</v>
      </c>
      <c r="G59" t="s">
        <v>28</v>
      </c>
      <c r="H59" s="1">
        <v>0.7</v>
      </c>
      <c r="I59" s="1"/>
      <c r="J59" s="1">
        <v>0.47</v>
      </c>
      <c r="K59" s="1">
        <v>0.47</v>
      </c>
      <c r="L59" s="1">
        <v>0.44</v>
      </c>
      <c r="M59" s="1">
        <v>0.39</v>
      </c>
      <c r="N59" s="1">
        <v>0.36</v>
      </c>
    </row>
    <row r="60" spans="1:14" x14ac:dyDescent="0.3">
      <c r="A60" t="s">
        <v>478</v>
      </c>
      <c r="B60" t="s">
        <v>486</v>
      </c>
      <c r="C60" t="s">
        <v>25</v>
      </c>
      <c r="D60" s="1">
        <v>0.15</v>
      </c>
      <c r="E60" t="s">
        <v>29</v>
      </c>
      <c r="F60" s="1">
        <v>0.3</v>
      </c>
      <c r="G60" t="s">
        <v>30</v>
      </c>
      <c r="H60" s="1">
        <v>0.1</v>
      </c>
      <c r="I60" s="1"/>
      <c r="J60" s="1">
        <v>0.47</v>
      </c>
      <c r="K60" s="1">
        <v>0.47</v>
      </c>
      <c r="L60" s="1">
        <v>0.44</v>
      </c>
      <c r="M60" s="1">
        <v>0.39</v>
      </c>
      <c r="N60" s="1">
        <v>0.36</v>
      </c>
    </row>
    <row r="61" spans="1:14" x14ac:dyDescent="0.3">
      <c r="A61" t="s">
        <v>478</v>
      </c>
      <c r="B61" t="s">
        <v>486</v>
      </c>
      <c r="C61" t="s">
        <v>25</v>
      </c>
      <c r="D61" s="1">
        <v>0.15</v>
      </c>
      <c r="E61" t="s">
        <v>31</v>
      </c>
      <c r="F61" s="1">
        <v>0.2</v>
      </c>
      <c r="G61" t="s">
        <v>24</v>
      </c>
      <c r="H61" s="1">
        <v>0.95</v>
      </c>
      <c r="I61" s="1"/>
      <c r="J61" s="1">
        <v>0.47</v>
      </c>
      <c r="K61" s="1">
        <v>0.47</v>
      </c>
      <c r="L61" s="1">
        <v>0.44</v>
      </c>
      <c r="M61" s="1">
        <v>0.39</v>
      </c>
      <c r="N61" s="1">
        <v>0.36</v>
      </c>
    </row>
    <row r="62" spans="1:14" x14ac:dyDescent="0.3">
      <c r="A62" t="s">
        <v>478</v>
      </c>
      <c r="B62" t="s">
        <v>486</v>
      </c>
      <c r="C62" t="s">
        <v>37</v>
      </c>
      <c r="D62" s="1">
        <v>0.2</v>
      </c>
      <c r="E62" t="s">
        <v>38</v>
      </c>
      <c r="F62" s="1">
        <v>0.3</v>
      </c>
      <c r="G62" t="s">
        <v>18</v>
      </c>
      <c r="H62" s="1">
        <v>0.9</v>
      </c>
      <c r="I62" s="1">
        <f>SUMPRODUCT(H62:H65,F62:F65)*D62</f>
        <v>0.16200000000000003</v>
      </c>
      <c r="J62" s="1">
        <v>0.68</v>
      </c>
      <c r="K62" s="1">
        <v>0.68</v>
      </c>
      <c r="L62" s="1">
        <v>0.65</v>
      </c>
      <c r="M62" s="1">
        <v>0.6</v>
      </c>
      <c r="N62" s="1">
        <v>0.56999999999999995</v>
      </c>
    </row>
    <row r="63" spans="1:14" x14ac:dyDescent="0.3">
      <c r="A63" t="s">
        <v>478</v>
      </c>
      <c r="B63" t="s">
        <v>486</v>
      </c>
      <c r="C63" t="s">
        <v>37</v>
      </c>
      <c r="D63" s="1">
        <v>0.2</v>
      </c>
      <c r="E63" t="s">
        <v>304</v>
      </c>
      <c r="F63" s="1">
        <v>0.25</v>
      </c>
      <c r="G63" t="s">
        <v>40</v>
      </c>
      <c r="H63" s="1">
        <v>0.7</v>
      </c>
      <c r="I63" s="1"/>
      <c r="J63" s="1">
        <v>0.68</v>
      </c>
      <c r="K63" s="1">
        <v>0.68</v>
      </c>
      <c r="L63" s="1">
        <v>0.65</v>
      </c>
      <c r="M63" s="1">
        <v>0.6</v>
      </c>
      <c r="N63" s="1">
        <v>0.56999999999999995</v>
      </c>
    </row>
    <row r="64" spans="1:14" x14ac:dyDescent="0.3">
      <c r="A64" t="s">
        <v>478</v>
      </c>
      <c r="B64" t="s">
        <v>486</v>
      </c>
      <c r="C64" t="s">
        <v>37</v>
      </c>
      <c r="D64" s="1">
        <v>0.2</v>
      </c>
      <c r="E64" t="s">
        <v>41</v>
      </c>
      <c r="F64" s="1">
        <v>0.25</v>
      </c>
      <c r="G64" t="s">
        <v>28</v>
      </c>
      <c r="H64" s="1">
        <v>0.7</v>
      </c>
      <c r="I64" s="1"/>
      <c r="J64" s="1">
        <v>0.68</v>
      </c>
      <c r="K64" s="1">
        <v>0.68</v>
      </c>
      <c r="L64" s="1">
        <v>0.65</v>
      </c>
      <c r="M64" s="1">
        <v>0.6</v>
      </c>
      <c r="N64" s="1">
        <v>0.56999999999999995</v>
      </c>
    </row>
    <row r="65" spans="1:14" x14ac:dyDescent="0.3">
      <c r="A65" t="s">
        <v>478</v>
      </c>
      <c r="B65" t="s">
        <v>486</v>
      </c>
      <c r="C65" t="s">
        <v>37</v>
      </c>
      <c r="D65" s="1">
        <v>0.2</v>
      </c>
      <c r="E65" t="s">
        <v>42</v>
      </c>
      <c r="F65" s="1">
        <v>0.2</v>
      </c>
      <c r="G65" t="s">
        <v>24</v>
      </c>
      <c r="H65" s="1">
        <v>0.95</v>
      </c>
      <c r="I65" s="1"/>
      <c r="J65" s="1">
        <v>0.68</v>
      </c>
      <c r="K65" s="1">
        <v>0.68</v>
      </c>
      <c r="L65" s="1">
        <v>0.65</v>
      </c>
      <c r="M65" s="1">
        <v>0.6</v>
      </c>
      <c r="N65" s="1">
        <v>0.56999999999999995</v>
      </c>
    </row>
    <row r="66" spans="1:14" x14ac:dyDescent="0.3">
      <c r="A66" t="s">
        <v>478</v>
      </c>
      <c r="B66" t="s">
        <v>486</v>
      </c>
      <c r="C66" t="s">
        <v>151</v>
      </c>
      <c r="D66" s="1">
        <v>0.2</v>
      </c>
      <c r="E66" t="s">
        <v>487</v>
      </c>
      <c r="F66" s="1">
        <v>0.25</v>
      </c>
      <c r="G66" t="s">
        <v>40</v>
      </c>
      <c r="H66" s="1">
        <v>0.7</v>
      </c>
      <c r="I66" s="1">
        <f>SUMPRODUCT(H66:H69,F66:F69)*D66</f>
        <v>0.11749999999999999</v>
      </c>
      <c r="J66" s="1">
        <v>0.45</v>
      </c>
      <c r="K66" s="1">
        <v>0.45</v>
      </c>
      <c r="L66" s="1">
        <v>0.42</v>
      </c>
      <c r="M66" s="1">
        <v>0.37</v>
      </c>
      <c r="N66" s="1">
        <v>0.34</v>
      </c>
    </row>
    <row r="67" spans="1:14" x14ac:dyDescent="0.3">
      <c r="A67" t="s">
        <v>478</v>
      </c>
      <c r="B67" t="s">
        <v>486</v>
      </c>
      <c r="C67" t="s">
        <v>151</v>
      </c>
      <c r="D67" s="1">
        <v>0.2</v>
      </c>
      <c r="E67" t="s">
        <v>50</v>
      </c>
      <c r="F67" s="1">
        <v>0.25</v>
      </c>
      <c r="G67" t="s">
        <v>20</v>
      </c>
      <c r="H67" s="1">
        <v>0.6</v>
      </c>
      <c r="I67" s="1"/>
      <c r="J67" s="1">
        <v>0.45</v>
      </c>
      <c r="K67" s="1">
        <v>0.45</v>
      </c>
      <c r="L67" s="1">
        <v>0.42</v>
      </c>
      <c r="M67" s="1">
        <v>0.37</v>
      </c>
      <c r="N67" s="1">
        <v>0.34</v>
      </c>
    </row>
    <row r="68" spans="1:14" x14ac:dyDescent="0.3">
      <c r="A68" t="s">
        <v>478</v>
      </c>
      <c r="B68" t="s">
        <v>486</v>
      </c>
      <c r="C68" t="s">
        <v>151</v>
      </c>
      <c r="D68" s="1">
        <v>0.2</v>
      </c>
      <c r="E68" t="s">
        <v>210</v>
      </c>
      <c r="F68" s="1">
        <v>0.25</v>
      </c>
      <c r="G68" t="s">
        <v>30</v>
      </c>
      <c r="H68" s="1">
        <v>0.1</v>
      </c>
      <c r="I68" s="1"/>
      <c r="J68" s="1">
        <v>0.45</v>
      </c>
      <c r="K68" s="1">
        <v>0.45</v>
      </c>
      <c r="L68" s="1">
        <v>0.42</v>
      </c>
      <c r="M68" s="1">
        <v>0.37</v>
      </c>
      <c r="N68" s="1">
        <v>0.34</v>
      </c>
    </row>
    <row r="69" spans="1:14" x14ac:dyDescent="0.3">
      <c r="A69" t="s">
        <v>478</v>
      </c>
      <c r="B69" t="s">
        <v>486</v>
      </c>
      <c r="C69" t="s">
        <v>151</v>
      </c>
      <c r="D69" s="1">
        <v>0.2</v>
      </c>
      <c r="E69" t="s">
        <v>53</v>
      </c>
      <c r="F69" s="1">
        <v>0.25</v>
      </c>
      <c r="G69" t="s">
        <v>24</v>
      </c>
      <c r="H69" s="1">
        <v>0.95</v>
      </c>
      <c r="I69" s="1"/>
      <c r="J69" s="1">
        <v>0.45</v>
      </c>
      <c r="K69" s="1">
        <v>0.45</v>
      </c>
      <c r="L69" s="1">
        <v>0.42</v>
      </c>
      <c r="M69" s="1">
        <v>0.37</v>
      </c>
      <c r="N69" s="1">
        <v>0.34</v>
      </c>
    </row>
    <row r="70" spans="1:14" x14ac:dyDescent="0.3">
      <c r="A70" t="s">
        <v>478</v>
      </c>
      <c r="B70" t="s">
        <v>486</v>
      </c>
      <c r="C70" t="s">
        <v>43</v>
      </c>
      <c r="D70" s="1">
        <v>0.15</v>
      </c>
      <c r="E70" t="s">
        <v>308</v>
      </c>
      <c r="F70" s="1">
        <v>0.25</v>
      </c>
      <c r="G70" t="s">
        <v>18</v>
      </c>
      <c r="H70" s="1">
        <v>0.9</v>
      </c>
      <c r="I70" s="1">
        <f>SUMPRODUCT(H70:H73,F70:F73)*D70</f>
        <v>8.9249999999999996E-2</v>
      </c>
      <c r="J70" s="1">
        <v>0.47</v>
      </c>
      <c r="K70" s="1">
        <v>0.47</v>
      </c>
      <c r="L70" s="1">
        <v>0.44</v>
      </c>
      <c r="M70" s="1">
        <v>0.39</v>
      </c>
      <c r="N70" s="1">
        <v>0.36</v>
      </c>
    </row>
    <row r="71" spans="1:14" x14ac:dyDescent="0.3">
      <c r="A71" t="s">
        <v>478</v>
      </c>
      <c r="B71" t="s">
        <v>486</v>
      </c>
      <c r="C71" t="s">
        <v>43</v>
      </c>
      <c r="D71" s="1">
        <v>0.15</v>
      </c>
      <c r="E71" t="s">
        <v>403</v>
      </c>
      <c r="F71" s="1">
        <v>0.25</v>
      </c>
      <c r="G71" t="s">
        <v>20</v>
      </c>
      <c r="H71" s="1">
        <v>0.6</v>
      </c>
      <c r="I71" s="1"/>
      <c r="J71" s="1">
        <v>0.47</v>
      </c>
      <c r="K71" s="1">
        <v>0.47</v>
      </c>
      <c r="L71" s="1">
        <v>0.44</v>
      </c>
      <c r="M71" s="1">
        <v>0.39</v>
      </c>
      <c r="N71" s="1">
        <v>0.36</v>
      </c>
    </row>
    <row r="72" spans="1:14" x14ac:dyDescent="0.3">
      <c r="A72" t="s">
        <v>478</v>
      </c>
      <c r="B72" t="s">
        <v>486</v>
      </c>
      <c r="C72" t="s">
        <v>43</v>
      </c>
      <c r="D72" s="1">
        <v>0.15</v>
      </c>
      <c r="E72" t="s">
        <v>46</v>
      </c>
      <c r="F72" s="1">
        <v>0.3</v>
      </c>
      <c r="G72" t="s">
        <v>30</v>
      </c>
      <c r="H72" s="1">
        <v>0.1</v>
      </c>
      <c r="I72" s="1"/>
      <c r="J72" s="1">
        <v>0.47</v>
      </c>
      <c r="K72" s="1">
        <v>0.47</v>
      </c>
      <c r="L72" s="1">
        <v>0.44</v>
      </c>
      <c r="M72" s="1">
        <v>0.39</v>
      </c>
      <c r="N72" s="1">
        <v>0.36</v>
      </c>
    </row>
    <row r="73" spans="1:14" x14ac:dyDescent="0.3">
      <c r="A73" t="s">
        <v>478</v>
      </c>
      <c r="B73" t="s">
        <v>486</v>
      </c>
      <c r="C73" t="s">
        <v>43</v>
      </c>
      <c r="D73" s="1">
        <v>0.15</v>
      </c>
      <c r="E73" t="s">
        <v>116</v>
      </c>
      <c r="F73" s="1">
        <v>0.2</v>
      </c>
      <c r="G73" t="s">
        <v>24</v>
      </c>
      <c r="H73" s="1">
        <v>0.95</v>
      </c>
      <c r="I73" s="1"/>
      <c r="J73" s="1">
        <v>0.47</v>
      </c>
      <c r="K73" s="1">
        <v>0.47</v>
      </c>
      <c r="L73" s="1">
        <v>0.44</v>
      </c>
      <c r="M73" s="1">
        <v>0.39</v>
      </c>
      <c r="N73" s="1">
        <v>0.36</v>
      </c>
    </row>
    <row r="74" spans="1:14" x14ac:dyDescent="0.3">
      <c r="A74" t="s">
        <v>478</v>
      </c>
      <c r="B74" t="s">
        <v>486</v>
      </c>
      <c r="C74" t="s">
        <v>271</v>
      </c>
      <c r="D74" s="1">
        <v>0.1</v>
      </c>
      <c r="E74" t="s">
        <v>457</v>
      </c>
      <c r="F74" s="1">
        <v>0.3</v>
      </c>
      <c r="G74" t="s">
        <v>56</v>
      </c>
      <c r="H74" s="1">
        <v>0.3</v>
      </c>
      <c r="I74" s="1">
        <f>SUMPRODUCT(H74:H77,F74:F77)*D74</f>
        <v>4.5500000000000006E-2</v>
      </c>
      <c r="J74" s="1">
        <v>0.35</v>
      </c>
      <c r="K74" s="1">
        <v>0.35</v>
      </c>
      <c r="L74" s="1">
        <v>0.32</v>
      </c>
      <c r="M74" s="1">
        <v>0.28000000000000003</v>
      </c>
      <c r="N74" s="1">
        <v>0.25</v>
      </c>
    </row>
    <row r="75" spans="1:14" x14ac:dyDescent="0.3">
      <c r="A75" t="s">
        <v>478</v>
      </c>
      <c r="B75" t="s">
        <v>486</v>
      </c>
      <c r="C75" t="s">
        <v>271</v>
      </c>
      <c r="D75" s="1">
        <v>0.1</v>
      </c>
      <c r="E75" t="s">
        <v>458</v>
      </c>
      <c r="F75" s="1">
        <v>0.25</v>
      </c>
      <c r="G75" t="s">
        <v>20</v>
      </c>
      <c r="H75" s="1">
        <v>0.6</v>
      </c>
      <c r="I75" s="1"/>
      <c r="J75" s="1">
        <v>0.35</v>
      </c>
      <c r="K75" s="1">
        <v>0.35</v>
      </c>
      <c r="L75" s="1">
        <v>0.32</v>
      </c>
      <c r="M75" s="1">
        <v>0.28000000000000003</v>
      </c>
      <c r="N75" s="1">
        <v>0.25</v>
      </c>
    </row>
    <row r="76" spans="1:14" x14ac:dyDescent="0.3">
      <c r="A76" t="s">
        <v>478</v>
      </c>
      <c r="B76" t="s">
        <v>486</v>
      </c>
      <c r="C76" t="s">
        <v>271</v>
      </c>
      <c r="D76" s="1">
        <v>0.1</v>
      </c>
      <c r="E76" t="s">
        <v>58</v>
      </c>
      <c r="F76" s="1">
        <v>0.25</v>
      </c>
      <c r="G76" t="s">
        <v>30</v>
      </c>
      <c r="H76" s="1">
        <v>0.1</v>
      </c>
      <c r="I76" s="1"/>
      <c r="J76" s="1">
        <v>0.35</v>
      </c>
      <c r="K76" s="1">
        <v>0.35</v>
      </c>
      <c r="L76" s="1">
        <v>0.32</v>
      </c>
      <c r="M76" s="1">
        <v>0.28000000000000003</v>
      </c>
      <c r="N76" s="1">
        <v>0.25</v>
      </c>
    </row>
    <row r="77" spans="1:14" x14ac:dyDescent="0.3">
      <c r="A77" t="s">
        <v>478</v>
      </c>
      <c r="B77" t="s">
        <v>486</v>
      </c>
      <c r="C77" t="s">
        <v>271</v>
      </c>
      <c r="D77" s="1">
        <v>0.1</v>
      </c>
      <c r="E77" t="s">
        <v>59</v>
      </c>
      <c r="F77" s="1">
        <v>0.2</v>
      </c>
      <c r="G77" t="s">
        <v>24</v>
      </c>
      <c r="H77" s="1">
        <v>0.95</v>
      </c>
      <c r="I77" s="1"/>
      <c r="J77" s="1">
        <v>0.35</v>
      </c>
      <c r="K77" s="1">
        <v>0.35</v>
      </c>
      <c r="L77" s="1">
        <v>0.32</v>
      </c>
      <c r="M77" s="1">
        <v>0.28000000000000003</v>
      </c>
      <c r="N77" s="1">
        <v>0.25</v>
      </c>
    </row>
    <row r="78" spans="1:14" x14ac:dyDescent="0.3">
      <c r="D78" s="1"/>
      <c r="F78" s="1"/>
      <c r="H78" s="1"/>
      <c r="I78" s="2">
        <f>SUM(I54:I77)</f>
        <v>0.67275000000000007</v>
      </c>
      <c r="J78" s="2">
        <f>+J58*$D58+J62*$D62+J66*$D66+J70*$D70+J74*$D74+$D54*J54</f>
        <v>0.53800000000000003</v>
      </c>
      <c r="K78" s="2">
        <f t="shared" ref="K78:N78" si="2">+K58*$D58+K62*$D62+K66*$D66+K70*$D70+K74*$D74+$D54*K54</f>
        <v>0.53800000000000003</v>
      </c>
      <c r="L78" s="2">
        <f t="shared" si="2"/>
        <v>0.50800000000000001</v>
      </c>
      <c r="M78" s="2">
        <f t="shared" si="2"/>
        <v>0.45900000000000002</v>
      </c>
      <c r="N78" s="2">
        <f t="shared" si="2"/>
        <v>0.42899999999999999</v>
      </c>
    </row>
    <row r="79" spans="1:14" x14ac:dyDescent="0.3">
      <c r="D79" s="1"/>
      <c r="F79" s="1"/>
      <c r="H79" s="1"/>
      <c r="I79" s="1"/>
      <c r="J79" s="1"/>
      <c r="K79" s="1"/>
      <c r="L79" s="1"/>
      <c r="M79" s="1"/>
      <c r="N79" s="1"/>
    </row>
    <row r="80" spans="1:14" x14ac:dyDescent="0.3">
      <c r="A80" t="s">
        <v>478</v>
      </c>
      <c r="B80" t="s">
        <v>488</v>
      </c>
      <c r="C80" t="s">
        <v>16</v>
      </c>
      <c r="D80" s="1">
        <v>0.2</v>
      </c>
      <c r="E80" t="s">
        <v>17</v>
      </c>
      <c r="F80" s="1">
        <v>0.3</v>
      </c>
      <c r="G80" t="s">
        <v>18</v>
      </c>
      <c r="H80" s="1">
        <v>0.9</v>
      </c>
      <c r="I80" s="1">
        <f>SUMPRODUCT(H80:H83,F80:F83)*D80</f>
        <v>0.16550000000000004</v>
      </c>
      <c r="J80" s="1">
        <v>0.65</v>
      </c>
      <c r="K80" s="1">
        <v>0.65</v>
      </c>
      <c r="L80" s="1">
        <v>0.62</v>
      </c>
      <c r="M80" s="1">
        <v>0.56999999999999995</v>
      </c>
      <c r="N80" s="1">
        <v>0.53</v>
      </c>
    </row>
    <row r="81" spans="1:14" x14ac:dyDescent="0.3">
      <c r="A81" t="s">
        <v>478</v>
      </c>
      <c r="B81" t="s">
        <v>488</v>
      </c>
      <c r="C81" t="s">
        <v>16</v>
      </c>
      <c r="D81" s="1">
        <v>0.2</v>
      </c>
      <c r="E81" t="s">
        <v>19</v>
      </c>
      <c r="F81" s="1">
        <v>0.25</v>
      </c>
      <c r="G81" t="s">
        <v>20</v>
      </c>
      <c r="H81" s="1">
        <v>0.6</v>
      </c>
      <c r="I81" s="1"/>
      <c r="J81" s="1">
        <v>0.65</v>
      </c>
      <c r="K81" s="1">
        <v>0.65</v>
      </c>
      <c r="L81" s="1">
        <v>0.62</v>
      </c>
      <c r="M81" s="1">
        <v>0.56999999999999995</v>
      </c>
      <c r="N81" s="1">
        <v>0.53</v>
      </c>
    </row>
    <row r="82" spans="1:14" x14ac:dyDescent="0.3">
      <c r="A82" t="s">
        <v>478</v>
      </c>
      <c r="B82" t="s">
        <v>488</v>
      </c>
      <c r="C82" t="s">
        <v>16</v>
      </c>
      <c r="D82" s="1">
        <v>0.2</v>
      </c>
      <c r="E82" t="s">
        <v>21</v>
      </c>
      <c r="F82" s="1">
        <v>0.2</v>
      </c>
      <c r="G82" t="s">
        <v>22</v>
      </c>
      <c r="H82" s="1">
        <v>0.85</v>
      </c>
      <c r="I82" s="1"/>
      <c r="J82" s="1">
        <v>0.65</v>
      </c>
      <c r="K82" s="1">
        <v>0.65</v>
      </c>
      <c r="L82" s="1">
        <v>0.62</v>
      </c>
      <c r="M82" s="1">
        <v>0.56999999999999995</v>
      </c>
      <c r="N82" s="1">
        <v>0.53</v>
      </c>
    </row>
    <row r="83" spans="1:14" x14ac:dyDescent="0.3">
      <c r="A83" t="s">
        <v>478</v>
      </c>
      <c r="B83" t="s">
        <v>488</v>
      </c>
      <c r="C83" t="s">
        <v>16</v>
      </c>
      <c r="D83" s="1">
        <v>0.2</v>
      </c>
      <c r="E83" t="s">
        <v>23</v>
      </c>
      <c r="F83" s="1">
        <v>0.25</v>
      </c>
      <c r="G83" t="s">
        <v>24</v>
      </c>
      <c r="H83" s="1">
        <v>0.95</v>
      </c>
      <c r="I83" s="1"/>
      <c r="J83" s="1">
        <v>0.65</v>
      </c>
      <c r="K83" s="1">
        <v>0.65</v>
      </c>
      <c r="L83" s="1">
        <v>0.62</v>
      </c>
      <c r="M83" s="1">
        <v>0.56999999999999995</v>
      </c>
      <c r="N83" s="1">
        <v>0.53</v>
      </c>
    </row>
    <row r="84" spans="1:14" x14ac:dyDescent="0.3">
      <c r="A84" t="s">
        <v>478</v>
      </c>
      <c r="B84" t="s">
        <v>488</v>
      </c>
      <c r="C84" t="s">
        <v>25</v>
      </c>
      <c r="D84" s="1">
        <v>0.15</v>
      </c>
      <c r="E84" t="s">
        <v>26</v>
      </c>
      <c r="F84" s="1">
        <v>0.25</v>
      </c>
      <c r="G84" t="s">
        <v>18</v>
      </c>
      <c r="H84" s="1">
        <v>0.9</v>
      </c>
      <c r="I84" s="1">
        <f>SUMPRODUCT(H84:H87,F84:F87)*D84</f>
        <v>9.3000000000000013E-2</v>
      </c>
      <c r="J84" s="1">
        <v>0.45</v>
      </c>
      <c r="K84" s="1">
        <v>0.45</v>
      </c>
      <c r="L84" s="1">
        <v>0.42</v>
      </c>
      <c r="M84" s="1">
        <v>0.37</v>
      </c>
      <c r="N84" s="1">
        <v>0.33</v>
      </c>
    </row>
    <row r="85" spans="1:14" x14ac:dyDescent="0.3">
      <c r="A85" t="s">
        <v>478</v>
      </c>
      <c r="B85" t="s">
        <v>488</v>
      </c>
      <c r="C85" t="s">
        <v>25</v>
      </c>
      <c r="D85" s="1">
        <v>0.15</v>
      </c>
      <c r="E85" t="s">
        <v>27</v>
      </c>
      <c r="F85" s="1">
        <v>0.25</v>
      </c>
      <c r="G85" t="s">
        <v>28</v>
      </c>
      <c r="H85" s="1">
        <v>0.7</v>
      </c>
      <c r="I85" s="1"/>
      <c r="J85" s="1">
        <v>0.45</v>
      </c>
      <c r="K85" s="1">
        <v>0.45</v>
      </c>
      <c r="L85" s="1">
        <v>0.42</v>
      </c>
      <c r="M85" s="1">
        <v>0.37</v>
      </c>
      <c r="N85" s="1">
        <v>0.33</v>
      </c>
    </row>
    <row r="86" spans="1:14" x14ac:dyDescent="0.3">
      <c r="A86" t="s">
        <v>478</v>
      </c>
      <c r="B86" t="s">
        <v>488</v>
      </c>
      <c r="C86" t="s">
        <v>25</v>
      </c>
      <c r="D86" s="1">
        <v>0.15</v>
      </c>
      <c r="E86" t="s">
        <v>29</v>
      </c>
      <c r="F86" s="1">
        <v>0.3</v>
      </c>
      <c r="G86" t="s">
        <v>30</v>
      </c>
      <c r="H86" s="1">
        <v>0.1</v>
      </c>
      <c r="I86" s="1"/>
      <c r="J86" s="1">
        <v>0.45</v>
      </c>
      <c r="K86" s="1">
        <v>0.45</v>
      </c>
      <c r="L86" s="1">
        <v>0.42</v>
      </c>
      <c r="M86" s="1">
        <v>0.37</v>
      </c>
      <c r="N86" s="1">
        <v>0.33</v>
      </c>
    </row>
    <row r="87" spans="1:14" x14ac:dyDescent="0.3">
      <c r="A87" t="s">
        <v>478</v>
      </c>
      <c r="B87" t="s">
        <v>488</v>
      </c>
      <c r="C87" t="s">
        <v>25</v>
      </c>
      <c r="D87" s="1">
        <v>0.15</v>
      </c>
      <c r="E87" t="s">
        <v>31</v>
      </c>
      <c r="F87" s="1">
        <v>0.2</v>
      </c>
      <c r="G87" t="s">
        <v>24</v>
      </c>
      <c r="H87" s="1">
        <v>0.95</v>
      </c>
      <c r="I87" s="1"/>
      <c r="J87" s="1">
        <v>0.45</v>
      </c>
      <c r="K87" s="1">
        <v>0.45</v>
      </c>
      <c r="L87" s="1">
        <v>0.42</v>
      </c>
      <c r="M87" s="1">
        <v>0.37</v>
      </c>
      <c r="N87" s="1">
        <v>0.33</v>
      </c>
    </row>
    <row r="88" spans="1:14" x14ac:dyDescent="0.3">
      <c r="A88" t="s">
        <v>478</v>
      </c>
      <c r="B88" t="s">
        <v>488</v>
      </c>
      <c r="C88" t="s">
        <v>37</v>
      </c>
      <c r="D88" s="1">
        <v>0.15</v>
      </c>
      <c r="E88" t="s">
        <v>38</v>
      </c>
      <c r="F88" s="1">
        <v>0.3</v>
      </c>
      <c r="G88" t="s">
        <v>18</v>
      </c>
      <c r="H88" s="1">
        <v>0.9</v>
      </c>
      <c r="I88" s="1">
        <f>SUMPRODUCT(H88:H91,F88:F91)*D88</f>
        <v>0.1215</v>
      </c>
      <c r="J88" s="1">
        <v>0.64</v>
      </c>
      <c r="K88" s="1">
        <v>0.64</v>
      </c>
      <c r="L88" s="1">
        <v>0.61</v>
      </c>
      <c r="M88" s="1">
        <v>0.56000000000000005</v>
      </c>
      <c r="N88" s="1">
        <v>0.52</v>
      </c>
    </row>
    <row r="89" spans="1:14" x14ac:dyDescent="0.3">
      <c r="A89" t="s">
        <v>478</v>
      </c>
      <c r="B89" t="s">
        <v>488</v>
      </c>
      <c r="C89" t="s">
        <v>37</v>
      </c>
      <c r="D89" s="1">
        <v>0.15</v>
      </c>
      <c r="E89" t="s">
        <v>304</v>
      </c>
      <c r="F89" s="1">
        <v>0.25</v>
      </c>
      <c r="G89" t="s">
        <v>40</v>
      </c>
      <c r="H89" s="1">
        <v>0.7</v>
      </c>
      <c r="I89" s="1"/>
      <c r="J89" s="1">
        <v>0.64</v>
      </c>
      <c r="K89" s="1">
        <v>0.64</v>
      </c>
      <c r="L89" s="1">
        <v>0.61</v>
      </c>
      <c r="M89" s="1">
        <v>0.56000000000000005</v>
      </c>
      <c r="N89" s="1">
        <v>0.52</v>
      </c>
    </row>
    <row r="90" spans="1:14" x14ac:dyDescent="0.3">
      <c r="A90" t="s">
        <v>478</v>
      </c>
      <c r="B90" t="s">
        <v>488</v>
      </c>
      <c r="C90" t="s">
        <v>37</v>
      </c>
      <c r="D90" s="1">
        <v>0.15</v>
      </c>
      <c r="E90" t="s">
        <v>41</v>
      </c>
      <c r="F90" s="1">
        <v>0.25</v>
      </c>
      <c r="G90" t="s">
        <v>28</v>
      </c>
      <c r="H90" s="1">
        <v>0.7</v>
      </c>
      <c r="I90" s="1"/>
      <c r="J90" s="1">
        <v>0.64</v>
      </c>
      <c r="K90" s="1">
        <v>0.64</v>
      </c>
      <c r="L90" s="1">
        <v>0.61</v>
      </c>
      <c r="M90" s="1">
        <v>0.56000000000000005</v>
      </c>
      <c r="N90" s="1">
        <v>0.52</v>
      </c>
    </row>
    <row r="91" spans="1:14" x14ac:dyDescent="0.3">
      <c r="A91" t="s">
        <v>478</v>
      </c>
      <c r="B91" t="s">
        <v>488</v>
      </c>
      <c r="C91" t="s">
        <v>37</v>
      </c>
      <c r="D91" s="1">
        <v>0.15</v>
      </c>
      <c r="E91" t="s">
        <v>42</v>
      </c>
      <c r="F91" s="1">
        <v>0.2</v>
      </c>
      <c r="G91" t="s">
        <v>24</v>
      </c>
      <c r="H91" s="1">
        <v>0.95</v>
      </c>
      <c r="I91" s="1"/>
      <c r="J91" s="1">
        <v>0.64</v>
      </c>
      <c r="K91" s="1">
        <v>0.64</v>
      </c>
      <c r="L91" s="1">
        <v>0.61</v>
      </c>
      <c r="M91" s="1">
        <v>0.56000000000000005</v>
      </c>
      <c r="N91" s="1">
        <v>0.52</v>
      </c>
    </row>
    <row r="92" spans="1:14" x14ac:dyDescent="0.3">
      <c r="A92" t="s">
        <v>478</v>
      </c>
      <c r="B92" t="s">
        <v>488</v>
      </c>
      <c r="C92" t="s">
        <v>151</v>
      </c>
      <c r="D92" s="1">
        <v>0.2</v>
      </c>
      <c r="E92" t="s">
        <v>489</v>
      </c>
      <c r="F92" s="1">
        <v>0.25</v>
      </c>
      <c r="G92" t="s">
        <v>40</v>
      </c>
      <c r="H92" s="1">
        <v>0.7</v>
      </c>
      <c r="I92" s="1">
        <f>SUMPRODUCT(H92:H95,F92:F95)*D92</f>
        <v>0.11749999999999999</v>
      </c>
      <c r="J92" s="1">
        <v>0.43</v>
      </c>
      <c r="K92" s="1">
        <v>0.43</v>
      </c>
      <c r="L92" s="1">
        <v>0.4</v>
      </c>
      <c r="M92" s="1">
        <v>0.35</v>
      </c>
      <c r="N92" s="1">
        <v>0.31</v>
      </c>
    </row>
    <row r="93" spans="1:14" x14ac:dyDescent="0.3">
      <c r="A93" t="s">
        <v>478</v>
      </c>
      <c r="B93" t="s">
        <v>488</v>
      </c>
      <c r="C93" t="s">
        <v>151</v>
      </c>
      <c r="D93" s="1">
        <v>0.2</v>
      </c>
      <c r="E93" t="s">
        <v>50</v>
      </c>
      <c r="F93" s="1">
        <v>0.25</v>
      </c>
      <c r="G93" t="s">
        <v>20</v>
      </c>
      <c r="H93" s="1">
        <v>0.6</v>
      </c>
      <c r="I93" s="1"/>
      <c r="J93" s="1">
        <v>0.43</v>
      </c>
      <c r="K93" s="1">
        <v>0.43</v>
      </c>
      <c r="L93" s="1">
        <v>0.4</v>
      </c>
      <c r="M93" s="1">
        <v>0.35</v>
      </c>
      <c r="N93" s="1">
        <v>0.31</v>
      </c>
    </row>
    <row r="94" spans="1:14" x14ac:dyDescent="0.3">
      <c r="A94" t="s">
        <v>478</v>
      </c>
      <c r="B94" t="s">
        <v>488</v>
      </c>
      <c r="C94" t="s">
        <v>151</v>
      </c>
      <c r="D94" s="1">
        <v>0.2</v>
      </c>
      <c r="E94" t="s">
        <v>210</v>
      </c>
      <c r="F94" s="1">
        <v>0.25</v>
      </c>
      <c r="G94" t="s">
        <v>30</v>
      </c>
      <c r="H94" s="1">
        <v>0.1</v>
      </c>
      <c r="I94" s="1"/>
      <c r="J94" s="1">
        <v>0.43</v>
      </c>
      <c r="K94" s="1">
        <v>0.43</v>
      </c>
      <c r="L94" s="1">
        <v>0.4</v>
      </c>
      <c r="M94" s="1">
        <v>0.35</v>
      </c>
      <c r="N94" s="1">
        <v>0.31</v>
      </c>
    </row>
    <row r="95" spans="1:14" x14ac:dyDescent="0.3">
      <c r="A95" t="s">
        <v>478</v>
      </c>
      <c r="B95" t="s">
        <v>488</v>
      </c>
      <c r="C95" t="s">
        <v>151</v>
      </c>
      <c r="D95" s="1">
        <v>0.2</v>
      </c>
      <c r="E95" t="s">
        <v>53</v>
      </c>
      <c r="F95" s="1">
        <v>0.25</v>
      </c>
      <c r="G95" t="s">
        <v>24</v>
      </c>
      <c r="H95" s="1">
        <v>0.95</v>
      </c>
      <c r="I95" s="1"/>
      <c r="J95" s="1">
        <v>0.43</v>
      </c>
      <c r="K95" s="1">
        <v>0.43</v>
      </c>
      <c r="L95" s="1">
        <v>0.4</v>
      </c>
      <c r="M95" s="1">
        <v>0.35</v>
      </c>
      <c r="N95" s="1">
        <v>0.31</v>
      </c>
    </row>
    <row r="96" spans="1:14" x14ac:dyDescent="0.3">
      <c r="A96" t="s">
        <v>478</v>
      </c>
      <c r="B96" t="s">
        <v>488</v>
      </c>
      <c r="C96" t="s">
        <v>43</v>
      </c>
      <c r="D96" s="1">
        <v>0.2</v>
      </c>
      <c r="E96" t="s">
        <v>308</v>
      </c>
      <c r="F96" s="1">
        <v>0.25</v>
      </c>
      <c r="G96" t="s">
        <v>18</v>
      </c>
      <c r="H96" s="1">
        <v>0.9</v>
      </c>
      <c r="I96" s="1">
        <f>SUMPRODUCT(H96:H99,F96:F99)*D96</f>
        <v>0.11899999999999999</v>
      </c>
      <c r="J96" s="1">
        <v>0.45</v>
      </c>
      <c r="K96" s="1">
        <v>0.45</v>
      </c>
      <c r="L96" s="1">
        <v>0.42</v>
      </c>
      <c r="M96" s="1">
        <v>0.37</v>
      </c>
      <c r="N96" s="1">
        <v>0.33</v>
      </c>
    </row>
    <row r="97" spans="1:14" x14ac:dyDescent="0.3">
      <c r="A97" t="s">
        <v>478</v>
      </c>
      <c r="B97" t="s">
        <v>488</v>
      </c>
      <c r="C97" t="s">
        <v>43</v>
      </c>
      <c r="D97" s="1">
        <v>0.2</v>
      </c>
      <c r="E97" t="s">
        <v>403</v>
      </c>
      <c r="F97" s="1">
        <v>0.25</v>
      </c>
      <c r="G97" t="s">
        <v>20</v>
      </c>
      <c r="H97" s="1">
        <v>0.6</v>
      </c>
      <c r="I97" s="1"/>
      <c r="J97" s="1">
        <v>0.45</v>
      </c>
      <c r="K97" s="1">
        <v>0.45</v>
      </c>
      <c r="L97" s="1">
        <v>0.42</v>
      </c>
      <c r="M97" s="1">
        <v>0.37</v>
      </c>
      <c r="N97" s="1">
        <v>0.33</v>
      </c>
    </row>
    <row r="98" spans="1:14" x14ac:dyDescent="0.3">
      <c r="A98" t="s">
        <v>478</v>
      </c>
      <c r="B98" t="s">
        <v>488</v>
      </c>
      <c r="C98" t="s">
        <v>43</v>
      </c>
      <c r="D98" s="1">
        <v>0.2</v>
      </c>
      <c r="E98" t="s">
        <v>46</v>
      </c>
      <c r="F98" s="1">
        <v>0.3</v>
      </c>
      <c r="G98" t="s">
        <v>30</v>
      </c>
      <c r="H98" s="1">
        <v>0.1</v>
      </c>
      <c r="I98" s="1"/>
      <c r="J98" s="1">
        <v>0.45</v>
      </c>
      <c r="K98" s="1">
        <v>0.45</v>
      </c>
      <c r="L98" s="1">
        <v>0.42</v>
      </c>
      <c r="M98" s="1">
        <v>0.37</v>
      </c>
      <c r="N98" s="1">
        <v>0.33</v>
      </c>
    </row>
    <row r="99" spans="1:14" x14ac:dyDescent="0.3">
      <c r="A99" t="s">
        <v>478</v>
      </c>
      <c r="B99" t="s">
        <v>488</v>
      </c>
      <c r="C99" t="s">
        <v>43</v>
      </c>
      <c r="D99" s="1">
        <v>0.2</v>
      </c>
      <c r="E99" t="s">
        <v>116</v>
      </c>
      <c r="F99" s="1">
        <v>0.2</v>
      </c>
      <c r="G99" t="s">
        <v>24</v>
      </c>
      <c r="H99" s="1">
        <v>0.95</v>
      </c>
      <c r="I99" s="1"/>
      <c r="J99" s="1">
        <v>0.45</v>
      </c>
      <c r="K99" s="1">
        <v>0.45</v>
      </c>
      <c r="L99" s="1">
        <v>0.42</v>
      </c>
      <c r="M99" s="1">
        <v>0.37</v>
      </c>
      <c r="N99" s="1">
        <v>0.33</v>
      </c>
    </row>
    <row r="100" spans="1:14" x14ac:dyDescent="0.3">
      <c r="A100" t="s">
        <v>478</v>
      </c>
      <c r="B100" t="s">
        <v>488</v>
      </c>
      <c r="C100" t="s">
        <v>271</v>
      </c>
      <c r="D100" s="1">
        <v>0.1</v>
      </c>
      <c r="E100" t="s">
        <v>490</v>
      </c>
      <c r="F100" s="1">
        <v>0.3</v>
      </c>
      <c r="G100" t="s">
        <v>56</v>
      </c>
      <c r="H100" s="1">
        <v>0.3</v>
      </c>
      <c r="I100" s="1">
        <f>SUMPRODUCT(H100:H103,F100:F103)*D100</f>
        <v>4.5500000000000006E-2</v>
      </c>
      <c r="J100" s="1">
        <v>0.33</v>
      </c>
      <c r="K100" s="1">
        <v>0.33</v>
      </c>
      <c r="L100" s="1">
        <v>0.3</v>
      </c>
      <c r="M100" s="1">
        <v>0.26</v>
      </c>
      <c r="N100" s="1">
        <v>0.22</v>
      </c>
    </row>
    <row r="101" spans="1:14" x14ac:dyDescent="0.3">
      <c r="A101" t="s">
        <v>478</v>
      </c>
      <c r="B101" t="s">
        <v>488</v>
      </c>
      <c r="C101" t="s">
        <v>271</v>
      </c>
      <c r="D101" s="1">
        <v>0.1</v>
      </c>
      <c r="E101" t="s">
        <v>458</v>
      </c>
      <c r="F101" s="1">
        <v>0.25</v>
      </c>
      <c r="G101" t="s">
        <v>20</v>
      </c>
      <c r="H101" s="1">
        <v>0.6</v>
      </c>
      <c r="I101" s="1"/>
      <c r="J101" s="1">
        <v>0.33</v>
      </c>
      <c r="K101" s="1">
        <v>0.33</v>
      </c>
      <c r="L101" s="1">
        <v>0.3</v>
      </c>
      <c r="M101" s="1">
        <v>0.26</v>
      </c>
      <c r="N101" s="1">
        <v>0.22</v>
      </c>
    </row>
    <row r="102" spans="1:14" x14ac:dyDescent="0.3">
      <c r="A102" t="s">
        <v>478</v>
      </c>
      <c r="B102" t="s">
        <v>488</v>
      </c>
      <c r="C102" t="s">
        <v>271</v>
      </c>
      <c r="D102" s="1">
        <v>0.1</v>
      </c>
      <c r="E102" t="s">
        <v>58</v>
      </c>
      <c r="F102" s="1">
        <v>0.25</v>
      </c>
      <c r="G102" t="s">
        <v>30</v>
      </c>
      <c r="H102" s="1">
        <v>0.1</v>
      </c>
      <c r="I102" s="1"/>
      <c r="J102" s="1">
        <v>0.33</v>
      </c>
      <c r="K102" s="1">
        <v>0.33</v>
      </c>
      <c r="L102" s="1">
        <v>0.3</v>
      </c>
      <c r="M102" s="1">
        <v>0.26</v>
      </c>
      <c r="N102" s="1">
        <v>0.22</v>
      </c>
    </row>
    <row r="103" spans="1:14" x14ac:dyDescent="0.3">
      <c r="A103" t="s">
        <v>478</v>
      </c>
      <c r="B103" t="s">
        <v>488</v>
      </c>
      <c r="C103" t="s">
        <v>271</v>
      </c>
      <c r="D103" s="1">
        <v>0.1</v>
      </c>
      <c r="E103" t="s">
        <v>59</v>
      </c>
      <c r="F103" s="1">
        <v>0.2</v>
      </c>
      <c r="G103" t="s">
        <v>24</v>
      </c>
      <c r="H103" s="1">
        <v>0.95</v>
      </c>
      <c r="I103" s="1"/>
      <c r="J103" s="1">
        <v>0.33</v>
      </c>
      <c r="K103" s="1">
        <v>0.33</v>
      </c>
      <c r="L103" s="1">
        <v>0.3</v>
      </c>
      <c r="M103" s="1">
        <v>0.26</v>
      </c>
      <c r="N103" s="1">
        <v>0.22</v>
      </c>
    </row>
    <row r="104" spans="1:14" x14ac:dyDescent="0.3">
      <c r="D104" s="1"/>
      <c r="F104" s="1"/>
      <c r="H104" s="1"/>
      <c r="I104" s="2">
        <f>SUM(I80:I103)</f>
        <v>0.66200000000000003</v>
      </c>
      <c r="J104" s="2">
        <f>+J84*$D84+J88*$D88+J92*$D92+J96*$D96+J100*$D100+$D80*J80</f>
        <v>0.50250000000000006</v>
      </c>
      <c r="K104" s="2">
        <f t="shared" ref="K104:N104" si="3">+K84*$D84+K88*$D88+K92*$D92+K96*$D96+K100*$D100+$D80*K80</f>
        <v>0.50250000000000006</v>
      </c>
      <c r="L104" s="2">
        <f t="shared" si="3"/>
        <v>0.47250000000000003</v>
      </c>
      <c r="M104" s="2">
        <f t="shared" si="3"/>
        <v>0.42350000000000004</v>
      </c>
      <c r="N104" s="2">
        <f t="shared" si="3"/>
        <v>0.38350000000000006</v>
      </c>
    </row>
    <row r="105" spans="1:14" x14ac:dyDescent="0.3">
      <c r="D105" s="1"/>
      <c r="F105" s="1"/>
      <c r="H105" s="1"/>
      <c r="I105" s="1"/>
      <c r="J105" s="1"/>
      <c r="K105" s="1"/>
      <c r="L105" s="1"/>
      <c r="M105" s="1"/>
      <c r="N105" s="1"/>
    </row>
    <row r="106" spans="1:14" x14ac:dyDescent="0.3">
      <c r="A106" t="s">
        <v>478</v>
      </c>
      <c r="B106" t="s">
        <v>491</v>
      </c>
      <c r="C106" t="s">
        <v>16</v>
      </c>
      <c r="D106" s="1">
        <v>0.2</v>
      </c>
      <c r="E106" t="s">
        <v>17</v>
      </c>
      <c r="F106" s="1">
        <v>0.3</v>
      </c>
      <c r="G106" t="s">
        <v>18</v>
      </c>
      <c r="H106" s="1">
        <v>0.9</v>
      </c>
      <c r="I106" s="1">
        <f>SUMPRODUCT(H106:H109,F106:F109)*D106</f>
        <v>0.16550000000000004</v>
      </c>
      <c r="J106" s="1">
        <v>0.66</v>
      </c>
      <c r="K106" s="1">
        <v>0.66</v>
      </c>
      <c r="L106" s="1">
        <v>0.63</v>
      </c>
      <c r="M106" s="1">
        <v>0.57999999999999996</v>
      </c>
      <c r="N106" s="1">
        <v>0.55000000000000004</v>
      </c>
    </row>
    <row r="107" spans="1:14" x14ac:dyDescent="0.3">
      <c r="A107" t="s">
        <v>478</v>
      </c>
      <c r="B107" t="s">
        <v>491</v>
      </c>
      <c r="C107" t="s">
        <v>16</v>
      </c>
      <c r="D107" s="1">
        <v>0.2</v>
      </c>
      <c r="E107" t="s">
        <v>19</v>
      </c>
      <c r="F107" s="1">
        <v>0.25</v>
      </c>
      <c r="G107" t="s">
        <v>20</v>
      </c>
      <c r="H107" s="1">
        <v>0.6</v>
      </c>
      <c r="I107" s="1"/>
      <c r="J107" s="1">
        <v>0.66</v>
      </c>
      <c r="K107" s="1">
        <v>0.66</v>
      </c>
      <c r="L107" s="1">
        <v>0.63</v>
      </c>
      <c r="M107" s="1">
        <v>0.57999999999999996</v>
      </c>
      <c r="N107" s="1">
        <v>0.55000000000000004</v>
      </c>
    </row>
    <row r="108" spans="1:14" x14ac:dyDescent="0.3">
      <c r="A108" t="s">
        <v>478</v>
      </c>
      <c r="B108" t="s">
        <v>491</v>
      </c>
      <c r="C108" t="s">
        <v>16</v>
      </c>
      <c r="D108" s="1">
        <v>0.2</v>
      </c>
      <c r="E108" t="s">
        <v>21</v>
      </c>
      <c r="F108" s="1">
        <v>0.2</v>
      </c>
      <c r="G108" t="s">
        <v>22</v>
      </c>
      <c r="H108" s="1">
        <v>0.85</v>
      </c>
      <c r="I108" s="1"/>
      <c r="J108" s="1">
        <v>0.66</v>
      </c>
      <c r="K108" s="1">
        <v>0.66</v>
      </c>
      <c r="L108" s="1">
        <v>0.63</v>
      </c>
      <c r="M108" s="1">
        <v>0.57999999999999996</v>
      </c>
      <c r="N108" s="1">
        <v>0.55000000000000004</v>
      </c>
    </row>
    <row r="109" spans="1:14" x14ac:dyDescent="0.3">
      <c r="A109" t="s">
        <v>478</v>
      </c>
      <c r="B109" t="s">
        <v>491</v>
      </c>
      <c r="C109" t="s">
        <v>16</v>
      </c>
      <c r="D109" s="1">
        <v>0.2</v>
      </c>
      <c r="E109" t="s">
        <v>23</v>
      </c>
      <c r="F109" s="1">
        <v>0.25</v>
      </c>
      <c r="G109" t="s">
        <v>24</v>
      </c>
      <c r="H109" s="1">
        <v>0.95</v>
      </c>
      <c r="I109" s="1"/>
      <c r="J109" s="1">
        <v>0.66</v>
      </c>
      <c r="K109" s="1">
        <v>0.66</v>
      </c>
      <c r="L109" s="1">
        <v>0.63</v>
      </c>
      <c r="M109" s="1">
        <v>0.57999999999999996</v>
      </c>
      <c r="N109" s="1">
        <v>0.55000000000000004</v>
      </c>
    </row>
    <row r="110" spans="1:14" x14ac:dyDescent="0.3">
      <c r="A110" t="s">
        <v>478</v>
      </c>
      <c r="B110" t="s">
        <v>491</v>
      </c>
      <c r="C110" t="s">
        <v>25</v>
      </c>
      <c r="D110" s="1">
        <v>0.15</v>
      </c>
      <c r="E110" t="s">
        <v>26</v>
      </c>
      <c r="F110" s="1">
        <v>0.25</v>
      </c>
      <c r="G110" t="s">
        <v>18</v>
      </c>
      <c r="H110" s="1">
        <v>0.9</v>
      </c>
      <c r="I110" s="1">
        <f>SUMPRODUCT(H110:H113,F110:F113)*D110</f>
        <v>9.3000000000000013E-2</v>
      </c>
      <c r="J110" s="1">
        <v>0.46</v>
      </c>
      <c r="K110" s="1">
        <v>0.46</v>
      </c>
      <c r="L110" s="1">
        <v>0.43</v>
      </c>
      <c r="M110" s="1">
        <v>0.38</v>
      </c>
      <c r="N110" s="1">
        <v>0.35</v>
      </c>
    </row>
    <row r="111" spans="1:14" x14ac:dyDescent="0.3">
      <c r="A111" t="s">
        <v>478</v>
      </c>
      <c r="B111" t="s">
        <v>491</v>
      </c>
      <c r="C111" t="s">
        <v>25</v>
      </c>
      <c r="D111" s="1">
        <v>0.15</v>
      </c>
      <c r="E111" t="s">
        <v>27</v>
      </c>
      <c r="F111" s="1">
        <v>0.25</v>
      </c>
      <c r="G111" t="s">
        <v>28</v>
      </c>
      <c r="H111" s="1">
        <v>0.7</v>
      </c>
      <c r="I111" s="1"/>
      <c r="J111" s="1">
        <v>0.46</v>
      </c>
      <c r="K111" s="1">
        <v>0.46</v>
      </c>
      <c r="L111" s="1">
        <v>0.43</v>
      </c>
      <c r="M111" s="1">
        <v>0.38</v>
      </c>
      <c r="N111" s="1">
        <v>0.35</v>
      </c>
    </row>
    <row r="112" spans="1:14" x14ac:dyDescent="0.3">
      <c r="A112" t="s">
        <v>478</v>
      </c>
      <c r="B112" t="s">
        <v>491</v>
      </c>
      <c r="C112" t="s">
        <v>25</v>
      </c>
      <c r="D112" s="1">
        <v>0.15</v>
      </c>
      <c r="E112" t="s">
        <v>29</v>
      </c>
      <c r="F112" s="1">
        <v>0.3</v>
      </c>
      <c r="G112" t="s">
        <v>30</v>
      </c>
      <c r="H112" s="1">
        <v>0.1</v>
      </c>
      <c r="I112" s="1"/>
      <c r="J112" s="1">
        <v>0.46</v>
      </c>
      <c r="K112" s="1">
        <v>0.46</v>
      </c>
      <c r="L112" s="1">
        <v>0.43</v>
      </c>
      <c r="M112" s="1">
        <v>0.38</v>
      </c>
      <c r="N112" s="1">
        <v>0.35</v>
      </c>
    </row>
    <row r="113" spans="1:14" x14ac:dyDescent="0.3">
      <c r="A113" t="s">
        <v>478</v>
      </c>
      <c r="B113" t="s">
        <v>491</v>
      </c>
      <c r="C113" t="s">
        <v>25</v>
      </c>
      <c r="D113" s="1">
        <v>0.15</v>
      </c>
      <c r="E113" t="s">
        <v>31</v>
      </c>
      <c r="F113" s="1">
        <v>0.2</v>
      </c>
      <c r="G113" t="s">
        <v>24</v>
      </c>
      <c r="H113" s="1">
        <v>0.95</v>
      </c>
      <c r="I113" s="1"/>
      <c r="J113" s="1">
        <v>0.46</v>
      </c>
      <c r="K113" s="1">
        <v>0.46</v>
      </c>
      <c r="L113" s="1">
        <v>0.43</v>
      </c>
      <c r="M113" s="1">
        <v>0.38</v>
      </c>
      <c r="N113" s="1">
        <v>0.35</v>
      </c>
    </row>
    <row r="114" spans="1:14" x14ac:dyDescent="0.3">
      <c r="A114" t="s">
        <v>478</v>
      </c>
      <c r="B114" t="s">
        <v>491</v>
      </c>
      <c r="C114" t="s">
        <v>37</v>
      </c>
      <c r="D114" s="1">
        <v>0.2</v>
      </c>
      <c r="E114" t="s">
        <v>38</v>
      </c>
      <c r="F114" s="1">
        <v>0.3</v>
      </c>
      <c r="G114" t="s">
        <v>18</v>
      </c>
      <c r="H114" s="1">
        <v>0.9</v>
      </c>
      <c r="I114" s="1">
        <f>SUMPRODUCT(H114:H117,F114:F117)*D114</f>
        <v>0.16200000000000003</v>
      </c>
      <c r="J114" s="1">
        <v>0.67</v>
      </c>
      <c r="K114" s="1">
        <v>0.67</v>
      </c>
      <c r="L114" s="1">
        <v>0.64</v>
      </c>
      <c r="M114" s="1">
        <v>0.59</v>
      </c>
      <c r="N114" s="1">
        <v>0.56000000000000005</v>
      </c>
    </row>
    <row r="115" spans="1:14" x14ac:dyDescent="0.3">
      <c r="A115" t="s">
        <v>478</v>
      </c>
      <c r="B115" t="s">
        <v>491</v>
      </c>
      <c r="C115" t="s">
        <v>37</v>
      </c>
      <c r="D115" s="1">
        <v>0.2</v>
      </c>
      <c r="E115" t="s">
        <v>304</v>
      </c>
      <c r="F115" s="1">
        <v>0.25</v>
      </c>
      <c r="G115" t="s">
        <v>40</v>
      </c>
      <c r="H115" s="1">
        <v>0.7</v>
      </c>
      <c r="I115" s="1"/>
      <c r="J115" s="1">
        <v>0.67</v>
      </c>
      <c r="K115" s="1">
        <v>0.67</v>
      </c>
      <c r="L115" s="1">
        <v>0.64</v>
      </c>
      <c r="M115" s="1">
        <v>0.59</v>
      </c>
      <c r="N115" s="1">
        <v>0.56000000000000005</v>
      </c>
    </row>
    <row r="116" spans="1:14" x14ac:dyDescent="0.3">
      <c r="A116" t="s">
        <v>478</v>
      </c>
      <c r="B116" t="s">
        <v>491</v>
      </c>
      <c r="C116" t="s">
        <v>37</v>
      </c>
      <c r="D116" s="1">
        <v>0.2</v>
      </c>
      <c r="E116" t="s">
        <v>41</v>
      </c>
      <c r="F116" s="1">
        <v>0.25</v>
      </c>
      <c r="G116" t="s">
        <v>28</v>
      </c>
      <c r="H116" s="1">
        <v>0.7</v>
      </c>
      <c r="I116" s="1"/>
      <c r="J116" s="1">
        <v>0.67</v>
      </c>
      <c r="K116" s="1">
        <v>0.67</v>
      </c>
      <c r="L116" s="1">
        <v>0.64</v>
      </c>
      <c r="M116" s="1">
        <v>0.59</v>
      </c>
      <c r="N116" s="1">
        <v>0.56000000000000005</v>
      </c>
    </row>
    <row r="117" spans="1:14" x14ac:dyDescent="0.3">
      <c r="A117" t="s">
        <v>478</v>
      </c>
      <c r="B117" t="s">
        <v>491</v>
      </c>
      <c r="C117" t="s">
        <v>37</v>
      </c>
      <c r="D117" s="1">
        <v>0.2</v>
      </c>
      <c r="E117" t="s">
        <v>42</v>
      </c>
      <c r="F117" s="1">
        <v>0.2</v>
      </c>
      <c r="G117" t="s">
        <v>24</v>
      </c>
      <c r="H117" s="1">
        <v>0.95</v>
      </c>
      <c r="I117" s="1"/>
      <c r="J117" s="1">
        <v>0.67</v>
      </c>
      <c r="K117" s="1">
        <v>0.67</v>
      </c>
      <c r="L117" s="1">
        <v>0.64</v>
      </c>
      <c r="M117" s="1">
        <v>0.59</v>
      </c>
      <c r="N117" s="1">
        <v>0.56000000000000005</v>
      </c>
    </row>
    <row r="118" spans="1:14" x14ac:dyDescent="0.3">
      <c r="A118" t="s">
        <v>478</v>
      </c>
      <c r="B118" t="s">
        <v>491</v>
      </c>
      <c r="C118" t="s">
        <v>151</v>
      </c>
      <c r="D118" s="1">
        <v>0.2</v>
      </c>
      <c r="E118" t="s">
        <v>492</v>
      </c>
      <c r="F118" s="1">
        <v>0.25</v>
      </c>
      <c r="G118" t="s">
        <v>40</v>
      </c>
      <c r="H118" s="1">
        <v>0.7</v>
      </c>
      <c r="I118" s="1">
        <f>SUMPRODUCT(H118:H121,F118:F121)*D118</f>
        <v>0.11749999999999999</v>
      </c>
      <c r="J118" s="1">
        <v>0.44</v>
      </c>
      <c r="K118" s="1">
        <v>0.44</v>
      </c>
      <c r="L118" s="1">
        <v>0.41</v>
      </c>
      <c r="M118" s="1">
        <v>0.36</v>
      </c>
      <c r="N118" s="1">
        <v>0.33</v>
      </c>
    </row>
    <row r="119" spans="1:14" x14ac:dyDescent="0.3">
      <c r="A119" t="s">
        <v>478</v>
      </c>
      <c r="B119" t="s">
        <v>491</v>
      </c>
      <c r="C119" t="s">
        <v>151</v>
      </c>
      <c r="D119" s="1">
        <v>0.2</v>
      </c>
      <c r="E119" t="s">
        <v>50</v>
      </c>
      <c r="F119" s="1">
        <v>0.25</v>
      </c>
      <c r="G119" t="s">
        <v>20</v>
      </c>
      <c r="H119" s="1">
        <v>0.6</v>
      </c>
      <c r="I119" s="1"/>
      <c r="J119" s="1">
        <v>0.44</v>
      </c>
      <c r="K119" s="1">
        <v>0.44</v>
      </c>
      <c r="L119" s="1">
        <v>0.41</v>
      </c>
      <c r="M119" s="1">
        <v>0.36</v>
      </c>
      <c r="N119" s="1">
        <v>0.33</v>
      </c>
    </row>
    <row r="120" spans="1:14" x14ac:dyDescent="0.3">
      <c r="A120" t="s">
        <v>478</v>
      </c>
      <c r="B120" t="s">
        <v>491</v>
      </c>
      <c r="C120" t="s">
        <v>151</v>
      </c>
      <c r="D120" s="1">
        <v>0.2</v>
      </c>
      <c r="E120" t="s">
        <v>210</v>
      </c>
      <c r="F120" s="1">
        <v>0.25</v>
      </c>
      <c r="G120" t="s">
        <v>30</v>
      </c>
      <c r="H120" s="1">
        <v>0.1</v>
      </c>
      <c r="I120" s="1"/>
      <c r="J120" s="1">
        <v>0.44</v>
      </c>
      <c r="K120" s="1">
        <v>0.44</v>
      </c>
      <c r="L120" s="1">
        <v>0.41</v>
      </c>
      <c r="M120" s="1">
        <v>0.36</v>
      </c>
      <c r="N120" s="1">
        <v>0.33</v>
      </c>
    </row>
    <row r="121" spans="1:14" x14ac:dyDescent="0.3">
      <c r="A121" t="s">
        <v>478</v>
      </c>
      <c r="B121" t="s">
        <v>491</v>
      </c>
      <c r="C121" t="s">
        <v>151</v>
      </c>
      <c r="D121" s="1">
        <v>0.2</v>
      </c>
      <c r="E121" t="s">
        <v>53</v>
      </c>
      <c r="F121" s="1">
        <v>0.25</v>
      </c>
      <c r="G121" t="s">
        <v>24</v>
      </c>
      <c r="H121" s="1">
        <v>0.95</v>
      </c>
      <c r="I121" s="1"/>
      <c r="J121" s="1">
        <v>0.44</v>
      </c>
      <c r="K121" s="1">
        <v>0.44</v>
      </c>
      <c r="L121" s="1">
        <v>0.41</v>
      </c>
      <c r="M121" s="1">
        <v>0.36</v>
      </c>
      <c r="N121" s="1">
        <v>0.33</v>
      </c>
    </row>
    <row r="122" spans="1:14" x14ac:dyDescent="0.3">
      <c r="A122" t="s">
        <v>478</v>
      </c>
      <c r="B122" t="s">
        <v>491</v>
      </c>
      <c r="C122" t="s">
        <v>43</v>
      </c>
      <c r="D122" s="1">
        <v>0.15</v>
      </c>
      <c r="E122" t="s">
        <v>308</v>
      </c>
      <c r="F122" s="1">
        <v>0.25</v>
      </c>
      <c r="G122" t="s">
        <v>18</v>
      </c>
      <c r="H122" s="1">
        <v>0.9</v>
      </c>
      <c r="I122" s="1">
        <f>SUMPRODUCT(H122:H125,F122:F125)*D122</f>
        <v>8.9249999999999996E-2</v>
      </c>
      <c r="J122" s="1">
        <v>0.46</v>
      </c>
      <c r="K122" s="1">
        <v>0.46</v>
      </c>
      <c r="L122" s="1">
        <v>0.43</v>
      </c>
      <c r="M122" s="1">
        <v>0.38</v>
      </c>
      <c r="N122" s="1">
        <v>0.35</v>
      </c>
    </row>
    <row r="123" spans="1:14" x14ac:dyDescent="0.3">
      <c r="A123" t="s">
        <v>478</v>
      </c>
      <c r="B123" t="s">
        <v>491</v>
      </c>
      <c r="C123" t="s">
        <v>43</v>
      </c>
      <c r="D123" s="1">
        <v>0.15</v>
      </c>
      <c r="E123" t="s">
        <v>403</v>
      </c>
      <c r="F123" s="1">
        <v>0.25</v>
      </c>
      <c r="G123" t="s">
        <v>20</v>
      </c>
      <c r="H123" s="1">
        <v>0.6</v>
      </c>
      <c r="I123" s="1"/>
      <c r="J123" s="1">
        <v>0.46</v>
      </c>
      <c r="K123" s="1">
        <v>0.46</v>
      </c>
      <c r="L123" s="1">
        <v>0.43</v>
      </c>
      <c r="M123" s="1">
        <v>0.38</v>
      </c>
      <c r="N123" s="1">
        <v>0.35</v>
      </c>
    </row>
    <row r="124" spans="1:14" x14ac:dyDescent="0.3">
      <c r="A124" t="s">
        <v>478</v>
      </c>
      <c r="B124" t="s">
        <v>491</v>
      </c>
      <c r="C124" t="s">
        <v>43</v>
      </c>
      <c r="D124" s="1">
        <v>0.15</v>
      </c>
      <c r="E124" t="s">
        <v>46</v>
      </c>
      <c r="F124" s="1">
        <v>0.3</v>
      </c>
      <c r="G124" t="s">
        <v>30</v>
      </c>
      <c r="H124" s="1">
        <v>0.1</v>
      </c>
      <c r="I124" s="1"/>
      <c r="J124" s="1">
        <v>0.46</v>
      </c>
      <c r="K124" s="1">
        <v>0.46</v>
      </c>
      <c r="L124" s="1">
        <v>0.43</v>
      </c>
      <c r="M124" s="1">
        <v>0.38</v>
      </c>
      <c r="N124" s="1">
        <v>0.35</v>
      </c>
    </row>
    <row r="125" spans="1:14" x14ac:dyDescent="0.3">
      <c r="A125" t="s">
        <v>478</v>
      </c>
      <c r="B125" t="s">
        <v>491</v>
      </c>
      <c r="C125" t="s">
        <v>43</v>
      </c>
      <c r="D125" s="1">
        <v>0.15</v>
      </c>
      <c r="E125" t="s">
        <v>116</v>
      </c>
      <c r="F125" s="1">
        <v>0.2</v>
      </c>
      <c r="G125" t="s">
        <v>24</v>
      </c>
      <c r="H125" s="1">
        <v>0.95</v>
      </c>
      <c r="I125" s="1"/>
      <c r="J125" s="1">
        <v>0.46</v>
      </c>
      <c r="K125" s="1">
        <v>0.46</v>
      </c>
      <c r="L125" s="1">
        <v>0.43</v>
      </c>
      <c r="M125" s="1">
        <v>0.38</v>
      </c>
      <c r="N125" s="1">
        <v>0.35</v>
      </c>
    </row>
    <row r="126" spans="1:14" x14ac:dyDescent="0.3">
      <c r="A126" t="s">
        <v>478</v>
      </c>
      <c r="B126" t="s">
        <v>491</v>
      </c>
      <c r="C126" t="s">
        <v>271</v>
      </c>
      <c r="D126" s="1">
        <v>0.1</v>
      </c>
      <c r="E126" t="s">
        <v>493</v>
      </c>
      <c r="F126" s="1">
        <v>0.3</v>
      </c>
      <c r="G126" t="s">
        <v>56</v>
      </c>
      <c r="H126" s="1">
        <v>0.3</v>
      </c>
      <c r="I126" s="1">
        <f>SUMPRODUCT(H126:H129,F126:F129)*D126</f>
        <v>4.5500000000000006E-2</v>
      </c>
      <c r="J126" s="1">
        <v>0.34</v>
      </c>
      <c r="K126" s="1">
        <v>0.34</v>
      </c>
      <c r="L126" s="1">
        <v>0.31</v>
      </c>
      <c r="M126" s="1">
        <v>0.27</v>
      </c>
      <c r="N126" s="1">
        <v>0.24</v>
      </c>
    </row>
    <row r="127" spans="1:14" x14ac:dyDescent="0.3">
      <c r="A127" t="s">
        <v>478</v>
      </c>
      <c r="B127" t="s">
        <v>491</v>
      </c>
      <c r="C127" t="s">
        <v>271</v>
      </c>
      <c r="D127" s="1">
        <v>0.1</v>
      </c>
      <c r="E127" t="s">
        <v>273</v>
      </c>
      <c r="F127" s="1">
        <v>0.25</v>
      </c>
      <c r="G127" t="s">
        <v>20</v>
      </c>
      <c r="H127" s="1">
        <v>0.6</v>
      </c>
      <c r="I127" s="1"/>
      <c r="J127" s="1">
        <v>0.34</v>
      </c>
      <c r="K127" s="1">
        <v>0.34</v>
      </c>
      <c r="L127" s="1">
        <v>0.31</v>
      </c>
      <c r="M127" s="1">
        <v>0.27</v>
      </c>
      <c r="N127" s="1">
        <v>0.24</v>
      </c>
    </row>
    <row r="128" spans="1:14" x14ac:dyDescent="0.3">
      <c r="A128" t="s">
        <v>478</v>
      </c>
      <c r="B128" t="s">
        <v>491</v>
      </c>
      <c r="C128" t="s">
        <v>271</v>
      </c>
      <c r="D128" s="1">
        <v>0.1</v>
      </c>
      <c r="E128" t="s">
        <v>58</v>
      </c>
      <c r="F128" s="1">
        <v>0.25</v>
      </c>
      <c r="G128" t="s">
        <v>30</v>
      </c>
      <c r="H128" s="1">
        <v>0.1</v>
      </c>
      <c r="I128" s="1"/>
      <c r="J128" s="1">
        <v>0.34</v>
      </c>
      <c r="K128" s="1">
        <v>0.34</v>
      </c>
      <c r="L128" s="1">
        <v>0.31</v>
      </c>
      <c r="M128" s="1">
        <v>0.27</v>
      </c>
      <c r="N128" s="1">
        <v>0.24</v>
      </c>
    </row>
    <row r="129" spans="1:14" x14ac:dyDescent="0.3">
      <c r="A129" t="s">
        <v>478</v>
      </c>
      <c r="B129" t="s">
        <v>491</v>
      </c>
      <c r="C129" t="s">
        <v>271</v>
      </c>
      <c r="D129" s="1">
        <v>0.1</v>
      </c>
      <c r="E129" t="s">
        <v>59</v>
      </c>
      <c r="F129" s="1">
        <v>0.2</v>
      </c>
      <c r="G129" t="s">
        <v>24</v>
      </c>
      <c r="H129" s="1">
        <v>0.95</v>
      </c>
      <c r="I129" s="1"/>
      <c r="J129" s="1">
        <v>0.34</v>
      </c>
      <c r="K129" s="1">
        <v>0.34</v>
      </c>
      <c r="L129" s="1">
        <v>0.31</v>
      </c>
      <c r="M129" s="1">
        <v>0.27</v>
      </c>
      <c r="N129" s="1">
        <v>0.24</v>
      </c>
    </row>
    <row r="130" spans="1:14" x14ac:dyDescent="0.3">
      <c r="D130" s="1"/>
      <c r="F130" s="1"/>
      <c r="H130" s="1"/>
      <c r="I130" s="2">
        <f>SUM(I106:I129)</f>
        <v>0.67275000000000007</v>
      </c>
      <c r="J130" s="2">
        <f>+J110*$D110+J114*$D114+J118*$D118+J122*$D122+J126*$D126+$D106*J106</f>
        <v>0.52600000000000002</v>
      </c>
      <c r="K130" s="2">
        <f t="shared" ref="K130:N130" si="4">+K110*$D110+K114*$D114+K118*$D118+K122*$D122+K126*$D126+$D106*K106</f>
        <v>0.52600000000000002</v>
      </c>
      <c r="L130" s="2">
        <f t="shared" si="4"/>
        <v>0.496</v>
      </c>
      <c r="M130" s="2">
        <f t="shared" si="4"/>
        <v>0.44700000000000001</v>
      </c>
      <c r="N130" s="2">
        <f t="shared" si="4"/>
        <v>0.41700000000000004</v>
      </c>
    </row>
    <row r="131" spans="1:14" x14ac:dyDescent="0.3">
      <c r="D131" s="1"/>
      <c r="F131" s="1"/>
      <c r="H131" s="1"/>
      <c r="I131" s="1"/>
      <c r="J131" s="1"/>
      <c r="K131" s="1"/>
      <c r="L131" s="1"/>
      <c r="M131" s="1"/>
      <c r="N131" s="1"/>
    </row>
    <row r="132" spans="1:14" x14ac:dyDescent="0.3">
      <c r="A132" t="s">
        <v>478</v>
      </c>
      <c r="B132" t="s">
        <v>494</v>
      </c>
      <c r="C132" t="s">
        <v>16</v>
      </c>
      <c r="D132" s="1">
        <v>0.2</v>
      </c>
      <c r="E132" t="s">
        <v>17</v>
      </c>
      <c r="F132" s="1">
        <v>0.3</v>
      </c>
      <c r="G132" t="s">
        <v>18</v>
      </c>
      <c r="H132" s="1">
        <v>0.9</v>
      </c>
      <c r="I132" s="1">
        <f>SUMPRODUCT(H132:H135,F132:F135)*D132</f>
        <v>0.16550000000000004</v>
      </c>
      <c r="J132" s="1">
        <v>0.61</v>
      </c>
      <c r="K132" s="1">
        <v>0.61</v>
      </c>
      <c r="L132" s="1">
        <v>0.57999999999999996</v>
      </c>
      <c r="M132" s="1">
        <v>0.51</v>
      </c>
      <c r="N132" s="1">
        <v>0.45</v>
      </c>
    </row>
    <row r="133" spans="1:14" x14ac:dyDescent="0.3">
      <c r="A133" t="s">
        <v>478</v>
      </c>
      <c r="B133" t="s">
        <v>494</v>
      </c>
      <c r="C133" t="s">
        <v>16</v>
      </c>
      <c r="D133" s="1">
        <v>0.2</v>
      </c>
      <c r="E133" t="s">
        <v>19</v>
      </c>
      <c r="F133" s="1">
        <v>0.25</v>
      </c>
      <c r="G133" t="s">
        <v>20</v>
      </c>
      <c r="H133" s="1">
        <v>0.6</v>
      </c>
      <c r="I133" s="1"/>
      <c r="J133" s="1">
        <v>0.61</v>
      </c>
      <c r="K133" s="1">
        <v>0.61</v>
      </c>
      <c r="L133" s="1">
        <v>0.57999999999999996</v>
      </c>
      <c r="M133" s="1">
        <v>0.51</v>
      </c>
      <c r="N133" s="1">
        <v>0.45</v>
      </c>
    </row>
    <row r="134" spans="1:14" x14ac:dyDescent="0.3">
      <c r="A134" t="s">
        <v>478</v>
      </c>
      <c r="B134" t="s">
        <v>494</v>
      </c>
      <c r="C134" t="s">
        <v>16</v>
      </c>
      <c r="D134" s="1">
        <v>0.2</v>
      </c>
      <c r="E134" t="s">
        <v>21</v>
      </c>
      <c r="F134" s="1">
        <v>0.2</v>
      </c>
      <c r="G134" t="s">
        <v>22</v>
      </c>
      <c r="H134" s="1">
        <v>0.85</v>
      </c>
      <c r="I134" s="1"/>
      <c r="J134" s="1">
        <v>0.61</v>
      </c>
      <c r="K134" s="1">
        <v>0.61</v>
      </c>
      <c r="L134" s="1">
        <v>0.57999999999999996</v>
      </c>
      <c r="M134" s="1">
        <v>0.51</v>
      </c>
      <c r="N134" s="1">
        <v>0.45</v>
      </c>
    </row>
    <row r="135" spans="1:14" x14ac:dyDescent="0.3">
      <c r="A135" t="s">
        <v>478</v>
      </c>
      <c r="B135" t="s">
        <v>494</v>
      </c>
      <c r="C135" t="s">
        <v>16</v>
      </c>
      <c r="D135" s="1">
        <v>0.2</v>
      </c>
      <c r="E135" t="s">
        <v>23</v>
      </c>
      <c r="F135" s="1">
        <v>0.25</v>
      </c>
      <c r="G135" t="s">
        <v>24</v>
      </c>
      <c r="H135" s="1">
        <v>0.95</v>
      </c>
      <c r="I135" s="1"/>
      <c r="J135" s="1">
        <v>0.61</v>
      </c>
      <c r="K135" s="1">
        <v>0.61</v>
      </c>
      <c r="L135" s="1">
        <v>0.57999999999999996</v>
      </c>
      <c r="M135" s="1">
        <v>0.51</v>
      </c>
      <c r="N135" s="1">
        <v>0.45</v>
      </c>
    </row>
    <row r="136" spans="1:14" x14ac:dyDescent="0.3">
      <c r="A136" t="s">
        <v>478</v>
      </c>
      <c r="B136" t="s">
        <v>494</v>
      </c>
      <c r="C136" t="s">
        <v>25</v>
      </c>
      <c r="D136" s="1">
        <v>0.15</v>
      </c>
      <c r="E136" t="s">
        <v>26</v>
      </c>
      <c r="F136" s="1">
        <v>0.25</v>
      </c>
      <c r="G136" t="s">
        <v>18</v>
      </c>
      <c r="H136" s="1">
        <v>0.9</v>
      </c>
      <c r="I136" s="1">
        <f>SUMPRODUCT(H136:H139,F136:F139)*D136</f>
        <v>9.3000000000000013E-2</v>
      </c>
      <c r="J136" s="1">
        <v>0.4</v>
      </c>
      <c r="K136" s="1">
        <v>0.4</v>
      </c>
      <c r="L136" s="1">
        <v>0.37</v>
      </c>
      <c r="M136" s="1">
        <v>0.32</v>
      </c>
      <c r="N136" s="1">
        <v>0.27</v>
      </c>
    </row>
    <row r="137" spans="1:14" x14ac:dyDescent="0.3">
      <c r="A137" t="s">
        <v>478</v>
      </c>
      <c r="B137" t="s">
        <v>494</v>
      </c>
      <c r="C137" t="s">
        <v>25</v>
      </c>
      <c r="D137" s="1">
        <v>0.15</v>
      </c>
      <c r="E137" t="s">
        <v>27</v>
      </c>
      <c r="F137" s="1">
        <v>0.25</v>
      </c>
      <c r="G137" t="s">
        <v>28</v>
      </c>
      <c r="H137" s="1">
        <v>0.7</v>
      </c>
      <c r="I137" s="1"/>
      <c r="J137" s="1">
        <v>0.4</v>
      </c>
      <c r="K137" s="1">
        <v>0.4</v>
      </c>
      <c r="L137" s="1">
        <v>0.37</v>
      </c>
      <c r="M137" s="1">
        <v>0.32</v>
      </c>
      <c r="N137" s="1">
        <v>0.27</v>
      </c>
    </row>
    <row r="138" spans="1:14" x14ac:dyDescent="0.3">
      <c r="A138" t="s">
        <v>478</v>
      </c>
      <c r="B138" t="s">
        <v>494</v>
      </c>
      <c r="C138" t="s">
        <v>25</v>
      </c>
      <c r="D138" s="1">
        <v>0.15</v>
      </c>
      <c r="E138" t="s">
        <v>29</v>
      </c>
      <c r="F138" s="1">
        <v>0.3</v>
      </c>
      <c r="G138" t="s">
        <v>30</v>
      </c>
      <c r="H138" s="1">
        <v>0.1</v>
      </c>
      <c r="I138" s="1"/>
      <c r="J138" s="1">
        <v>0.4</v>
      </c>
      <c r="K138" s="1">
        <v>0.4</v>
      </c>
      <c r="L138" s="1">
        <v>0.37</v>
      </c>
      <c r="M138" s="1">
        <v>0.32</v>
      </c>
      <c r="N138" s="1">
        <v>0.27</v>
      </c>
    </row>
    <row r="139" spans="1:14" x14ac:dyDescent="0.3">
      <c r="A139" t="s">
        <v>478</v>
      </c>
      <c r="B139" t="s">
        <v>494</v>
      </c>
      <c r="C139" t="s">
        <v>25</v>
      </c>
      <c r="D139" s="1">
        <v>0.15</v>
      </c>
      <c r="E139" t="s">
        <v>31</v>
      </c>
      <c r="F139" s="1">
        <v>0.2</v>
      </c>
      <c r="G139" t="s">
        <v>24</v>
      </c>
      <c r="H139" s="1">
        <v>0.95</v>
      </c>
      <c r="I139" s="1"/>
      <c r="J139" s="1">
        <v>0.4</v>
      </c>
      <c r="K139" s="1">
        <v>0.4</v>
      </c>
      <c r="L139" s="1">
        <v>0.37</v>
      </c>
      <c r="M139" s="1">
        <v>0.32</v>
      </c>
      <c r="N139" s="1">
        <v>0.27</v>
      </c>
    </row>
    <row r="140" spans="1:14" x14ac:dyDescent="0.3">
      <c r="A140" t="s">
        <v>478</v>
      </c>
      <c r="B140" t="s">
        <v>494</v>
      </c>
      <c r="C140" t="s">
        <v>37</v>
      </c>
      <c r="D140" s="1">
        <v>0.15</v>
      </c>
      <c r="E140" t="s">
        <v>38</v>
      </c>
      <c r="F140" s="1">
        <v>0.3</v>
      </c>
      <c r="G140" t="s">
        <v>18</v>
      </c>
      <c r="H140" s="1">
        <v>0.9</v>
      </c>
      <c r="I140" s="1">
        <f>SUMPRODUCT(H140:H143,F140:F143)*D140</f>
        <v>0.1215</v>
      </c>
      <c r="J140" s="1">
        <v>0.57999999999999996</v>
      </c>
      <c r="K140" s="1">
        <v>0.57999999999999996</v>
      </c>
      <c r="L140" s="1">
        <v>0.55000000000000004</v>
      </c>
      <c r="M140" s="1">
        <v>0.48</v>
      </c>
      <c r="N140" s="1">
        <v>0.42</v>
      </c>
    </row>
    <row r="141" spans="1:14" x14ac:dyDescent="0.3">
      <c r="A141" t="s">
        <v>478</v>
      </c>
      <c r="B141" t="s">
        <v>494</v>
      </c>
      <c r="C141" t="s">
        <v>37</v>
      </c>
      <c r="D141" s="1">
        <v>0.15</v>
      </c>
      <c r="E141" t="s">
        <v>39</v>
      </c>
      <c r="F141" s="1">
        <v>0.25</v>
      </c>
      <c r="G141" t="s">
        <v>40</v>
      </c>
      <c r="H141" s="1">
        <v>0.7</v>
      </c>
      <c r="I141" s="1"/>
      <c r="J141" s="1">
        <v>0.57999999999999996</v>
      </c>
      <c r="K141" s="1">
        <v>0.57999999999999996</v>
      </c>
      <c r="L141" s="1">
        <v>0.55000000000000004</v>
      </c>
      <c r="M141" s="1">
        <v>0.48</v>
      </c>
      <c r="N141" s="1">
        <v>0.42</v>
      </c>
    </row>
    <row r="142" spans="1:14" x14ac:dyDescent="0.3">
      <c r="A142" t="s">
        <v>478</v>
      </c>
      <c r="B142" t="s">
        <v>494</v>
      </c>
      <c r="C142" t="s">
        <v>37</v>
      </c>
      <c r="D142" s="1">
        <v>0.15</v>
      </c>
      <c r="E142" t="s">
        <v>41</v>
      </c>
      <c r="F142" s="1">
        <v>0.25</v>
      </c>
      <c r="G142" t="s">
        <v>28</v>
      </c>
      <c r="H142" s="1">
        <v>0.7</v>
      </c>
      <c r="I142" s="1"/>
      <c r="J142" s="1">
        <v>0.57999999999999996</v>
      </c>
      <c r="K142" s="1">
        <v>0.57999999999999996</v>
      </c>
      <c r="L142" s="1">
        <v>0.55000000000000004</v>
      </c>
      <c r="M142" s="1">
        <v>0.48</v>
      </c>
      <c r="N142" s="1">
        <v>0.42</v>
      </c>
    </row>
    <row r="143" spans="1:14" x14ac:dyDescent="0.3">
      <c r="A143" t="s">
        <v>478</v>
      </c>
      <c r="B143" t="s">
        <v>494</v>
      </c>
      <c r="C143" t="s">
        <v>37</v>
      </c>
      <c r="D143" s="1">
        <v>0.15</v>
      </c>
      <c r="E143" t="s">
        <v>42</v>
      </c>
      <c r="F143" s="1">
        <v>0.2</v>
      </c>
      <c r="G143" t="s">
        <v>24</v>
      </c>
      <c r="H143" s="1">
        <v>0.95</v>
      </c>
      <c r="I143" s="1"/>
      <c r="J143" s="1">
        <v>0.57999999999999996</v>
      </c>
      <c r="K143" s="1">
        <v>0.57999999999999996</v>
      </c>
      <c r="L143" s="1">
        <v>0.55000000000000004</v>
      </c>
      <c r="M143" s="1">
        <v>0.48</v>
      </c>
      <c r="N143" s="1">
        <v>0.42</v>
      </c>
    </row>
    <row r="144" spans="1:14" x14ac:dyDescent="0.3">
      <c r="A144" t="s">
        <v>478</v>
      </c>
      <c r="B144" t="s">
        <v>494</v>
      </c>
      <c r="C144" t="s">
        <v>151</v>
      </c>
      <c r="D144" s="1">
        <v>0.2</v>
      </c>
      <c r="E144" t="s">
        <v>489</v>
      </c>
      <c r="F144" s="1">
        <v>0.25</v>
      </c>
      <c r="G144" t="s">
        <v>40</v>
      </c>
      <c r="H144" s="1">
        <v>0.7</v>
      </c>
      <c r="I144" s="1">
        <f>SUMPRODUCT(H144:H147,F144:F147)*D144</f>
        <v>0.11749999999999999</v>
      </c>
      <c r="J144" s="1">
        <v>0.39</v>
      </c>
      <c r="K144" s="1">
        <v>0.39</v>
      </c>
      <c r="L144" s="1">
        <v>0.36</v>
      </c>
      <c r="M144" s="1">
        <v>0.3</v>
      </c>
      <c r="N144" s="1">
        <v>0.25</v>
      </c>
    </row>
    <row r="145" spans="1:14" x14ac:dyDescent="0.3">
      <c r="A145" t="s">
        <v>478</v>
      </c>
      <c r="B145" t="s">
        <v>494</v>
      </c>
      <c r="C145" t="s">
        <v>151</v>
      </c>
      <c r="D145" s="1">
        <v>0.2</v>
      </c>
      <c r="E145" t="s">
        <v>50</v>
      </c>
      <c r="F145" s="1">
        <v>0.25</v>
      </c>
      <c r="G145" t="s">
        <v>20</v>
      </c>
      <c r="H145" s="1">
        <v>0.6</v>
      </c>
      <c r="I145" s="1"/>
      <c r="J145" s="1">
        <v>0.39</v>
      </c>
      <c r="K145" s="1">
        <v>0.39</v>
      </c>
      <c r="L145" s="1">
        <v>0.36</v>
      </c>
      <c r="M145" s="1">
        <v>0.3</v>
      </c>
      <c r="N145" s="1">
        <v>0.25</v>
      </c>
    </row>
    <row r="146" spans="1:14" x14ac:dyDescent="0.3">
      <c r="A146" t="s">
        <v>478</v>
      </c>
      <c r="B146" t="s">
        <v>494</v>
      </c>
      <c r="C146" t="s">
        <v>151</v>
      </c>
      <c r="D146" s="1">
        <v>0.2</v>
      </c>
      <c r="E146" t="s">
        <v>210</v>
      </c>
      <c r="F146" s="1">
        <v>0.25</v>
      </c>
      <c r="G146" t="s">
        <v>30</v>
      </c>
      <c r="H146" s="1">
        <v>0.1</v>
      </c>
      <c r="I146" s="1"/>
      <c r="J146" s="1">
        <v>0.39</v>
      </c>
      <c r="K146" s="1">
        <v>0.39</v>
      </c>
      <c r="L146" s="1">
        <v>0.36</v>
      </c>
      <c r="M146" s="1">
        <v>0.3</v>
      </c>
      <c r="N146" s="1">
        <v>0.25</v>
      </c>
    </row>
    <row r="147" spans="1:14" x14ac:dyDescent="0.3">
      <c r="A147" t="s">
        <v>478</v>
      </c>
      <c r="B147" t="s">
        <v>494</v>
      </c>
      <c r="C147" t="s">
        <v>151</v>
      </c>
      <c r="D147" s="1">
        <v>0.2</v>
      </c>
      <c r="E147" t="s">
        <v>53</v>
      </c>
      <c r="F147" s="1">
        <v>0.25</v>
      </c>
      <c r="G147" t="s">
        <v>24</v>
      </c>
      <c r="H147" s="1">
        <v>0.95</v>
      </c>
      <c r="I147" s="1"/>
      <c r="J147" s="1">
        <v>0.39</v>
      </c>
      <c r="K147" s="1">
        <v>0.39</v>
      </c>
      <c r="L147" s="1">
        <v>0.36</v>
      </c>
      <c r="M147" s="1">
        <v>0.3</v>
      </c>
      <c r="N147" s="1">
        <v>0.25</v>
      </c>
    </row>
    <row r="148" spans="1:14" x14ac:dyDescent="0.3">
      <c r="A148" t="s">
        <v>478</v>
      </c>
      <c r="B148" t="s">
        <v>494</v>
      </c>
      <c r="C148" t="s">
        <v>43</v>
      </c>
      <c r="D148" s="1">
        <v>0.2</v>
      </c>
      <c r="E148" t="s">
        <v>308</v>
      </c>
      <c r="F148" s="1">
        <v>0.25</v>
      </c>
      <c r="G148" t="s">
        <v>18</v>
      </c>
      <c r="H148" s="1">
        <v>0.9</v>
      </c>
      <c r="I148" s="1">
        <f>SUMPRODUCT(H148:H151,F148:F151)*D148</f>
        <v>0.11899999999999999</v>
      </c>
      <c r="J148" s="1">
        <v>0.41</v>
      </c>
      <c r="K148" s="1">
        <v>0.41</v>
      </c>
      <c r="L148" s="1">
        <v>0.38</v>
      </c>
      <c r="M148" s="1">
        <v>0.33</v>
      </c>
      <c r="N148" s="1">
        <v>0.28000000000000003</v>
      </c>
    </row>
    <row r="149" spans="1:14" x14ac:dyDescent="0.3">
      <c r="A149" t="s">
        <v>478</v>
      </c>
      <c r="B149" t="s">
        <v>494</v>
      </c>
      <c r="C149" t="s">
        <v>43</v>
      </c>
      <c r="D149" s="1">
        <v>0.2</v>
      </c>
      <c r="E149" t="s">
        <v>403</v>
      </c>
      <c r="F149" s="1">
        <v>0.25</v>
      </c>
      <c r="G149" t="s">
        <v>20</v>
      </c>
      <c r="H149" s="1">
        <v>0.6</v>
      </c>
      <c r="I149" s="1"/>
      <c r="J149" s="1">
        <v>0.41</v>
      </c>
      <c r="K149" s="1">
        <v>0.41</v>
      </c>
      <c r="L149" s="1">
        <v>0.38</v>
      </c>
      <c r="M149" s="1">
        <v>0.33</v>
      </c>
      <c r="N149" s="1">
        <v>0.28000000000000003</v>
      </c>
    </row>
    <row r="150" spans="1:14" x14ac:dyDescent="0.3">
      <c r="A150" t="s">
        <v>478</v>
      </c>
      <c r="B150" t="s">
        <v>494</v>
      </c>
      <c r="C150" t="s">
        <v>43</v>
      </c>
      <c r="D150" s="1">
        <v>0.2</v>
      </c>
      <c r="E150" t="s">
        <v>46</v>
      </c>
      <c r="F150" s="1">
        <v>0.3</v>
      </c>
      <c r="G150" t="s">
        <v>30</v>
      </c>
      <c r="H150" s="1">
        <v>0.1</v>
      </c>
      <c r="I150" s="1"/>
      <c r="J150" s="1">
        <v>0.41</v>
      </c>
      <c r="K150" s="1">
        <v>0.41</v>
      </c>
      <c r="L150" s="1">
        <v>0.38</v>
      </c>
      <c r="M150" s="1">
        <v>0.33</v>
      </c>
      <c r="N150" s="1">
        <v>0.28000000000000003</v>
      </c>
    </row>
    <row r="151" spans="1:14" x14ac:dyDescent="0.3">
      <c r="A151" t="s">
        <v>478</v>
      </c>
      <c r="B151" t="s">
        <v>494</v>
      </c>
      <c r="C151" t="s">
        <v>43</v>
      </c>
      <c r="D151" s="1">
        <v>0.2</v>
      </c>
      <c r="E151" t="s">
        <v>116</v>
      </c>
      <c r="F151" s="1">
        <v>0.2</v>
      </c>
      <c r="G151" t="s">
        <v>24</v>
      </c>
      <c r="H151" s="1">
        <v>0.95</v>
      </c>
      <c r="I151" s="1"/>
      <c r="J151" s="1">
        <v>0.41</v>
      </c>
      <c r="K151" s="1">
        <v>0.41</v>
      </c>
      <c r="L151" s="1">
        <v>0.38</v>
      </c>
      <c r="M151" s="1">
        <v>0.33</v>
      </c>
      <c r="N151" s="1">
        <v>0.28000000000000003</v>
      </c>
    </row>
    <row r="152" spans="1:14" x14ac:dyDescent="0.3">
      <c r="A152" t="s">
        <v>478</v>
      </c>
      <c r="B152" t="s">
        <v>494</v>
      </c>
      <c r="C152" t="s">
        <v>271</v>
      </c>
      <c r="D152" s="1">
        <v>0.1</v>
      </c>
      <c r="E152" t="s">
        <v>495</v>
      </c>
      <c r="F152" s="1">
        <v>0.3</v>
      </c>
      <c r="G152" t="s">
        <v>56</v>
      </c>
      <c r="H152" s="1">
        <v>0.3</v>
      </c>
      <c r="I152" s="1">
        <f>SUMPRODUCT(H152:H155,F152:F155)*D152</f>
        <v>4.5500000000000006E-2</v>
      </c>
      <c r="J152" s="1">
        <v>0.3</v>
      </c>
      <c r="K152" s="1">
        <v>0.3</v>
      </c>
      <c r="L152" s="1">
        <v>0.27</v>
      </c>
      <c r="M152" s="1">
        <v>0.22</v>
      </c>
      <c r="N152" s="1">
        <v>0.18</v>
      </c>
    </row>
    <row r="153" spans="1:14" x14ac:dyDescent="0.3">
      <c r="A153" t="s">
        <v>478</v>
      </c>
      <c r="B153" t="s">
        <v>494</v>
      </c>
      <c r="C153" t="s">
        <v>271</v>
      </c>
      <c r="D153" s="1">
        <v>0.1</v>
      </c>
      <c r="E153" t="s">
        <v>485</v>
      </c>
      <c r="F153" s="1">
        <v>0.25</v>
      </c>
      <c r="G153" t="s">
        <v>20</v>
      </c>
      <c r="H153" s="1">
        <v>0.6</v>
      </c>
      <c r="I153" s="1"/>
      <c r="J153" s="1">
        <v>0.3</v>
      </c>
      <c r="K153" s="1">
        <v>0.3</v>
      </c>
      <c r="L153" s="1">
        <v>0.27</v>
      </c>
      <c r="M153" s="1">
        <v>0.22</v>
      </c>
      <c r="N153" s="1">
        <v>0.18</v>
      </c>
    </row>
    <row r="154" spans="1:14" x14ac:dyDescent="0.3">
      <c r="A154" t="s">
        <v>478</v>
      </c>
      <c r="B154" t="s">
        <v>494</v>
      </c>
      <c r="C154" t="s">
        <v>271</v>
      </c>
      <c r="D154" s="1">
        <v>0.1</v>
      </c>
      <c r="E154" t="s">
        <v>496</v>
      </c>
      <c r="F154" s="1">
        <v>0.25</v>
      </c>
      <c r="G154" t="s">
        <v>30</v>
      </c>
      <c r="H154" s="1">
        <v>0.1</v>
      </c>
      <c r="I154" s="1"/>
      <c r="J154" s="1">
        <v>0.3</v>
      </c>
      <c r="K154" s="1">
        <v>0.3</v>
      </c>
      <c r="L154" s="1">
        <v>0.27</v>
      </c>
      <c r="M154" s="1">
        <v>0.22</v>
      </c>
      <c r="N154" s="1">
        <v>0.18</v>
      </c>
    </row>
    <row r="155" spans="1:14" x14ac:dyDescent="0.3">
      <c r="A155" t="s">
        <v>478</v>
      </c>
      <c r="B155" t="s">
        <v>494</v>
      </c>
      <c r="C155" t="s">
        <v>271</v>
      </c>
      <c r="D155" s="1">
        <v>0.1</v>
      </c>
      <c r="E155" t="s">
        <v>59</v>
      </c>
      <c r="F155" s="1">
        <v>0.2</v>
      </c>
      <c r="G155" t="s">
        <v>24</v>
      </c>
      <c r="H155" s="1">
        <v>0.95</v>
      </c>
      <c r="I155" s="1"/>
      <c r="J155" s="1">
        <v>0.3</v>
      </c>
      <c r="K155" s="1">
        <v>0.3</v>
      </c>
      <c r="L155" s="1">
        <v>0.27</v>
      </c>
      <c r="M155" s="1">
        <v>0.22</v>
      </c>
      <c r="N155" s="1">
        <v>0.18</v>
      </c>
    </row>
    <row r="156" spans="1:14" x14ac:dyDescent="0.3">
      <c r="I156" s="2">
        <f>SUM(I132:I155)</f>
        <v>0.66200000000000003</v>
      </c>
      <c r="J156" s="2">
        <f>+J136*$D136+J140*$D140+J144*$D144+J148*$D148+J152*$D152+$D132*J132</f>
        <v>0.45899999999999996</v>
      </c>
      <c r="K156" s="2">
        <f t="shared" ref="K156:N156" si="5">+K136*$D136+K140*$D140+K144*$D144+K148*$D148+K152*$D152+$D132*K132</f>
        <v>0.45899999999999996</v>
      </c>
      <c r="L156" s="2">
        <f t="shared" si="5"/>
        <v>0.42900000000000005</v>
      </c>
      <c r="M156" s="2">
        <f t="shared" si="5"/>
        <v>0.37</v>
      </c>
      <c r="N156" s="2">
        <f t="shared" si="5"/>
        <v>0.3175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2"/>
  <sheetViews>
    <sheetView workbookViewId="0"/>
  </sheetViews>
  <sheetFormatPr defaultRowHeight="14.4" x14ac:dyDescent="0.3"/>
  <cols>
    <col min="2" max="2" width="28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497</v>
      </c>
      <c r="B2" t="s">
        <v>498</v>
      </c>
      <c r="C2" t="s">
        <v>16</v>
      </c>
      <c r="D2" s="1">
        <v>0.2</v>
      </c>
      <c r="E2" t="s">
        <v>17</v>
      </c>
      <c r="F2" s="1">
        <v>0.3</v>
      </c>
      <c r="G2" t="s">
        <v>18</v>
      </c>
      <c r="H2" s="1">
        <v>0.9</v>
      </c>
      <c r="I2" s="1">
        <f>SUMPRODUCT(H2:H5,F2:F5)*D2</f>
        <v>0.16550000000000004</v>
      </c>
      <c r="J2" s="1">
        <v>0.65</v>
      </c>
      <c r="K2" s="1">
        <v>0.65</v>
      </c>
      <c r="L2" s="1">
        <v>0.62</v>
      </c>
      <c r="M2" s="1">
        <v>0.56999999999999995</v>
      </c>
      <c r="N2" s="1">
        <v>0.52</v>
      </c>
    </row>
    <row r="3" spans="1:14" x14ac:dyDescent="0.3">
      <c r="A3" t="s">
        <v>497</v>
      </c>
      <c r="B3" t="s">
        <v>498</v>
      </c>
      <c r="C3" t="s">
        <v>16</v>
      </c>
      <c r="D3" s="1">
        <v>0.2</v>
      </c>
      <c r="E3" t="s">
        <v>19</v>
      </c>
      <c r="F3" s="1">
        <v>0.25</v>
      </c>
      <c r="G3" t="s">
        <v>20</v>
      </c>
      <c r="H3" s="1">
        <v>0.6</v>
      </c>
      <c r="I3" s="1"/>
      <c r="J3" s="1">
        <v>0.65</v>
      </c>
      <c r="K3" s="1">
        <v>0.65</v>
      </c>
      <c r="L3" s="1">
        <v>0.62</v>
      </c>
      <c r="M3" s="1">
        <v>0.56999999999999995</v>
      </c>
      <c r="N3" s="1">
        <v>0.52</v>
      </c>
    </row>
    <row r="4" spans="1:14" x14ac:dyDescent="0.3">
      <c r="A4" t="s">
        <v>497</v>
      </c>
      <c r="B4" t="s">
        <v>498</v>
      </c>
      <c r="C4" t="s">
        <v>16</v>
      </c>
      <c r="D4" s="1">
        <v>0.2</v>
      </c>
      <c r="E4" t="s">
        <v>21</v>
      </c>
      <c r="F4" s="1">
        <v>0.2</v>
      </c>
      <c r="G4" t="s">
        <v>22</v>
      </c>
      <c r="H4" s="1">
        <v>0.85</v>
      </c>
      <c r="I4" s="1"/>
      <c r="J4" s="1">
        <v>0.65</v>
      </c>
      <c r="K4" s="1">
        <v>0.65</v>
      </c>
      <c r="L4" s="1">
        <v>0.62</v>
      </c>
      <c r="M4" s="1">
        <v>0.56999999999999995</v>
      </c>
      <c r="N4" s="1">
        <v>0.52</v>
      </c>
    </row>
    <row r="5" spans="1:14" x14ac:dyDescent="0.3">
      <c r="A5" t="s">
        <v>497</v>
      </c>
      <c r="B5" t="s">
        <v>498</v>
      </c>
      <c r="C5" t="s">
        <v>16</v>
      </c>
      <c r="D5" s="1">
        <v>0.2</v>
      </c>
      <c r="E5" t="s">
        <v>23</v>
      </c>
      <c r="F5" s="1">
        <v>0.25</v>
      </c>
      <c r="G5" t="s">
        <v>24</v>
      </c>
      <c r="H5" s="1">
        <v>0.95</v>
      </c>
      <c r="I5" s="1"/>
      <c r="J5" s="1">
        <v>0.65</v>
      </c>
      <c r="K5" s="1">
        <v>0.65</v>
      </c>
      <c r="L5" s="1">
        <v>0.62</v>
      </c>
      <c r="M5" s="1">
        <v>0.56999999999999995</v>
      </c>
      <c r="N5" s="1">
        <v>0.52</v>
      </c>
    </row>
    <row r="6" spans="1:14" x14ac:dyDescent="0.3">
      <c r="A6" t="s">
        <v>497</v>
      </c>
      <c r="B6" t="s">
        <v>498</v>
      </c>
      <c r="C6" t="s">
        <v>25</v>
      </c>
      <c r="D6" s="1">
        <v>0.15</v>
      </c>
      <c r="E6" t="s">
        <v>26</v>
      </c>
      <c r="F6" s="1">
        <v>0.25</v>
      </c>
      <c r="G6" t="s">
        <v>18</v>
      </c>
      <c r="H6" s="1">
        <v>0.9</v>
      </c>
      <c r="I6" s="1">
        <f>SUMPRODUCT(H6:H9,F6:F9)*D6</f>
        <v>9.3000000000000013E-2</v>
      </c>
      <c r="J6" s="1">
        <v>0.45</v>
      </c>
      <c r="K6" s="1">
        <v>0.45</v>
      </c>
      <c r="L6" s="1">
        <v>0.42</v>
      </c>
      <c r="M6" s="1">
        <v>0.37</v>
      </c>
      <c r="N6" s="1">
        <v>0.33</v>
      </c>
    </row>
    <row r="7" spans="1:14" x14ac:dyDescent="0.3">
      <c r="A7" t="s">
        <v>497</v>
      </c>
      <c r="B7" t="s">
        <v>498</v>
      </c>
      <c r="C7" t="s">
        <v>25</v>
      </c>
      <c r="D7" s="1">
        <v>0.15</v>
      </c>
      <c r="E7" t="s">
        <v>499</v>
      </c>
      <c r="F7" s="1">
        <v>0.25</v>
      </c>
      <c r="G7" t="s">
        <v>28</v>
      </c>
      <c r="H7" s="1">
        <v>0.7</v>
      </c>
      <c r="I7" s="1"/>
      <c r="J7" s="1">
        <v>0.45</v>
      </c>
      <c r="K7" s="1">
        <v>0.45</v>
      </c>
      <c r="L7" s="1">
        <v>0.42</v>
      </c>
      <c r="M7" s="1">
        <v>0.37</v>
      </c>
      <c r="N7" s="1">
        <v>0.33</v>
      </c>
    </row>
    <row r="8" spans="1:14" x14ac:dyDescent="0.3">
      <c r="A8" t="s">
        <v>497</v>
      </c>
      <c r="B8" t="s">
        <v>498</v>
      </c>
      <c r="C8" t="s">
        <v>25</v>
      </c>
      <c r="D8" s="1">
        <v>0.15</v>
      </c>
      <c r="E8" t="s">
        <v>29</v>
      </c>
      <c r="F8" s="1">
        <v>0.3</v>
      </c>
      <c r="G8" t="s">
        <v>30</v>
      </c>
      <c r="H8" s="1">
        <v>0.1</v>
      </c>
      <c r="I8" s="1"/>
      <c r="J8" s="1">
        <v>0.45</v>
      </c>
      <c r="K8" s="1">
        <v>0.45</v>
      </c>
      <c r="L8" s="1">
        <v>0.42</v>
      </c>
      <c r="M8" s="1">
        <v>0.37</v>
      </c>
      <c r="N8" s="1">
        <v>0.33</v>
      </c>
    </row>
    <row r="9" spans="1:14" x14ac:dyDescent="0.3">
      <c r="A9" t="s">
        <v>497</v>
      </c>
      <c r="B9" t="s">
        <v>498</v>
      </c>
      <c r="C9" t="s">
        <v>25</v>
      </c>
      <c r="D9" s="1">
        <v>0.15</v>
      </c>
      <c r="E9" t="s">
        <v>31</v>
      </c>
      <c r="F9" s="1">
        <v>0.2</v>
      </c>
      <c r="G9" t="s">
        <v>24</v>
      </c>
      <c r="H9" s="1">
        <v>0.95</v>
      </c>
      <c r="I9" s="1"/>
      <c r="J9" s="1">
        <v>0.45</v>
      </c>
      <c r="K9" s="1">
        <v>0.45</v>
      </c>
      <c r="L9" s="1">
        <v>0.42</v>
      </c>
      <c r="M9" s="1">
        <v>0.37</v>
      </c>
      <c r="N9" s="1">
        <v>0.33</v>
      </c>
    </row>
    <row r="10" spans="1:14" x14ac:dyDescent="0.3">
      <c r="A10" t="s">
        <v>497</v>
      </c>
      <c r="B10" t="s">
        <v>498</v>
      </c>
      <c r="C10" t="s">
        <v>37</v>
      </c>
      <c r="D10" s="1">
        <v>0.15</v>
      </c>
      <c r="E10" t="s">
        <v>38</v>
      </c>
      <c r="F10" s="1">
        <v>0.3</v>
      </c>
      <c r="G10" t="s">
        <v>18</v>
      </c>
      <c r="H10" s="1">
        <v>0.9</v>
      </c>
      <c r="I10" s="1">
        <f>SUMPRODUCT(H10:H13,F10:F13)*D10</f>
        <v>0.1215</v>
      </c>
      <c r="J10" s="1">
        <v>0.64</v>
      </c>
      <c r="K10" s="1">
        <v>0.64</v>
      </c>
      <c r="L10" s="1">
        <v>0.61</v>
      </c>
      <c r="M10" s="1">
        <v>0.56000000000000005</v>
      </c>
      <c r="N10" s="1">
        <v>0.51</v>
      </c>
    </row>
    <row r="11" spans="1:14" x14ac:dyDescent="0.3">
      <c r="A11" t="s">
        <v>497</v>
      </c>
      <c r="B11" t="s">
        <v>498</v>
      </c>
      <c r="C11" t="s">
        <v>37</v>
      </c>
      <c r="D11" s="1">
        <v>0.15</v>
      </c>
      <c r="E11" t="s">
        <v>304</v>
      </c>
      <c r="F11" s="1">
        <v>0.25</v>
      </c>
      <c r="G11" t="s">
        <v>40</v>
      </c>
      <c r="H11" s="1">
        <v>0.7</v>
      </c>
      <c r="I11" s="1"/>
      <c r="J11" s="1">
        <v>0.64</v>
      </c>
      <c r="K11" s="1">
        <v>0.64</v>
      </c>
      <c r="L11" s="1">
        <v>0.61</v>
      </c>
      <c r="M11" s="1">
        <v>0.56000000000000005</v>
      </c>
      <c r="N11" s="1">
        <v>0.51</v>
      </c>
    </row>
    <row r="12" spans="1:14" x14ac:dyDescent="0.3">
      <c r="A12" t="s">
        <v>497</v>
      </c>
      <c r="B12" t="s">
        <v>498</v>
      </c>
      <c r="C12" t="s">
        <v>37</v>
      </c>
      <c r="D12" s="1">
        <v>0.15</v>
      </c>
      <c r="E12" t="s">
        <v>41</v>
      </c>
      <c r="F12" s="1">
        <v>0.25</v>
      </c>
      <c r="G12" t="s">
        <v>28</v>
      </c>
      <c r="H12" s="1">
        <v>0.7</v>
      </c>
      <c r="I12" s="1"/>
      <c r="J12" s="1">
        <v>0.64</v>
      </c>
      <c r="K12" s="1">
        <v>0.64</v>
      </c>
      <c r="L12" s="1">
        <v>0.61</v>
      </c>
      <c r="M12" s="1">
        <v>0.56000000000000005</v>
      </c>
      <c r="N12" s="1">
        <v>0.51</v>
      </c>
    </row>
    <row r="13" spans="1:14" x14ac:dyDescent="0.3">
      <c r="A13" t="s">
        <v>497</v>
      </c>
      <c r="B13" t="s">
        <v>498</v>
      </c>
      <c r="C13" t="s">
        <v>37</v>
      </c>
      <c r="D13" s="1">
        <v>0.15</v>
      </c>
      <c r="E13" t="s">
        <v>42</v>
      </c>
      <c r="F13" s="1">
        <v>0.2</v>
      </c>
      <c r="G13" t="s">
        <v>24</v>
      </c>
      <c r="H13" s="1">
        <v>0.95</v>
      </c>
      <c r="I13" s="1"/>
      <c r="J13" s="1">
        <v>0.64</v>
      </c>
      <c r="K13" s="1">
        <v>0.64</v>
      </c>
      <c r="L13" s="1">
        <v>0.61</v>
      </c>
      <c r="M13" s="1">
        <v>0.56000000000000005</v>
      </c>
      <c r="N13" s="1">
        <v>0.51</v>
      </c>
    </row>
    <row r="14" spans="1:14" x14ac:dyDescent="0.3">
      <c r="A14" t="s">
        <v>497</v>
      </c>
      <c r="B14" t="s">
        <v>498</v>
      </c>
      <c r="C14" t="s">
        <v>93</v>
      </c>
      <c r="D14" s="1">
        <v>0.25</v>
      </c>
      <c r="E14" t="s">
        <v>500</v>
      </c>
      <c r="F14" s="1">
        <v>0.25</v>
      </c>
      <c r="G14" t="s">
        <v>40</v>
      </c>
      <c r="H14" s="1">
        <v>0.7</v>
      </c>
      <c r="I14" s="1">
        <f>SUMPRODUCT(H14:H17,F14:F17)*D14</f>
        <v>0.14687499999999998</v>
      </c>
      <c r="J14" s="1">
        <v>0.42</v>
      </c>
      <c r="K14" s="1">
        <v>0.42</v>
      </c>
      <c r="L14" s="1">
        <v>0.39</v>
      </c>
      <c r="M14" s="1">
        <v>0.34</v>
      </c>
      <c r="N14" s="1">
        <v>0.28999999999999998</v>
      </c>
    </row>
    <row r="15" spans="1:14" x14ac:dyDescent="0.3">
      <c r="A15" t="s">
        <v>497</v>
      </c>
      <c r="B15" t="s">
        <v>498</v>
      </c>
      <c r="C15" t="s">
        <v>93</v>
      </c>
      <c r="D15" s="1">
        <v>0.25</v>
      </c>
      <c r="E15" t="s">
        <v>50</v>
      </c>
      <c r="F15" s="1">
        <v>0.25</v>
      </c>
      <c r="G15" t="s">
        <v>20</v>
      </c>
      <c r="H15" s="1">
        <v>0.6</v>
      </c>
      <c r="I15" s="1"/>
      <c r="J15" s="1">
        <v>0.42</v>
      </c>
      <c r="K15" s="1">
        <v>0.42</v>
      </c>
      <c r="L15" s="1">
        <v>0.39</v>
      </c>
      <c r="M15" s="1">
        <v>0.34</v>
      </c>
      <c r="N15" s="1">
        <v>0.28999999999999998</v>
      </c>
    </row>
    <row r="16" spans="1:14" x14ac:dyDescent="0.3">
      <c r="A16" t="s">
        <v>497</v>
      </c>
      <c r="B16" t="s">
        <v>498</v>
      </c>
      <c r="C16" t="s">
        <v>93</v>
      </c>
      <c r="D16" s="1">
        <v>0.25</v>
      </c>
      <c r="E16" t="s">
        <v>501</v>
      </c>
      <c r="F16" s="1">
        <v>0.25</v>
      </c>
      <c r="G16" t="s">
        <v>30</v>
      </c>
      <c r="H16" s="1">
        <v>0.1</v>
      </c>
      <c r="I16" s="1"/>
      <c r="J16" s="1">
        <v>0.42</v>
      </c>
      <c r="K16" s="1">
        <v>0.42</v>
      </c>
      <c r="L16" s="1">
        <v>0.39</v>
      </c>
      <c r="M16" s="1">
        <v>0.34</v>
      </c>
      <c r="N16" s="1">
        <v>0.28999999999999998</v>
      </c>
    </row>
    <row r="17" spans="1:14" x14ac:dyDescent="0.3">
      <c r="A17" t="s">
        <v>497</v>
      </c>
      <c r="B17" t="s">
        <v>498</v>
      </c>
      <c r="C17" t="s">
        <v>93</v>
      </c>
      <c r="D17" s="1">
        <v>0.25</v>
      </c>
      <c r="E17" t="s">
        <v>53</v>
      </c>
      <c r="F17" s="1">
        <v>0.25</v>
      </c>
      <c r="G17" t="s">
        <v>24</v>
      </c>
      <c r="H17" s="1">
        <v>0.95</v>
      </c>
      <c r="I17" s="1"/>
      <c r="J17" s="1">
        <v>0.42</v>
      </c>
      <c r="K17" s="1">
        <v>0.42</v>
      </c>
      <c r="L17" s="1">
        <v>0.39</v>
      </c>
      <c r="M17" s="1">
        <v>0.34</v>
      </c>
      <c r="N17" s="1">
        <v>0.28999999999999998</v>
      </c>
    </row>
    <row r="18" spans="1:14" x14ac:dyDescent="0.3">
      <c r="A18" t="s">
        <v>497</v>
      </c>
      <c r="B18" t="s">
        <v>498</v>
      </c>
      <c r="C18" t="s">
        <v>43</v>
      </c>
      <c r="D18" s="1">
        <v>0.15</v>
      </c>
      <c r="E18" t="s">
        <v>308</v>
      </c>
      <c r="F18" s="1">
        <v>0.25</v>
      </c>
      <c r="G18" t="s">
        <v>18</v>
      </c>
      <c r="H18" s="1">
        <v>0.9</v>
      </c>
      <c r="I18" s="1">
        <f>SUMPRODUCT(H18:H21,F18:F21)*D18</f>
        <v>8.9249999999999996E-2</v>
      </c>
      <c r="J18" s="1">
        <v>0.45</v>
      </c>
      <c r="K18" s="1">
        <v>0.45</v>
      </c>
      <c r="L18" s="1">
        <v>0.42</v>
      </c>
      <c r="M18" s="1">
        <v>0.37</v>
      </c>
      <c r="N18" s="1">
        <v>0.33</v>
      </c>
    </row>
    <row r="19" spans="1:14" x14ac:dyDescent="0.3">
      <c r="A19" t="s">
        <v>497</v>
      </c>
      <c r="B19" t="s">
        <v>498</v>
      </c>
      <c r="C19" t="s">
        <v>43</v>
      </c>
      <c r="D19" s="1">
        <v>0.15</v>
      </c>
      <c r="E19" t="s">
        <v>403</v>
      </c>
      <c r="F19" s="1">
        <v>0.25</v>
      </c>
      <c r="G19" t="s">
        <v>20</v>
      </c>
      <c r="H19" s="1">
        <v>0.6</v>
      </c>
      <c r="I19" s="1"/>
      <c r="J19" s="1">
        <v>0.45</v>
      </c>
      <c r="K19" s="1">
        <v>0.45</v>
      </c>
      <c r="L19" s="1">
        <v>0.42</v>
      </c>
      <c r="M19" s="1">
        <v>0.37</v>
      </c>
      <c r="N19" s="1">
        <v>0.33</v>
      </c>
    </row>
    <row r="20" spans="1:14" x14ac:dyDescent="0.3">
      <c r="A20" t="s">
        <v>497</v>
      </c>
      <c r="B20" t="s">
        <v>498</v>
      </c>
      <c r="C20" t="s">
        <v>43</v>
      </c>
      <c r="D20" s="1">
        <v>0.15</v>
      </c>
      <c r="E20" t="s">
        <v>502</v>
      </c>
      <c r="F20" s="1">
        <v>0.3</v>
      </c>
      <c r="G20" t="s">
        <v>30</v>
      </c>
      <c r="H20" s="1">
        <v>0.1</v>
      </c>
      <c r="I20" s="1"/>
      <c r="J20" s="1">
        <v>0.45</v>
      </c>
      <c r="K20" s="1">
        <v>0.45</v>
      </c>
      <c r="L20" s="1">
        <v>0.42</v>
      </c>
      <c r="M20" s="1">
        <v>0.37</v>
      </c>
      <c r="N20" s="1">
        <v>0.33</v>
      </c>
    </row>
    <row r="21" spans="1:14" x14ac:dyDescent="0.3">
      <c r="A21" t="s">
        <v>497</v>
      </c>
      <c r="B21" t="s">
        <v>498</v>
      </c>
      <c r="C21" t="s">
        <v>43</v>
      </c>
      <c r="D21" s="1">
        <v>0.15</v>
      </c>
      <c r="E21" t="s">
        <v>116</v>
      </c>
      <c r="F21" s="1">
        <v>0.2</v>
      </c>
      <c r="G21" t="s">
        <v>24</v>
      </c>
      <c r="H21" s="1">
        <v>0.95</v>
      </c>
      <c r="I21" s="1"/>
      <c r="J21" s="1">
        <v>0.45</v>
      </c>
      <c r="K21" s="1">
        <v>0.45</v>
      </c>
      <c r="L21" s="1">
        <v>0.42</v>
      </c>
      <c r="M21" s="1">
        <v>0.37</v>
      </c>
      <c r="N21" s="1">
        <v>0.33</v>
      </c>
    </row>
    <row r="22" spans="1:14" x14ac:dyDescent="0.3">
      <c r="A22" t="s">
        <v>497</v>
      </c>
      <c r="B22" t="s">
        <v>498</v>
      </c>
      <c r="C22" t="s">
        <v>271</v>
      </c>
      <c r="D22" s="1">
        <v>0.1</v>
      </c>
      <c r="E22" t="s">
        <v>482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0.33</v>
      </c>
      <c r="K22" s="1">
        <v>0.33</v>
      </c>
      <c r="L22" s="1">
        <v>0.3</v>
      </c>
      <c r="M22" s="1">
        <v>0.26</v>
      </c>
      <c r="N22" s="1">
        <v>0.22</v>
      </c>
    </row>
    <row r="23" spans="1:14" x14ac:dyDescent="0.3">
      <c r="A23" t="s">
        <v>497</v>
      </c>
      <c r="B23" t="s">
        <v>498</v>
      </c>
      <c r="C23" t="s">
        <v>271</v>
      </c>
      <c r="D23" s="1">
        <v>0.1</v>
      </c>
      <c r="E23" t="s">
        <v>458</v>
      </c>
      <c r="F23" s="1">
        <v>0.25</v>
      </c>
      <c r="G23" t="s">
        <v>20</v>
      </c>
      <c r="H23" s="1">
        <v>0.6</v>
      </c>
      <c r="I23" s="1"/>
      <c r="J23" s="1">
        <v>0.33</v>
      </c>
      <c r="K23" s="1">
        <v>0.33</v>
      </c>
      <c r="L23" s="1">
        <v>0.3</v>
      </c>
      <c r="M23" s="1">
        <v>0.26</v>
      </c>
      <c r="N23" s="1">
        <v>0.22</v>
      </c>
    </row>
    <row r="24" spans="1:14" x14ac:dyDescent="0.3">
      <c r="A24" t="s">
        <v>497</v>
      </c>
      <c r="B24" t="s">
        <v>498</v>
      </c>
      <c r="C24" t="s">
        <v>271</v>
      </c>
      <c r="D24" s="1">
        <v>0.1</v>
      </c>
      <c r="E24" t="s">
        <v>503</v>
      </c>
      <c r="F24" s="1">
        <v>0.25</v>
      </c>
      <c r="G24" t="s">
        <v>30</v>
      </c>
      <c r="H24" s="1">
        <v>0.1</v>
      </c>
      <c r="I24" s="1"/>
      <c r="J24" s="1">
        <v>0.33</v>
      </c>
      <c r="K24" s="1">
        <v>0.33</v>
      </c>
      <c r="L24" s="1">
        <v>0.3</v>
      </c>
      <c r="M24" s="1">
        <v>0.26</v>
      </c>
      <c r="N24" s="1">
        <v>0.22</v>
      </c>
    </row>
    <row r="25" spans="1:14" x14ac:dyDescent="0.3">
      <c r="A25" t="s">
        <v>497</v>
      </c>
      <c r="B25" t="s">
        <v>498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0.33</v>
      </c>
      <c r="K25" s="1">
        <v>0.33</v>
      </c>
      <c r="L25" s="1">
        <v>0.3</v>
      </c>
      <c r="M25" s="1">
        <v>0.26</v>
      </c>
      <c r="N25" s="1">
        <v>0.22</v>
      </c>
    </row>
    <row r="26" spans="1:14" x14ac:dyDescent="0.3">
      <c r="D26" s="1"/>
      <c r="F26" s="1"/>
      <c r="H26" s="1"/>
      <c r="I26" s="2">
        <f>SUM(I2:I25)</f>
        <v>0.66162500000000002</v>
      </c>
      <c r="J26" s="2">
        <f>+J6*$D6+J10*$D10+J14*$D14+J18*$D18+J22*$D22+$D2*J2</f>
        <v>0.499</v>
      </c>
      <c r="K26" s="2">
        <f t="shared" ref="K26:N26" si="0">+K6*$D6+K10*$D10+K14*$D14+K18*$D18+K22*$D22+$D2*K2</f>
        <v>0.499</v>
      </c>
      <c r="L26" s="2">
        <f t="shared" si="0"/>
        <v>0.46899999999999997</v>
      </c>
      <c r="M26" s="2">
        <f t="shared" si="0"/>
        <v>0.42000000000000004</v>
      </c>
      <c r="N26" s="2">
        <f t="shared" si="0"/>
        <v>0.374</v>
      </c>
    </row>
    <row r="27" spans="1:14" x14ac:dyDescent="0.3">
      <c r="D27" s="1"/>
      <c r="F27" s="1"/>
      <c r="H27" s="1"/>
      <c r="I27" s="1"/>
      <c r="J27" s="1"/>
      <c r="K27" s="1"/>
      <c r="L27" s="1"/>
      <c r="M27" s="1"/>
      <c r="N27" s="1"/>
    </row>
    <row r="28" spans="1:14" x14ac:dyDescent="0.3">
      <c r="A28" t="s">
        <v>497</v>
      </c>
      <c r="B28" t="s">
        <v>504</v>
      </c>
      <c r="C28" t="s">
        <v>105</v>
      </c>
      <c r="D28" s="1">
        <v>0.2</v>
      </c>
      <c r="E28" t="s">
        <v>244</v>
      </c>
      <c r="F28" s="1">
        <v>0.25</v>
      </c>
      <c r="G28" t="s">
        <v>28</v>
      </c>
      <c r="H28" s="1">
        <v>0.7</v>
      </c>
      <c r="I28" s="1">
        <f>SUMPRODUCT(H28:H31,F28:F31)*D28</f>
        <v>0.10400000000000001</v>
      </c>
      <c r="J28" s="1">
        <v>0.4</v>
      </c>
      <c r="K28" s="1">
        <v>0.4</v>
      </c>
      <c r="L28" s="1">
        <v>0.37</v>
      </c>
      <c r="M28" s="1">
        <v>0.33</v>
      </c>
      <c r="N28" s="1">
        <v>0.28000000000000003</v>
      </c>
    </row>
    <row r="29" spans="1:14" x14ac:dyDescent="0.3">
      <c r="A29" t="s">
        <v>497</v>
      </c>
      <c r="B29" t="s">
        <v>504</v>
      </c>
      <c r="C29" t="s">
        <v>105</v>
      </c>
      <c r="D29" s="1">
        <v>0.2</v>
      </c>
      <c r="E29" t="s">
        <v>505</v>
      </c>
      <c r="F29" s="1">
        <v>0.35</v>
      </c>
      <c r="G29" t="s">
        <v>30</v>
      </c>
      <c r="H29" s="1">
        <v>0.1</v>
      </c>
      <c r="I29" s="1"/>
      <c r="J29" s="1">
        <v>0.4</v>
      </c>
      <c r="K29" s="1">
        <v>0.4</v>
      </c>
      <c r="L29" s="1">
        <v>0.37</v>
      </c>
      <c r="M29" s="1">
        <v>0.33</v>
      </c>
      <c r="N29" s="1">
        <v>0.28000000000000003</v>
      </c>
    </row>
    <row r="30" spans="1:14" x14ac:dyDescent="0.3">
      <c r="A30" t="s">
        <v>497</v>
      </c>
      <c r="B30" t="s">
        <v>504</v>
      </c>
      <c r="C30" t="s">
        <v>105</v>
      </c>
      <c r="D30" s="1">
        <v>0.2</v>
      </c>
      <c r="E30" t="s">
        <v>144</v>
      </c>
      <c r="F30" s="1">
        <v>0.2</v>
      </c>
      <c r="G30" t="s">
        <v>20</v>
      </c>
      <c r="H30" s="1">
        <v>0.6</v>
      </c>
      <c r="I30" s="1"/>
      <c r="J30" s="1">
        <v>0.4</v>
      </c>
      <c r="K30" s="1">
        <v>0.4</v>
      </c>
      <c r="L30" s="1">
        <v>0.37</v>
      </c>
      <c r="M30" s="1">
        <v>0.33</v>
      </c>
      <c r="N30" s="1">
        <v>0.28000000000000003</v>
      </c>
    </row>
    <row r="31" spans="1:14" x14ac:dyDescent="0.3">
      <c r="A31" t="s">
        <v>497</v>
      </c>
      <c r="B31" t="s">
        <v>504</v>
      </c>
      <c r="C31" t="s">
        <v>105</v>
      </c>
      <c r="D31" s="1">
        <v>0.2</v>
      </c>
      <c r="E31" t="s">
        <v>108</v>
      </c>
      <c r="F31" s="1">
        <v>0.2</v>
      </c>
      <c r="G31" t="s">
        <v>24</v>
      </c>
      <c r="H31" s="1">
        <v>0.95</v>
      </c>
      <c r="I31" s="1"/>
      <c r="J31" s="1">
        <v>0.4</v>
      </c>
      <c r="K31" s="1">
        <v>0.4</v>
      </c>
      <c r="L31" s="1">
        <v>0.37</v>
      </c>
      <c r="M31" s="1">
        <v>0.33</v>
      </c>
      <c r="N31" s="1">
        <v>0.28000000000000003</v>
      </c>
    </row>
    <row r="32" spans="1:14" x14ac:dyDescent="0.3">
      <c r="A32" t="s">
        <v>497</v>
      </c>
      <c r="B32" t="s">
        <v>504</v>
      </c>
      <c r="C32" t="s">
        <v>16</v>
      </c>
      <c r="D32" s="1">
        <v>0.2</v>
      </c>
      <c r="E32" t="s">
        <v>17</v>
      </c>
      <c r="F32" s="1">
        <v>0.3</v>
      </c>
      <c r="G32" t="s">
        <v>18</v>
      </c>
      <c r="H32" s="1">
        <v>0.9</v>
      </c>
      <c r="I32" s="1">
        <f>SUMPRODUCT(H32:H35,F32:F35)*D32</f>
        <v>0.16550000000000004</v>
      </c>
      <c r="J32" s="1">
        <v>0.66</v>
      </c>
      <c r="K32" s="1">
        <v>0.66</v>
      </c>
      <c r="L32" s="1">
        <v>0.63</v>
      </c>
      <c r="M32" s="1">
        <v>0.57999999999999996</v>
      </c>
      <c r="N32" s="1">
        <v>0.53</v>
      </c>
    </row>
    <row r="33" spans="1:14" x14ac:dyDescent="0.3">
      <c r="A33" t="s">
        <v>497</v>
      </c>
      <c r="B33" t="s">
        <v>504</v>
      </c>
      <c r="C33" t="s">
        <v>16</v>
      </c>
      <c r="D33" s="1">
        <v>0.2</v>
      </c>
      <c r="E33" t="s">
        <v>19</v>
      </c>
      <c r="F33" s="1">
        <v>0.25</v>
      </c>
      <c r="G33" t="s">
        <v>20</v>
      </c>
      <c r="H33" s="1">
        <v>0.6</v>
      </c>
      <c r="I33" s="1"/>
      <c r="J33" s="1">
        <v>0.66</v>
      </c>
      <c r="K33" s="1">
        <v>0.66</v>
      </c>
      <c r="L33" s="1">
        <v>0.63</v>
      </c>
      <c r="M33" s="1">
        <v>0.57999999999999996</v>
      </c>
      <c r="N33" s="1">
        <v>0.53</v>
      </c>
    </row>
    <row r="34" spans="1:14" x14ac:dyDescent="0.3">
      <c r="A34" t="s">
        <v>497</v>
      </c>
      <c r="B34" t="s">
        <v>504</v>
      </c>
      <c r="C34" t="s">
        <v>16</v>
      </c>
      <c r="D34" s="1">
        <v>0.2</v>
      </c>
      <c r="E34" t="s">
        <v>21</v>
      </c>
      <c r="F34" s="1">
        <v>0.2</v>
      </c>
      <c r="G34" t="s">
        <v>22</v>
      </c>
      <c r="H34" s="1">
        <v>0.85</v>
      </c>
      <c r="I34" s="1"/>
      <c r="J34" s="1">
        <v>0.66</v>
      </c>
      <c r="K34" s="1">
        <v>0.66</v>
      </c>
      <c r="L34" s="1">
        <v>0.63</v>
      </c>
      <c r="M34" s="1">
        <v>0.57999999999999996</v>
      </c>
      <c r="N34" s="1">
        <v>0.53</v>
      </c>
    </row>
    <row r="35" spans="1:14" x14ac:dyDescent="0.3">
      <c r="A35" t="s">
        <v>497</v>
      </c>
      <c r="B35" t="s">
        <v>504</v>
      </c>
      <c r="C35" t="s">
        <v>16</v>
      </c>
      <c r="D35" s="1">
        <v>0.2</v>
      </c>
      <c r="E35" t="s">
        <v>23</v>
      </c>
      <c r="F35" s="1">
        <v>0.25</v>
      </c>
      <c r="G35" t="s">
        <v>24</v>
      </c>
      <c r="H35" s="1">
        <v>0.95</v>
      </c>
      <c r="I35" s="1"/>
      <c r="J35" s="1">
        <v>0.66</v>
      </c>
      <c r="K35" s="1">
        <v>0.66</v>
      </c>
      <c r="L35" s="1">
        <v>0.63</v>
      </c>
      <c r="M35" s="1">
        <v>0.57999999999999996</v>
      </c>
      <c r="N35" s="1">
        <v>0.53</v>
      </c>
    </row>
    <row r="36" spans="1:14" x14ac:dyDescent="0.3">
      <c r="A36" t="s">
        <v>497</v>
      </c>
      <c r="B36" t="s">
        <v>504</v>
      </c>
      <c r="C36" t="s">
        <v>25</v>
      </c>
      <c r="D36" s="1">
        <v>0.15</v>
      </c>
      <c r="E36" t="s">
        <v>26</v>
      </c>
      <c r="F36" s="1">
        <v>0.25</v>
      </c>
      <c r="G36" t="s">
        <v>18</v>
      </c>
      <c r="H36" s="1">
        <v>0.9</v>
      </c>
      <c r="I36" s="1">
        <f>SUMPRODUCT(H36:H39,F36:F39)*D36</f>
        <v>9.3000000000000013E-2</v>
      </c>
      <c r="J36" s="1">
        <v>0.46</v>
      </c>
      <c r="K36" s="1">
        <v>0.46</v>
      </c>
      <c r="L36" s="1">
        <v>0.43</v>
      </c>
      <c r="M36" s="1">
        <v>0.38</v>
      </c>
      <c r="N36" s="1">
        <v>0.34</v>
      </c>
    </row>
    <row r="37" spans="1:14" x14ac:dyDescent="0.3">
      <c r="A37" t="s">
        <v>497</v>
      </c>
      <c r="B37" t="s">
        <v>504</v>
      </c>
      <c r="C37" t="s">
        <v>25</v>
      </c>
      <c r="D37" s="1">
        <v>0.15</v>
      </c>
      <c r="E37" t="s">
        <v>27</v>
      </c>
      <c r="F37" s="1">
        <v>0.25</v>
      </c>
      <c r="G37" t="s">
        <v>28</v>
      </c>
      <c r="H37" s="1">
        <v>0.7</v>
      </c>
      <c r="I37" s="1"/>
      <c r="J37" s="1">
        <v>0.46</v>
      </c>
      <c r="K37" s="1">
        <v>0.46</v>
      </c>
      <c r="L37" s="1">
        <v>0.43</v>
      </c>
      <c r="M37" s="1">
        <v>0.38</v>
      </c>
      <c r="N37" s="1">
        <v>0.34</v>
      </c>
    </row>
    <row r="38" spans="1:14" x14ac:dyDescent="0.3">
      <c r="A38" t="s">
        <v>497</v>
      </c>
      <c r="B38" t="s">
        <v>504</v>
      </c>
      <c r="C38" t="s">
        <v>25</v>
      </c>
      <c r="D38" s="1">
        <v>0.15</v>
      </c>
      <c r="E38" t="s">
        <v>29</v>
      </c>
      <c r="F38" s="1">
        <v>0.3</v>
      </c>
      <c r="G38" t="s">
        <v>30</v>
      </c>
      <c r="H38" s="1">
        <v>0.1</v>
      </c>
      <c r="I38" s="1"/>
      <c r="J38" s="1">
        <v>0.46</v>
      </c>
      <c r="K38" s="1">
        <v>0.46</v>
      </c>
      <c r="L38" s="1">
        <v>0.43</v>
      </c>
      <c r="M38" s="1">
        <v>0.38</v>
      </c>
      <c r="N38" s="1">
        <v>0.34</v>
      </c>
    </row>
    <row r="39" spans="1:14" x14ac:dyDescent="0.3">
      <c r="A39" t="s">
        <v>497</v>
      </c>
      <c r="B39" t="s">
        <v>504</v>
      </c>
      <c r="C39" t="s">
        <v>25</v>
      </c>
      <c r="D39" s="1">
        <v>0.15</v>
      </c>
      <c r="E39" t="s">
        <v>31</v>
      </c>
      <c r="F39" s="1">
        <v>0.2</v>
      </c>
      <c r="G39" t="s">
        <v>24</v>
      </c>
      <c r="H39" s="1">
        <v>0.95</v>
      </c>
      <c r="I39" s="1"/>
      <c r="J39" s="1">
        <v>0.46</v>
      </c>
      <c r="K39" s="1">
        <v>0.46</v>
      </c>
      <c r="L39" s="1">
        <v>0.43</v>
      </c>
      <c r="M39" s="1">
        <v>0.38</v>
      </c>
      <c r="N39" s="1">
        <v>0.34</v>
      </c>
    </row>
    <row r="40" spans="1:14" x14ac:dyDescent="0.3">
      <c r="A40" t="s">
        <v>497</v>
      </c>
      <c r="B40" t="s">
        <v>504</v>
      </c>
      <c r="C40" t="s">
        <v>37</v>
      </c>
      <c r="D40" s="1">
        <v>0.15</v>
      </c>
      <c r="E40" t="s">
        <v>38</v>
      </c>
      <c r="F40" s="1">
        <v>0.3</v>
      </c>
      <c r="G40" t="s">
        <v>18</v>
      </c>
      <c r="H40" s="1">
        <v>0.9</v>
      </c>
      <c r="I40" s="1">
        <f>SUMPRODUCT(H40:H43,F40:F43)*D40</f>
        <v>0.1215</v>
      </c>
      <c r="J40" s="1">
        <v>0.65</v>
      </c>
      <c r="K40" s="1">
        <v>0.65</v>
      </c>
      <c r="L40" s="1">
        <v>0.62</v>
      </c>
      <c r="M40" s="1">
        <v>0.56999999999999995</v>
      </c>
      <c r="N40" s="1">
        <v>0.52</v>
      </c>
    </row>
    <row r="41" spans="1:14" x14ac:dyDescent="0.3">
      <c r="A41" t="s">
        <v>497</v>
      </c>
      <c r="B41" t="s">
        <v>504</v>
      </c>
      <c r="C41" t="s">
        <v>37</v>
      </c>
      <c r="D41" s="1">
        <v>0.15</v>
      </c>
      <c r="E41" t="s">
        <v>39</v>
      </c>
      <c r="F41" s="1">
        <v>0.25</v>
      </c>
      <c r="G41" t="s">
        <v>40</v>
      </c>
      <c r="H41" s="1">
        <v>0.7</v>
      </c>
      <c r="I41" s="1"/>
      <c r="J41" s="1">
        <v>0.65</v>
      </c>
      <c r="K41" s="1">
        <v>0.65</v>
      </c>
      <c r="L41" s="1">
        <v>0.62</v>
      </c>
      <c r="M41" s="1">
        <v>0.56999999999999995</v>
      </c>
      <c r="N41" s="1">
        <v>0.52</v>
      </c>
    </row>
    <row r="42" spans="1:14" x14ac:dyDescent="0.3">
      <c r="A42" t="s">
        <v>497</v>
      </c>
      <c r="B42" t="s">
        <v>504</v>
      </c>
      <c r="C42" t="s">
        <v>37</v>
      </c>
      <c r="D42" s="1">
        <v>0.15</v>
      </c>
      <c r="E42" t="s">
        <v>41</v>
      </c>
      <c r="F42" s="1">
        <v>0.25</v>
      </c>
      <c r="G42" t="s">
        <v>28</v>
      </c>
      <c r="H42" s="1">
        <v>0.7</v>
      </c>
      <c r="I42" s="1"/>
      <c r="J42" s="1">
        <v>0.65</v>
      </c>
      <c r="K42" s="1">
        <v>0.65</v>
      </c>
      <c r="L42" s="1">
        <v>0.62</v>
      </c>
      <c r="M42" s="1">
        <v>0.56999999999999995</v>
      </c>
      <c r="N42" s="1">
        <v>0.52</v>
      </c>
    </row>
    <row r="43" spans="1:14" x14ac:dyDescent="0.3">
      <c r="A43" t="s">
        <v>497</v>
      </c>
      <c r="B43" t="s">
        <v>504</v>
      </c>
      <c r="C43" t="s">
        <v>37</v>
      </c>
      <c r="D43" s="1">
        <v>0.15</v>
      </c>
      <c r="E43" t="s">
        <v>42</v>
      </c>
      <c r="F43" s="1">
        <v>0.2</v>
      </c>
      <c r="G43" t="s">
        <v>24</v>
      </c>
      <c r="H43" s="1">
        <v>0.95</v>
      </c>
      <c r="I43" s="1"/>
      <c r="J43" s="1">
        <v>0.65</v>
      </c>
      <c r="K43" s="1">
        <v>0.65</v>
      </c>
      <c r="L43" s="1">
        <v>0.62</v>
      </c>
      <c r="M43" s="1">
        <v>0.56999999999999995</v>
      </c>
      <c r="N43" s="1">
        <v>0.52</v>
      </c>
    </row>
    <row r="44" spans="1:14" x14ac:dyDescent="0.3">
      <c r="A44" t="s">
        <v>497</v>
      </c>
      <c r="B44" t="s">
        <v>504</v>
      </c>
      <c r="C44" t="s">
        <v>48</v>
      </c>
      <c r="D44" s="1">
        <v>0.15</v>
      </c>
      <c r="E44" t="s">
        <v>123</v>
      </c>
      <c r="F44" s="1">
        <v>0.25</v>
      </c>
      <c r="G44" t="s">
        <v>40</v>
      </c>
      <c r="H44" s="1">
        <v>0.7</v>
      </c>
      <c r="I44" s="1">
        <f>SUMPRODUCT(H44:H47,F44:F47)*D44</f>
        <v>8.8124999999999981E-2</v>
      </c>
      <c r="J44" s="1">
        <v>0.43</v>
      </c>
      <c r="K44" s="1">
        <v>0.43</v>
      </c>
      <c r="L44" s="1">
        <v>0.4</v>
      </c>
      <c r="M44" s="1">
        <v>0.35</v>
      </c>
      <c r="N44" s="1">
        <v>0.3</v>
      </c>
    </row>
    <row r="45" spans="1:14" x14ac:dyDescent="0.3">
      <c r="A45" t="s">
        <v>497</v>
      </c>
      <c r="B45" t="s">
        <v>504</v>
      </c>
      <c r="C45" t="s">
        <v>48</v>
      </c>
      <c r="D45" s="1">
        <v>0.15</v>
      </c>
      <c r="E45" t="s">
        <v>50</v>
      </c>
      <c r="F45" s="1">
        <v>0.25</v>
      </c>
      <c r="G45" t="s">
        <v>20</v>
      </c>
      <c r="H45" s="1">
        <v>0.6</v>
      </c>
      <c r="I45" s="1"/>
      <c r="J45" s="1">
        <v>0.43</v>
      </c>
      <c r="K45" s="1">
        <v>0.43</v>
      </c>
      <c r="L45" s="1">
        <v>0.4</v>
      </c>
      <c r="M45" s="1">
        <v>0.35</v>
      </c>
      <c r="N45" s="1">
        <v>0.3</v>
      </c>
    </row>
    <row r="46" spans="1:14" x14ac:dyDescent="0.3">
      <c r="A46" t="s">
        <v>497</v>
      </c>
      <c r="B46" t="s">
        <v>504</v>
      </c>
      <c r="C46" t="s">
        <v>48</v>
      </c>
      <c r="D46" s="1">
        <v>0.15</v>
      </c>
      <c r="E46" t="s">
        <v>210</v>
      </c>
      <c r="F46" s="1">
        <v>0.25</v>
      </c>
      <c r="G46" t="s">
        <v>30</v>
      </c>
      <c r="H46" s="1">
        <v>0.1</v>
      </c>
      <c r="I46" s="1"/>
      <c r="J46" s="1">
        <v>0.43</v>
      </c>
      <c r="K46" s="1">
        <v>0.43</v>
      </c>
      <c r="L46" s="1">
        <v>0.4</v>
      </c>
      <c r="M46" s="1">
        <v>0.35</v>
      </c>
      <c r="N46" s="1">
        <v>0.3</v>
      </c>
    </row>
    <row r="47" spans="1:14" x14ac:dyDescent="0.3">
      <c r="A47" t="s">
        <v>497</v>
      </c>
      <c r="B47" t="s">
        <v>504</v>
      </c>
      <c r="C47" t="s">
        <v>48</v>
      </c>
      <c r="D47" s="1">
        <v>0.15</v>
      </c>
      <c r="E47" t="s">
        <v>53</v>
      </c>
      <c r="F47" s="1">
        <v>0.25</v>
      </c>
      <c r="G47" t="s">
        <v>24</v>
      </c>
      <c r="H47" s="1">
        <v>0.95</v>
      </c>
      <c r="I47" s="1"/>
      <c r="J47" s="1">
        <v>0.43</v>
      </c>
      <c r="K47" s="1">
        <v>0.43</v>
      </c>
      <c r="L47" s="1">
        <v>0.4</v>
      </c>
      <c r="M47" s="1">
        <v>0.35</v>
      </c>
      <c r="N47" s="1">
        <v>0.3</v>
      </c>
    </row>
    <row r="48" spans="1:14" x14ac:dyDescent="0.3">
      <c r="A48" t="s">
        <v>497</v>
      </c>
      <c r="B48" t="s">
        <v>504</v>
      </c>
      <c r="C48" t="s">
        <v>43</v>
      </c>
      <c r="D48" s="1">
        <v>0.15</v>
      </c>
      <c r="E48" t="s">
        <v>308</v>
      </c>
      <c r="F48" s="1">
        <v>0.25</v>
      </c>
      <c r="G48" t="s">
        <v>18</v>
      </c>
      <c r="H48" s="1">
        <v>0.9</v>
      </c>
      <c r="I48" s="1">
        <f>SUMPRODUCT(H48:H51,F48:F51)*D48</f>
        <v>8.9249999999999996E-2</v>
      </c>
      <c r="J48" s="1">
        <v>0.46</v>
      </c>
      <c r="K48" s="1">
        <v>0.46</v>
      </c>
      <c r="L48" s="1">
        <v>0.43</v>
      </c>
      <c r="M48" s="1">
        <v>0.38</v>
      </c>
      <c r="N48" s="1">
        <v>0.34</v>
      </c>
    </row>
    <row r="49" spans="1:14" x14ac:dyDescent="0.3">
      <c r="A49" t="s">
        <v>497</v>
      </c>
      <c r="B49" t="s">
        <v>504</v>
      </c>
      <c r="C49" t="s">
        <v>43</v>
      </c>
      <c r="D49" s="1">
        <v>0.15</v>
      </c>
      <c r="E49" t="s">
        <v>403</v>
      </c>
      <c r="F49" s="1">
        <v>0.25</v>
      </c>
      <c r="G49" t="s">
        <v>20</v>
      </c>
      <c r="H49" s="1">
        <v>0.6</v>
      </c>
      <c r="I49" s="1"/>
      <c r="J49" s="1">
        <v>0.46</v>
      </c>
      <c r="K49" s="1">
        <v>0.46</v>
      </c>
      <c r="L49" s="1">
        <v>0.43</v>
      </c>
      <c r="M49" s="1">
        <v>0.38</v>
      </c>
      <c r="N49" s="1">
        <v>0.34</v>
      </c>
    </row>
    <row r="50" spans="1:14" x14ac:dyDescent="0.3">
      <c r="A50" t="s">
        <v>497</v>
      </c>
      <c r="B50" t="s">
        <v>504</v>
      </c>
      <c r="C50" t="s">
        <v>43</v>
      </c>
      <c r="D50" s="1">
        <v>0.15</v>
      </c>
      <c r="E50" t="s">
        <v>46</v>
      </c>
      <c r="F50" s="1">
        <v>0.3</v>
      </c>
      <c r="G50" t="s">
        <v>30</v>
      </c>
      <c r="H50" s="1">
        <v>0.1</v>
      </c>
      <c r="I50" s="1"/>
      <c r="J50" s="1">
        <v>0.46</v>
      </c>
      <c r="K50" s="1">
        <v>0.46</v>
      </c>
      <c r="L50" s="1">
        <v>0.43</v>
      </c>
      <c r="M50" s="1">
        <v>0.38</v>
      </c>
      <c r="N50" s="1">
        <v>0.34</v>
      </c>
    </row>
    <row r="51" spans="1:14" x14ac:dyDescent="0.3">
      <c r="A51" t="s">
        <v>497</v>
      </c>
      <c r="B51" t="s">
        <v>504</v>
      </c>
      <c r="C51" t="s">
        <v>43</v>
      </c>
      <c r="D51" s="1">
        <v>0.15</v>
      </c>
      <c r="E51" t="s">
        <v>116</v>
      </c>
      <c r="F51" s="1">
        <v>0.2</v>
      </c>
      <c r="G51" t="s">
        <v>24</v>
      </c>
      <c r="H51" s="1">
        <v>0.95</v>
      </c>
      <c r="I51" s="1"/>
      <c r="J51" s="1">
        <v>0.46</v>
      </c>
      <c r="K51" s="1">
        <v>0.46</v>
      </c>
      <c r="L51" s="1">
        <v>0.43</v>
      </c>
      <c r="M51" s="1">
        <v>0.38</v>
      </c>
      <c r="N51" s="1">
        <v>0.34</v>
      </c>
    </row>
    <row r="52" spans="1:14" x14ac:dyDescent="0.3">
      <c r="A52" t="s">
        <v>497</v>
      </c>
      <c r="B52" t="s">
        <v>504</v>
      </c>
      <c r="C52" t="s">
        <v>271</v>
      </c>
      <c r="D52" s="1">
        <v>0.15</v>
      </c>
      <c r="E52" t="s">
        <v>482</v>
      </c>
      <c r="F52" s="1">
        <v>0.3</v>
      </c>
      <c r="G52" t="s">
        <v>56</v>
      </c>
      <c r="H52" s="1">
        <v>0.3</v>
      </c>
      <c r="I52" s="1">
        <f>SUMPRODUCT(H52:H55,F52:F55)*D52</f>
        <v>6.8250000000000005E-2</v>
      </c>
      <c r="J52" s="1">
        <v>0.34</v>
      </c>
      <c r="K52" s="1">
        <v>0.34</v>
      </c>
      <c r="L52" s="1">
        <v>0.31</v>
      </c>
      <c r="M52" s="1">
        <v>0.27</v>
      </c>
      <c r="N52" s="1">
        <v>0.23</v>
      </c>
    </row>
    <row r="53" spans="1:14" x14ac:dyDescent="0.3">
      <c r="A53" t="s">
        <v>497</v>
      </c>
      <c r="B53" t="s">
        <v>504</v>
      </c>
      <c r="C53" t="s">
        <v>271</v>
      </c>
      <c r="D53" s="1">
        <v>0.15</v>
      </c>
      <c r="E53" t="s">
        <v>458</v>
      </c>
      <c r="F53" s="1">
        <v>0.25</v>
      </c>
      <c r="G53" t="s">
        <v>20</v>
      </c>
      <c r="H53" s="1">
        <v>0.6</v>
      </c>
      <c r="I53" s="1"/>
      <c r="J53" s="1">
        <v>0.34</v>
      </c>
      <c r="K53" s="1">
        <v>0.34</v>
      </c>
      <c r="L53" s="1">
        <v>0.31</v>
      </c>
      <c r="M53" s="1">
        <v>0.27</v>
      </c>
      <c r="N53" s="1">
        <v>0.23</v>
      </c>
    </row>
    <row r="54" spans="1:14" x14ac:dyDescent="0.3">
      <c r="A54" t="s">
        <v>497</v>
      </c>
      <c r="B54" t="s">
        <v>504</v>
      </c>
      <c r="C54" t="s">
        <v>271</v>
      </c>
      <c r="D54" s="1">
        <v>0.15</v>
      </c>
      <c r="E54" t="s">
        <v>477</v>
      </c>
      <c r="F54" s="1">
        <v>0.25</v>
      </c>
      <c r="G54" t="s">
        <v>30</v>
      </c>
      <c r="H54" s="1">
        <v>0.1</v>
      </c>
      <c r="I54" s="1"/>
      <c r="J54" s="1">
        <v>0.34</v>
      </c>
      <c r="K54" s="1">
        <v>0.34</v>
      </c>
      <c r="L54" s="1">
        <v>0.31</v>
      </c>
      <c r="M54" s="1">
        <v>0.27</v>
      </c>
      <c r="N54" s="1">
        <v>0.23</v>
      </c>
    </row>
    <row r="55" spans="1:14" x14ac:dyDescent="0.3">
      <c r="A55" t="s">
        <v>497</v>
      </c>
      <c r="B55" t="s">
        <v>504</v>
      </c>
      <c r="C55" t="s">
        <v>271</v>
      </c>
      <c r="D55" s="1">
        <v>0.15</v>
      </c>
      <c r="E55" t="s">
        <v>59</v>
      </c>
      <c r="F55" s="1">
        <v>0.2</v>
      </c>
      <c r="G55" t="s">
        <v>24</v>
      </c>
      <c r="H55" s="1">
        <v>0.95</v>
      </c>
      <c r="I55" s="1"/>
      <c r="J55" s="1">
        <v>0.34</v>
      </c>
      <c r="K55" s="1">
        <v>0.34</v>
      </c>
      <c r="L55" s="1">
        <v>0.31</v>
      </c>
      <c r="M55" s="1">
        <v>0.27</v>
      </c>
      <c r="N55" s="1">
        <v>0.23</v>
      </c>
    </row>
    <row r="56" spans="1:14" x14ac:dyDescent="0.3">
      <c r="D56" s="1"/>
      <c r="F56" s="1"/>
      <c r="H56" s="1"/>
      <c r="I56" s="2">
        <f>SUM(I28:I55)</f>
        <v>0.72962500000000008</v>
      </c>
      <c r="J56" s="2">
        <f>+J36*$D36+J40*$D40+J44*$D44+J48*$D48+J52*$D52+$D32*J32</f>
        <v>0.48300000000000004</v>
      </c>
      <c r="K56" s="2">
        <f t="shared" ref="K56:N56" si="1">+K36*$D36+K40*$D40+K44*$D44+K48*$D48+K52*$D52+$D32*K32</f>
        <v>0.48300000000000004</v>
      </c>
      <c r="L56" s="2">
        <f t="shared" si="1"/>
        <v>0.45450000000000002</v>
      </c>
      <c r="M56" s="2">
        <f t="shared" si="1"/>
        <v>0.40849999999999997</v>
      </c>
      <c r="N56" s="2">
        <f t="shared" si="1"/>
        <v>0.36549999999999994</v>
      </c>
    </row>
    <row r="57" spans="1:14" x14ac:dyDescent="0.3">
      <c r="D57" s="1"/>
      <c r="F57" s="1"/>
      <c r="H57" s="1"/>
      <c r="I57" s="1"/>
      <c r="J57" s="1"/>
      <c r="K57" s="1"/>
      <c r="L57" s="1"/>
      <c r="M57" s="1"/>
      <c r="N57" s="1"/>
    </row>
    <row r="58" spans="1:14" x14ac:dyDescent="0.3">
      <c r="A58" t="s">
        <v>497</v>
      </c>
      <c r="B58" t="s">
        <v>506</v>
      </c>
      <c r="C58" t="s">
        <v>507</v>
      </c>
      <c r="D58" s="1">
        <v>0.2</v>
      </c>
      <c r="E58" t="s">
        <v>508</v>
      </c>
      <c r="F58" s="1">
        <v>0.25</v>
      </c>
      <c r="G58" t="s">
        <v>28</v>
      </c>
      <c r="H58" s="1">
        <v>0.7</v>
      </c>
      <c r="I58" s="1">
        <f>SUMPRODUCT(H58:H61,F58:F61)*D58</f>
        <v>0.10899999999999999</v>
      </c>
      <c r="J58" s="1">
        <v>0.42</v>
      </c>
      <c r="K58" s="1">
        <v>0.42</v>
      </c>
      <c r="L58" s="1">
        <v>0.39</v>
      </c>
      <c r="M58" s="1">
        <v>0.35</v>
      </c>
      <c r="N58" s="1">
        <v>0.31</v>
      </c>
    </row>
    <row r="59" spans="1:14" x14ac:dyDescent="0.3">
      <c r="A59" t="s">
        <v>497</v>
      </c>
      <c r="B59" t="s">
        <v>506</v>
      </c>
      <c r="C59" t="s">
        <v>507</v>
      </c>
      <c r="D59" s="1">
        <v>0.2</v>
      </c>
      <c r="E59" t="s">
        <v>509</v>
      </c>
      <c r="F59" s="1">
        <v>0.3</v>
      </c>
      <c r="G59" t="s">
        <v>30</v>
      </c>
      <c r="H59" s="1">
        <v>0.1</v>
      </c>
      <c r="I59" s="1"/>
      <c r="J59" s="1">
        <v>0.42</v>
      </c>
      <c r="K59" s="1">
        <v>0.42</v>
      </c>
      <c r="L59" s="1">
        <v>0.39</v>
      </c>
      <c r="M59" s="1">
        <v>0.35</v>
      </c>
      <c r="N59" s="1">
        <v>0.31</v>
      </c>
    </row>
    <row r="60" spans="1:14" x14ac:dyDescent="0.3">
      <c r="A60" t="s">
        <v>497</v>
      </c>
      <c r="B60" t="s">
        <v>506</v>
      </c>
      <c r="C60" t="s">
        <v>507</v>
      </c>
      <c r="D60" s="1">
        <v>0.2</v>
      </c>
      <c r="E60" t="s">
        <v>510</v>
      </c>
      <c r="F60" s="1">
        <v>0.25</v>
      </c>
      <c r="G60" t="s">
        <v>20</v>
      </c>
      <c r="H60" s="1">
        <v>0.6</v>
      </c>
      <c r="I60" s="1"/>
      <c r="J60" s="1">
        <v>0.42</v>
      </c>
      <c r="K60" s="1">
        <v>0.42</v>
      </c>
      <c r="L60" s="1">
        <v>0.39</v>
      </c>
      <c r="M60" s="1">
        <v>0.35</v>
      </c>
      <c r="N60" s="1">
        <v>0.31</v>
      </c>
    </row>
    <row r="61" spans="1:14" x14ac:dyDescent="0.3">
      <c r="A61" t="s">
        <v>497</v>
      </c>
      <c r="B61" t="s">
        <v>506</v>
      </c>
      <c r="C61" t="s">
        <v>507</v>
      </c>
      <c r="D61" s="1">
        <v>0.2</v>
      </c>
      <c r="E61" t="s">
        <v>511</v>
      </c>
      <c r="F61" s="1">
        <v>0.2</v>
      </c>
      <c r="G61" t="s">
        <v>24</v>
      </c>
      <c r="H61" s="1">
        <v>0.95</v>
      </c>
      <c r="I61" s="1"/>
      <c r="J61" s="1">
        <v>0.42</v>
      </c>
      <c r="K61" s="1">
        <v>0.42</v>
      </c>
      <c r="L61" s="1">
        <v>0.39</v>
      </c>
      <c r="M61" s="1">
        <v>0.35</v>
      </c>
      <c r="N61" s="1">
        <v>0.31</v>
      </c>
    </row>
    <row r="62" spans="1:14" x14ac:dyDescent="0.3">
      <c r="A62" t="s">
        <v>497</v>
      </c>
      <c r="B62" t="s">
        <v>506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0.68</v>
      </c>
      <c r="K62" s="1">
        <v>0.68</v>
      </c>
      <c r="L62" s="1">
        <v>0.65</v>
      </c>
      <c r="M62" s="1">
        <v>0.6</v>
      </c>
      <c r="N62" s="1">
        <v>0.56000000000000005</v>
      </c>
    </row>
    <row r="63" spans="1:14" x14ac:dyDescent="0.3">
      <c r="A63" t="s">
        <v>497</v>
      </c>
      <c r="B63" t="s">
        <v>506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0.68</v>
      </c>
      <c r="K63" s="1">
        <v>0.68</v>
      </c>
      <c r="L63" s="1">
        <v>0.65</v>
      </c>
      <c r="M63" s="1">
        <v>0.6</v>
      </c>
      <c r="N63" s="1">
        <v>0.56000000000000005</v>
      </c>
    </row>
    <row r="64" spans="1:14" x14ac:dyDescent="0.3">
      <c r="A64" t="s">
        <v>497</v>
      </c>
      <c r="B64" t="s">
        <v>506</v>
      </c>
      <c r="C64" t="s">
        <v>16</v>
      </c>
      <c r="D64" s="1">
        <v>0.2</v>
      </c>
      <c r="E64" t="s">
        <v>21</v>
      </c>
      <c r="F64" s="1">
        <v>0.2</v>
      </c>
      <c r="G64" t="s">
        <v>22</v>
      </c>
      <c r="H64" s="1">
        <v>0.85</v>
      </c>
      <c r="I64" s="1"/>
      <c r="J64" s="1">
        <v>0.68</v>
      </c>
      <c r="K64" s="1">
        <v>0.68</v>
      </c>
      <c r="L64" s="1">
        <v>0.65</v>
      </c>
      <c r="M64" s="1">
        <v>0.6</v>
      </c>
      <c r="N64" s="1">
        <v>0.56000000000000005</v>
      </c>
    </row>
    <row r="65" spans="1:14" x14ac:dyDescent="0.3">
      <c r="A65" t="s">
        <v>497</v>
      </c>
      <c r="B65" t="s">
        <v>506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0.68</v>
      </c>
      <c r="K65" s="1">
        <v>0.68</v>
      </c>
      <c r="L65" s="1">
        <v>0.65</v>
      </c>
      <c r="M65" s="1">
        <v>0.6</v>
      </c>
      <c r="N65" s="1">
        <v>0.56000000000000005</v>
      </c>
    </row>
    <row r="66" spans="1:14" x14ac:dyDescent="0.3">
      <c r="A66" t="s">
        <v>497</v>
      </c>
      <c r="B66" t="s">
        <v>506</v>
      </c>
      <c r="C66" t="s">
        <v>25</v>
      </c>
      <c r="D66" s="1">
        <v>0.15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9.3000000000000013E-2</v>
      </c>
      <c r="J66" s="1">
        <v>0.47</v>
      </c>
      <c r="K66" s="1">
        <v>0.47</v>
      </c>
      <c r="L66" s="1">
        <v>0.44</v>
      </c>
      <c r="M66" s="1">
        <v>0.39</v>
      </c>
      <c r="N66" s="1">
        <v>0.36</v>
      </c>
    </row>
    <row r="67" spans="1:14" x14ac:dyDescent="0.3">
      <c r="A67" t="s">
        <v>497</v>
      </c>
      <c r="B67" t="s">
        <v>506</v>
      </c>
      <c r="C67" t="s">
        <v>25</v>
      </c>
      <c r="D67" s="1">
        <v>0.15</v>
      </c>
      <c r="E67" t="s">
        <v>512</v>
      </c>
      <c r="F67" s="1">
        <v>0.25</v>
      </c>
      <c r="G67" t="s">
        <v>28</v>
      </c>
      <c r="H67" s="1">
        <v>0.7</v>
      </c>
      <c r="I67" s="1"/>
      <c r="J67" s="1">
        <v>0.47</v>
      </c>
      <c r="K67" s="1">
        <v>0.47</v>
      </c>
      <c r="L67" s="1">
        <v>0.44</v>
      </c>
      <c r="M67" s="1">
        <v>0.39</v>
      </c>
      <c r="N67" s="1">
        <v>0.36</v>
      </c>
    </row>
    <row r="68" spans="1:14" x14ac:dyDescent="0.3">
      <c r="A68" t="s">
        <v>497</v>
      </c>
      <c r="B68" t="s">
        <v>506</v>
      </c>
      <c r="C68" t="s">
        <v>25</v>
      </c>
      <c r="D68" s="1">
        <v>0.15</v>
      </c>
      <c r="E68" t="s">
        <v>29</v>
      </c>
      <c r="F68" s="1">
        <v>0.3</v>
      </c>
      <c r="G68" t="s">
        <v>30</v>
      </c>
      <c r="H68" s="1">
        <v>0.1</v>
      </c>
      <c r="I68" s="1"/>
      <c r="J68" s="1">
        <v>0.47</v>
      </c>
      <c r="K68" s="1">
        <v>0.47</v>
      </c>
      <c r="L68" s="1">
        <v>0.44</v>
      </c>
      <c r="M68" s="1">
        <v>0.39</v>
      </c>
      <c r="N68" s="1">
        <v>0.36</v>
      </c>
    </row>
    <row r="69" spans="1:14" x14ac:dyDescent="0.3">
      <c r="A69" t="s">
        <v>497</v>
      </c>
      <c r="B69" t="s">
        <v>506</v>
      </c>
      <c r="C69" t="s">
        <v>25</v>
      </c>
      <c r="D69" s="1">
        <v>0.15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0.47</v>
      </c>
      <c r="K69" s="1">
        <v>0.47</v>
      </c>
      <c r="L69" s="1">
        <v>0.44</v>
      </c>
      <c r="M69" s="1">
        <v>0.39</v>
      </c>
      <c r="N69" s="1">
        <v>0.36</v>
      </c>
    </row>
    <row r="70" spans="1:14" x14ac:dyDescent="0.3">
      <c r="A70" t="s">
        <v>497</v>
      </c>
      <c r="B70" t="s">
        <v>506</v>
      </c>
      <c r="C70" t="s">
        <v>37</v>
      </c>
      <c r="D70" s="1">
        <v>0.2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0.16200000000000003</v>
      </c>
      <c r="J70" s="1">
        <v>0.69</v>
      </c>
      <c r="K70" s="1">
        <v>0.69</v>
      </c>
      <c r="L70" s="1">
        <v>0.66</v>
      </c>
      <c r="M70" s="1">
        <v>0.61</v>
      </c>
      <c r="N70" s="1">
        <v>0.57999999999999996</v>
      </c>
    </row>
    <row r="71" spans="1:14" x14ac:dyDescent="0.3">
      <c r="A71" t="s">
        <v>497</v>
      </c>
      <c r="B71" t="s">
        <v>506</v>
      </c>
      <c r="C71" t="s">
        <v>37</v>
      </c>
      <c r="D71" s="1">
        <v>0.2</v>
      </c>
      <c r="E71" t="s">
        <v>304</v>
      </c>
      <c r="F71" s="1">
        <v>0.25</v>
      </c>
      <c r="G71" t="s">
        <v>40</v>
      </c>
      <c r="H71" s="1">
        <v>0.7</v>
      </c>
      <c r="I71" s="1"/>
      <c r="J71" s="1">
        <v>0.69</v>
      </c>
      <c r="K71" s="1">
        <v>0.69</v>
      </c>
      <c r="L71" s="1">
        <v>0.66</v>
      </c>
      <c r="M71" s="1">
        <v>0.61</v>
      </c>
      <c r="N71" s="1">
        <v>0.57999999999999996</v>
      </c>
    </row>
    <row r="72" spans="1:14" x14ac:dyDescent="0.3">
      <c r="A72" t="s">
        <v>497</v>
      </c>
      <c r="B72" t="s">
        <v>506</v>
      </c>
      <c r="C72" t="s">
        <v>37</v>
      </c>
      <c r="D72" s="1">
        <v>0.2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0.69</v>
      </c>
      <c r="K72" s="1">
        <v>0.69</v>
      </c>
      <c r="L72" s="1">
        <v>0.66</v>
      </c>
      <c r="M72" s="1">
        <v>0.61</v>
      </c>
      <c r="N72" s="1">
        <v>0.57999999999999996</v>
      </c>
    </row>
    <row r="73" spans="1:14" x14ac:dyDescent="0.3">
      <c r="A73" t="s">
        <v>497</v>
      </c>
      <c r="B73" t="s">
        <v>506</v>
      </c>
      <c r="C73" t="s">
        <v>37</v>
      </c>
      <c r="D73" s="1">
        <v>0.2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0.69</v>
      </c>
      <c r="K73" s="1">
        <v>0.69</v>
      </c>
      <c r="L73" s="1">
        <v>0.66</v>
      </c>
      <c r="M73" s="1">
        <v>0.61</v>
      </c>
      <c r="N73" s="1">
        <v>0.57999999999999996</v>
      </c>
    </row>
    <row r="74" spans="1:14" x14ac:dyDescent="0.3">
      <c r="A74" t="s">
        <v>497</v>
      </c>
      <c r="B74" t="s">
        <v>506</v>
      </c>
      <c r="C74" t="s">
        <v>48</v>
      </c>
      <c r="D74" s="1">
        <v>0.15</v>
      </c>
      <c r="E74" t="s">
        <v>123</v>
      </c>
      <c r="F74" s="1">
        <v>0.25</v>
      </c>
      <c r="G74" t="s">
        <v>40</v>
      </c>
      <c r="H74" s="1">
        <v>0.7</v>
      </c>
      <c r="I74" s="1">
        <f>SUMPRODUCT(H74:H77,F74:F77)*D74</f>
        <v>8.8124999999999981E-2</v>
      </c>
      <c r="J74" s="1">
        <v>0.45</v>
      </c>
      <c r="K74" s="1">
        <v>0.45</v>
      </c>
      <c r="L74" s="1">
        <v>0.42</v>
      </c>
      <c r="M74" s="1">
        <v>0.37</v>
      </c>
      <c r="N74" s="1">
        <v>0.34</v>
      </c>
    </row>
    <row r="75" spans="1:14" x14ac:dyDescent="0.3">
      <c r="A75" t="s">
        <v>497</v>
      </c>
      <c r="B75" t="s">
        <v>506</v>
      </c>
      <c r="C75" t="s">
        <v>48</v>
      </c>
      <c r="D75" s="1">
        <v>0.15</v>
      </c>
      <c r="E75" t="s">
        <v>50</v>
      </c>
      <c r="F75" s="1">
        <v>0.25</v>
      </c>
      <c r="G75" t="s">
        <v>20</v>
      </c>
      <c r="H75" s="1">
        <v>0.6</v>
      </c>
      <c r="I75" s="1"/>
      <c r="J75" s="1">
        <v>0.45</v>
      </c>
      <c r="K75" s="1">
        <v>0.45</v>
      </c>
      <c r="L75" s="1">
        <v>0.42</v>
      </c>
      <c r="M75" s="1">
        <v>0.37</v>
      </c>
      <c r="N75" s="1">
        <v>0.34</v>
      </c>
    </row>
    <row r="76" spans="1:14" x14ac:dyDescent="0.3">
      <c r="A76" t="s">
        <v>497</v>
      </c>
      <c r="B76" t="s">
        <v>506</v>
      </c>
      <c r="C76" t="s">
        <v>48</v>
      </c>
      <c r="D76" s="1">
        <v>0.15</v>
      </c>
      <c r="E76" t="s">
        <v>210</v>
      </c>
      <c r="F76" s="1">
        <v>0.25</v>
      </c>
      <c r="G76" t="s">
        <v>30</v>
      </c>
      <c r="H76" s="1">
        <v>0.1</v>
      </c>
      <c r="I76" s="1"/>
      <c r="J76" s="1">
        <v>0.45</v>
      </c>
      <c r="K76" s="1">
        <v>0.45</v>
      </c>
      <c r="L76" s="1">
        <v>0.42</v>
      </c>
      <c r="M76" s="1">
        <v>0.37</v>
      </c>
      <c r="N76" s="1">
        <v>0.34</v>
      </c>
    </row>
    <row r="77" spans="1:14" x14ac:dyDescent="0.3">
      <c r="A77" t="s">
        <v>497</v>
      </c>
      <c r="B77" t="s">
        <v>506</v>
      </c>
      <c r="C77" t="s">
        <v>48</v>
      </c>
      <c r="D77" s="1">
        <v>0.15</v>
      </c>
      <c r="E77" t="s">
        <v>53</v>
      </c>
      <c r="F77" s="1">
        <v>0.25</v>
      </c>
      <c r="G77" t="s">
        <v>24</v>
      </c>
      <c r="H77" s="1">
        <v>0.95</v>
      </c>
      <c r="I77" s="1"/>
      <c r="J77" s="1">
        <v>0.45</v>
      </c>
      <c r="K77" s="1">
        <v>0.45</v>
      </c>
      <c r="L77" s="1">
        <v>0.42</v>
      </c>
      <c r="M77" s="1">
        <v>0.37</v>
      </c>
      <c r="N77" s="1">
        <v>0.34</v>
      </c>
    </row>
    <row r="78" spans="1:14" x14ac:dyDescent="0.3">
      <c r="A78" t="s">
        <v>497</v>
      </c>
      <c r="B78" t="s">
        <v>506</v>
      </c>
      <c r="C78" t="s">
        <v>43</v>
      </c>
      <c r="D78" s="1">
        <v>0.1</v>
      </c>
      <c r="E78" t="s">
        <v>308</v>
      </c>
      <c r="F78" s="1">
        <v>0.25</v>
      </c>
      <c r="G78" t="s">
        <v>18</v>
      </c>
      <c r="H78" s="1">
        <v>0.9</v>
      </c>
      <c r="I78" s="1">
        <f>SUMPRODUCT(H78:H81,F78:F81)*D78</f>
        <v>5.9499999999999997E-2</v>
      </c>
      <c r="J78" s="1">
        <v>0.47</v>
      </c>
      <c r="K78" s="1">
        <v>0.47</v>
      </c>
      <c r="L78" s="1">
        <v>0.44</v>
      </c>
      <c r="M78" s="1">
        <v>0.39</v>
      </c>
      <c r="N78" s="1">
        <v>0.36</v>
      </c>
    </row>
    <row r="79" spans="1:14" x14ac:dyDescent="0.3">
      <c r="A79" t="s">
        <v>497</v>
      </c>
      <c r="B79" t="s">
        <v>506</v>
      </c>
      <c r="C79" t="s">
        <v>43</v>
      </c>
      <c r="D79" s="1">
        <v>0.1</v>
      </c>
      <c r="E79" t="s">
        <v>403</v>
      </c>
      <c r="F79" s="1">
        <v>0.25</v>
      </c>
      <c r="G79" t="s">
        <v>20</v>
      </c>
      <c r="H79" s="1">
        <v>0.6</v>
      </c>
      <c r="I79" s="1"/>
      <c r="J79" s="1">
        <v>0.47</v>
      </c>
      <c r="K79" s="1">
        <v>0.47</v>
      </c>
      <c r="L79" s="1">
        <v>0.44</v>
      </c>
      <c r="M79" s="1">
        <v>0.39</v>
      </c>
      <c r="N79" s="1">
        <v>0.36</v>
      </c>
    </row>
    <row r="80" spans="1:14" x14ac:dyDescent="0.3">
      <c r="A80" t="s">
        <v>497</v>
      </c>
      <c r="B80" t="s">
        <v>506</v>
      </c>
      <c r="C80" t="s">
        <v>43</v>
      </c>
      <c r="D80" s="1">
        <v>0.1</v>
      </c>
      <c r="E80" t="s">
        <v>46</v>
      </c>
      <c r="F80" s="1">
        <v>0.3</v>
      </c>
      <c r="G80" t="s">
        <v>30</v>
      </c>
      <c r="H80" s="1">
        <v>0.1</v>
      </c>
      <c r="I80" s="1"/>
      <c r="J80" s="1">
        <v>0.47</v>
      </c>
      <c r="K80" s="1">
        <v>0.47</v>
      </c>
      <c r="L80" s="1">
        <v>0.44</v>
      </c>
      <c r="M80" s="1">
        <v>0.39</v>
      </c>
      <c r="N80" s="1">
        <v>0.36</v>
      </c>
    </row>
    <row r="81" spans="1:14" x14ac:dyDescent="0.3">
      <c r="A81" t="s">
        <v>497</v>
      </c>
      <c r="B81" t="s">
        <v>506</v>
      </c>
      <c r="C81" t="s">
        <v>43</v>
      </c>
      <c r="D81" s="1">
        <v>0.1</v>
      </c>
      <c r="E81" t="s">
        <v>116</v>
      </c>
      <c r="F81" s="1">
        <v>0.2</v>
      </c>
      <c r="G81" t="s">
        <v>24</v>
      </c>
      <c r="H81" s="1">
        <v>0.95</v>
      </c>
      <c r="I81" s="1"/>
      <c r="J81" s="1">
        <v>0.47</v>
      </c>
      <c r="K81" s="1">
        <v>0.47</v>
      </c>
      <c r="L81" s="1">
        <v>0.44</v>
      </c>
      <c r="M81" s="1">
        <v>0.39</v>
      </c>
      <c r="N81" s="1">
        <v>0.36</v>
      </c>
    </row>
    <row r="82" spans="1:14" x14ac:dyDescent="0.3">
      <c r="A82" t="s">
        <v>497</v>
      </c>
      <c r="B82" t="s">
        <v>506</v>
      </c>
      <c r="C82" t="s">
        <v>271</v>
      </c>
      <c r="D82" s="1">
        <v>0.15</v>
      </c>
      <c r="E82" t="s">
        <v>482</v>
      </c>
      <c r="F82" s="1">
        <v>0.3</v>
      </c>
      <c r="G82" t="s">
        <v>56</v>
      </c>
      <c r="H82" s="1">
        <v>0.3</v>
      </c>
      <c r="I82" s="1">
        <f>SUMPRODUCT(H82:H85,F82:F85)*D82</f>
        <v>6.8250000000000005E-2</v>
      </c>
      <c r="J82" s="1">
        <v>0.36</v>
      </c>
      <c r="K82" s="1">
        <v>0.36</v>
      </c>
      <c r="L82" s="1">
        <v>0.33</v>
      </c>
      <c r="M82" s="1">
        <v>0.28999999999999998</v>
      </c>
      <c r="N82" s="1">
        <v>0.26</v>
      </c>
    </row>
    <row r="83" spans="1:14" x14ac:dyDescent="0.3">
      <c r="A83" t="s">
        <v>497</v>
      </c>
      <c r="B83" t="s">
        <v>506</v>
      </c>
      <c r="C83" t="s">
        <v>271</v>
      </c>
      <c r="D83" s="1">
        <v>0.15</v>
      </c>
      <c r="E83" t="s">
        <v>513</v>
      </c>
      <c r="F83" s="1">
        <v>0.25</v>
      </c>
      <c r="G83" t="s">
        <v>20</v>
      </c>
      <c r="H83" s="1">
        <v>0.6</v>
      </c>
      <c r="I83" s="1"/>
      <c r="J83" s="1">
        <v>0.36</v>
      </c>
      <c r="K83" s="1">
        <v>0.36</v>
      </c>
      <c r="L83" s="1">
        <v>0.33</v>
      </c>
      <c r="M83" s="1">
        <v>0.28999999999999998</v>
      </c>
      <c r="N83" s="1">
        <v>0.26</v>
      </c>
    </row>
    <row r="84" spans="1:14" x14ac:dyDescent="0.3">
      <c r="A84" t="s">
        <v>497</v>
      </c>
      <c r="B84" t="s">
        <v>506</v>
      </c>
      <c r="C84" t="s">
        <v>271</v>
      </c>
      <c r="D84" s="1">
        <v>0.15</v>
      </c>
      <c r="E84" t="s">
        <v>514</v>
      </c>
      <c r="F84" s="1">
        <v>0.25</v>
      </c>
      <c r="G84" t="s">
        <v>30</v>
      </c>
      <c r="H84" s="1">
        <v>0.1</v>
      </c>
      <c r="I84" s="1"/>
      <c r="J84" s="1">
        <v>0.36</v>
      </c>
      <c r="K84" s="1">
        <v>0.36</v>
      </c>
      <c r="L84" s="1">
        <v>0.33</v>
      </c>
      <c r="M84" s="1">
        <v>0.28999999999999998</v>
      </c>
      <c r="N84" s="1">
        <v>0.26</v>
      </c>
    </row>
    <row r="85" spans="1:14" x14ac:dyDescent="0.3">
      <c r="A85" t="s">
        <v>497</v>
      </c>
      <c r="B85" t="s">
        <v>506</v>
      </c>
      <c r="C85" t="s">
        <v>271</v>
      </c>
      <c r="D85" s="1">
        <v>0.15</v>
      </c>
      <c r="E85" t="s">
        <v>59</v>
      </c>
      <c r="F85" s="1">
        <v>0.2</v>
      </c>
      <c r="G85" t="s">
        <v>24</v>
      </c>
      <c r="H85" s="1">
        <v>0.95</v>
      </c>
      <c r="I85" s="1"/>
      <c r="J85" s="1">
        <v>0.36</v>
      </c>
      <c r="K85" s="1">
        <v>0.36</v>
      </c>
      <c r="L85" s="1">
        <v>0.33</v>
      </c>
      <c r="M85" s="1">
        <v>0.28999999999999998</v>
      </c>
      <c r="N85" s="1">
        <v>0.26</v>
      </c>
    </row>
    <row r="86" spans="1:14" x14ac:dyDescent="0.3">
      <c r="D86" s="1"/>
      <c r="F86" s="1"/>
      <c r="H86" s="1"/>
      <c r="I86" s="2">
        <f>SUM(I58:I85)</f>
        <v>0.74537500000000012</v>
      </c>
      <c r="J86" s="2">
        <f>+J66*$D66+J70*$D70+J74*$D74+J78*$D78+J82*$D82+$D62*J62</f>
        <v>0.5129999999999999</v>
      </c>
      <c r="K86" s="2">
        <f t="shared" ref="K86:N86" si="2">+K66*$D66+K70*$D70+K74*$D74+K78*$D78+K82*$D82+$D62*K62</f>
        <v>0.5129999999999999</v>
      </c>
      <c r="L86" s="2">
        <f t="shared" si="2"/>
        <v>0.48449999999999999</v>
      </c>
      <c r="M86" s="2">
        <f t="shared" si="2"/>
        <v>0.4385</v>
      </c>
      <c r="N86" s="2">
        <f t="shared" si="2"/>
        <v>0.40799999999999992</v>
      </c>
    </row>
    <row r="87" spans="1:14" x14ac:dyDescent="0.3">
      <c r="D87" s="1"/>
      <c r="F87" s="1"/>
      <c r="H87" s="1"/>
      <c r="I87" s="1"/>
      <c r="J87" s="1"/>
      <c r="K87" s="1"/>
      <c r="L87" s="1"/>
      <c r="M87" s="1"/>
      <c r="N87" s="1"/>
    </row>
    <row r="88" spans="1:14" x14ac:dyDescent="0.3">
      <c r="A88" t="s">
        <v>497</v>
      </c>
      <c r="B88" t="s">
        <v>515</v>
      </c>
      <c r="C88" t="s">
        <v>516</v>
      </c>
      <c r="D88" s="1">
        <v>0.2</v>
      </c>
      <c r="E88" t="s">
        <v>517</v>
      </c>
      <c r="F88" s="1">
        <v>0.3</v>
      </c>
      <c r="G88" t="s">
        <v>18</v>
      </c>
      <c r="H88" s="1">
        <v>0.9</v>
      </c>
      <c r="I88" s="1">
        <f>SUMPRODUCT(H88:H91,F88:F91)*D88</f>
        <v>0.16550000000000004</v>
      </c>
      <c r="J88" s="1">
        <v>0.63</v>
      </c>
      <c r="K88" s="1">
        <v>0.63</v>
      </c>
      <c r="L88" s="1">
        <v>0.6</v>
      </c>
      <c r="M88" s="1">
        <v>0.54</v>
      </c>
      <c r="N88" s="1">
        <v>0.47</v>
      </c>
    </row>
    <row r="89" spans="1:14" x14ac:dyDescent="0.3">
      <c r="A89" t="s">
        <v>497</v>
      </c>
      <c r="B89" t="s">
        <v>515</v>
      </c>
      <c r="C89" t="s">
        <v>516</v>
      </c>
      <c r="D89" s="1">
        <v>0.2</v>
      </c>
      <c r="E89" t="s">
        <v>518</v>
      </c>
      <c r="F89" s="1">
        <v>0.25</v>
      </c>
      <c r="G89" t="s">
        <v>20</v>
      </c>
      <c r="H89" s="1">
        <v>0.6</v>
      </c>
      <c r="I89" s="1"/>
      <c r="J89" s="1">
        <v>0.63</v>
      </c>
      <c r="K89" s="1">
        <v>0.63</v>
      </c>
      <c r="L89" s="1">
        <v>0.6</v>
      </c>
      <c r="M89" s="1">
        <v>0.54</v>
      </c>
      <c r="N89" s="1">
        <v>0.47</v>
      </c>
    </row>
    <row r="90" spans="1:14" x14ac:dyDescent="0.3">
      <c r="A90" t="s">
        <v>497</v>
      </c>
      <c r="B90" t="s">
        <v>515</v>
      </c>
      <c r="C90" t="s">
        <v>516</v>
      </c>
      <c r="D90" s="1">
        <v>0.2</v>
      </c>
      <c r="E90" t="s">
        <v>519</v>
      </c>
      <c r="F90" s="1">
        <v>0.2</v>
      </c>
      <c r="G90" t="s">
        <v>22</v>
      </c>
      <c r="H90" s="1">
        <v>0.85</v>
      </c>
      <c r="I90" s="1"/>
      <c r="J90" s="1">
        <v>0.63</v>
      </c>
      <c r="K90" s="1">
        <v>0.63</v>
      </c>
      <c r="L90" s="1">
        <v>0.6</v>
      </c>
      <c r="M90" s="1">
        <v>0.54</v>
      </c>
      <c r="N90" s="1">
        <v>0.47</v>
      </c>
    </row>
    <row r="91" spans="1:14" x14ac:dyDescent="0.3">
      <c r="A91" t="s">
        <v>497</v>
      </c>
      <c r="B91" t="s">
        <v>515</v>
      </c>
      <c r="C91" t="s">
        <v>516</v>
      </c>
      <c r="D91" s="1">
        <v>0.2</v>
      </c>
      <c r="E91" t="s">
        <v>520</v>
      </c>
      <c r="F91" s="1">
        <v>0.25</v>
      </c>
      <c r="G91" t="s">
        <v>24</v>
      </c>
      <c r="H91" s="1">
        <v>0.95</v>
      </c>
      <c r="I91" s="1"/>
      <c r="J91" s="1">
        <v>0.63</v>
      </c>
      <c r="K91" s="1">
        <v>0.63</v>
      </c>
      <c r="L91" s="1">
        <v>0.6</v>
      </c>
      <c r="M91" s="1">
        <v>0.54</v>
      </c>
      <c r="N91" s="1">
        <v>0.47</v>
      </c>
    </row>
    <row r="92" spans="1:14" x14ac:dyDescent="0.3">
      <c r="A92" t="s">
        <v>497</v>
      </c>
      <c r="B92" t="s">
        <v>515</v>
      </c>
      <c r="C92" t="s">
        <v>521</v>
      </c>
      <c r="D92" s="1">
        <v>0.2</v>
      </c>
      <c r="E92" t="s">
        <v>522</v>
      </c>
      <c r="F92" s="1">
        <v>0.25</v>
      </c>
      <c r="G92" t="s">
        <v>28</v>
      </c>
      <c r="H92" s="1">
        <v>0.7</v>
      </c>
      <c r="I92" s="1">
        <f>SUMPRODUCT(H92:H95,F92:F95)*D92</f>
        <v>0.1125</v>
      </c>
      <c r="J92" s="1">
        <v>0.4</v>
      </c>
      <c r="K92" s="1">
        <v>0.4</v>
      </c>
      <c r="L92" s="1">
        <v>0.37</v>
      </c>
      <c r="M92" s="1">
        <v>0.32</v>
      </c>
      <c r="N92" s="1">
        <v>0.26</v>
      </c>
    </row>
    <row r="93" spans="1:14" x14ac:dyDescent="0.3">
      <c r="A93" t="s">
        <v>497</v>
      </c>
      <c r="B93" t="s">
        <v>515</v>
      </c>
      <c r="C93" t="s">
        <v>521</v>
      </c>
      <c r="D93" s="1">
        <v>0.2</v>
      </c>
      <c r="E93" t="s">
        <v>100</v>
      </c>
      <c r="F93" s="1">
        <v>0.3</v>
      </c>
      <c r="G93" t="s">
        <v>30</v>
      </c>
      <c r="H93" s="1">
        <v>0.1</v>
      </c>
      <c r="I93" s="1"/>
      <c r="J93" s="1">
        <v>0.4</v>
      </c>
      <c r="K93" s="1">
        <v>0.4</v>
      </c>
      <c r="L93" s="1">
        <v>0.37</v>
      </c>
      <c r="M93" s="1">
        <v>0.32</v>
      </c>
      <c r="N93" s="1">
        <v>0.26</v>
      </c>
    </row>
    <row r="94" spans="1:14" x14ac:dyDescent="0.3">
      <c r="A94" t="s">
        <v>497</v>
      </c>
      <c r="B94" t="s">
        <v>515</v>
      </c>
      <c r="C94" t="s">
        <v>521</v>
      </c>
      <c r="D94" s="1">
        <v>0.2</v>
      </c>
      <c r="E94" t="s">
        <v>523</v>
      </c>
      <c r="F94" s="1">
        <v>0.2</v>
      </c>
      <c r="G94" t="s">
        <v>20</v>
      </c>
      <c r="H94" s="1">
        <v>0.6</v>
      </c>
      <c r="I94" s="1"/>
      <c r="J94" s="1">
        <v>0.4</v>
      </c>
      <c r="K94" s="1">
        <v>0.4</v>
      </c>
      <c r="L94" s="1">
        <v>0.37</v>
      </c>
      <c r="M94" s="1">
        <v>0.32</v>
      </c>
      <c r="N94" s="1">
        <v>0.26</v>
      </c>
    </row>
    <row r="95" spans="1:14" x14ac:dyDescent="0.3">
      <c r="A95" t="s">
        <v>497</v>
      </c>
      <c r="B95" t="s">
        <v>515</v>
      </c>
      <c r="C95" t="s">
        <v>521</v>
      </c>
      <c r="D95" s="1">
        <v>0.2</v>
      </c>
      <c r="E95" t="s">
        <v>524</v>
      </c>
      <c r="F95" s="1">
        <v>0.25</v>
      </c>
      <c r="G95" t="s">
        <v>24</v>
      </c>
      <c r="H95" s="1">
        <v>0.95</v>
      </c>
      <c r="I95" s="1"/>
      <c r="J95" s="1">
        <v>0.4</v>
      </c>
      <c r="K95" s="1">
        <v>0.4</v>
      </c>
      <c r="L95" s="1">
        <v>0.37</v>
      </c>
      <c r="M95" s="1">
        <v>0.32</v>
      </c>
      <c r="N95" s="1">
        <v>0.26</v>
      </c>
    </row>
    <row r="96" spans="1:14" x14ac:dyDescent="0.3">
      <c r="A96" t="s">
        <v>497</v>
      </c>
      <c r="B96" t="s">
        <v>515</v>
      </c>
      <c r="C96" t="s">
        <v>25</v>
      </c>
      <c r="D96" s="1">
        <v>0.15</v>
      </c>
      <c r="E96" t="s">
        <v>26</v>
      </c>
      <c r="F96" s="1">
        <v>0.25</v>
      </c>
      <c r="G96" t="s">
        <v>18</v>
      </c>
      <c r="H96" s="1">
        <v>0.9</v>
      </c>
      <c r="I96" s="1">
        <f>SUMPRODUCT(H96:H99,F96:F99)*D96</f>
        <v>9.3000000000000013E-2</v>
      </c>
      <c r="J96" s="1">
        <v>0.43</v>
      </c>
      <c r="K96" s="1">
        <v>0.43</v>
      </c>
      <c r="L96" s="1">
        <v>0.4</v>
      </c>
      <c r="M96" s="1">
        <v>0.35</v>
      </c>
      <c r="N96" s="1">
        <v>0.28999999999999998</v>
      </c>
    </row>
    <row r="97" spans="1:14" x14ac:dyDescent="0.3">
      <c r="A97" t="s">
        <v>497</v>
      </c>
      <c r="B97" t="s">
        <v>515</v>
      </c>
      <c r="C97" t="s">
        <v>25</v>
      </c>
      <c r="D97" s="1">
        <v>0.15</v>
      </c>
      <c r="E97" t="s">
        <v>525</v>
      </c>
      <c r="F97" s="1">
        <v>0.25</v>
      </c>
      <c r="G97" t="s">
        <v>28</v>
      </c>
      <c r="H97" s="1">
        <v>0.7</v>
      </c>
      <c r="I97" s="1"/>
      <c r="J97" s="1">
        <v>0.43</v>
      </c>
      <c r="K97" s="1">
        <v>0.43</v>
      </c>
      <c r="L97" s="1">
        <v>0.4</v>
      </c>
      <c r="M97" s="1">
        <v>0.35</v>
      </c>
      <c r="N97" s="1">
        <v>0.28999999999999998</v>
      </c>
    </row>
    <row r="98" spans="1:14" x14ac:dyDescent="0.3">
      <c r="A98" t="s">
        <v>497</v>
      </c>
      <c r="B98" t="s">
        <v>515</v>
      </c>
      <c r="C98" t="s">
        <v>25</v>
      </c>
      <c r="D98" s="1">
        <v>0.15</v>
      </c>
      <c r="E98" t="s">
        <v>29</v>
      </c>
      <c r="F98" s="1">
        <v>0.3</v>
      </c>
      <c r="G98" t="s">
        <v>30</v>
      </c>
      <c r="H98" s="1">
        <v>0.1</v>
      </c>
      <c r="I98" s="1"/>
      <c r="J98" s="1">
        <v>0.43</v>
      </c>
      <c r="K98" s="1">
        <v>0.43</v>
      </c>
      <c r="L98" s="1">
        <v>0.4</v>
      </c>
      <c r="M98" s="1">
        <v>0.35</v>
      </c>
      <c r="N98" s="1">
        <v>0.28999999999999998</v>
      </c>
    </row>
    <row r="99" spans="1:14" x14ac:dyDescent="0.3">
      <c r="A99" t="s">
        <v>497</v>
      </c>
      <c r="B99" t="s">
        <v>515</v>
      </c>
      <c r="C99" t="s">
        <v>25</v>
      </c>
      <c r="D99" s="1">
        <v>0.15</v>
      </c>
      <c r="E99" t="s">
        <v>31</v>
      </c>
      <c r="F99" s="1">
        <v>0.2</v>
      </c>
      <c r="G99" t="s">
        <v>24</v>
      </c>
      <c r="H99" s="1">
        <v>0.95</v>
      </c>
      <c r="I99" s="1"/>
      <c r="J99" s="1">
        <v>0.43</v>
      </c>
      <c r="K99" s="1">
        <v>0.43</v>
      </c>
      <c r="L99" s="1">
        <v>0.4</v>
      </c>
      <c r="M99" s="1">
        <v>0.35</v>
      </c>
      <c r="N99" s="1">
        <v>0.28999999999999998</v>
      </c>
    </row>
    <row r="100" spans="1:14" x14ac:dyDescent="0.3">
      <c r="A100" t="s">
        <v>497</v>
      </c>
      <c r="B100" t="s">
        <v>515</v>
      </c>
      <c r="C100" t="s">
        <v>37</v>
      </c>
      <c r="D100" s="1">
        <v>0.15</v>
      </c>
      <c r="E100" t="s">
        <v>38</v>
      </c>
      <c r="F100" s="1">
        <v>0.3</v>
      </c>
      <c r="G100" t="s">
        <v>18</v>
      </c>
      <c r="H100" s="1">
        <v>0.9</v>
      </c>
      <c r="I100" s="1">
        <f>SUMPRODUCT(H100:H103,F100:F103)*D100</f>
        <v>0.1215</v>
      </c>
      <c r="J100" s="1">
        <v>0.62</v>
      </c>
      <c r="K100" s="1">
        <v>0.62</v>
      </c>
      <c r="L100" s="1">
        <v>0.59</v>
      </c>
      <c r="M100" s="1">
        <v>0.53</v>
      </c>
      <c r="N100" s="1">
        <v>0.46</v>
      </c>
    </row>
    <row r="101" spans="1:14" x14ac:dyDescent="0.3">
      <c r="A101" t="s">
        <v>497</v>
      </c>
      <c r="B101" t="s">
        <v>515</v>
      </c>
      <c r="C101" t="s">
        <v>37</v>
      </c>
      <c r="D101" s="1">
        <v>0.15</v>
      </c>
      <c r="E101" t="s">
        <v>39</v>
      </c>
      <c r="F101" s="1">
        <v>0.25</v>
      </c>
      <c r="G101" t="s">
        <v>40</v>
      </c>
      <c r="H101" s="1">
        <v>0.7</v>
      </c>
      <c r="I101" s="1"/>
      <c r="J101" s="1">
        <v>0.62</v>
      </c>
      <c r="K101" s="1">
        <v>0.62</v>
      </c>
      <c r="L101" s="1">
        <v>0.59</v>
      </c>
      <c r="M101" s="1">
        <v>0.53</v>
      </c>
      <c r="N101" s="1">
        <v>0.46</v>
      </c>
    </row>
    <row r="102" spans="1:14" x14ac:dyDescent="0.3">
      <c r="A102" t="s">
        <v>497</v>
      </c>
      <c r="B102" t="s">
        <v>515</v>
      </c>
      <c r="C102" t="s">
        <v>37</v>
      </c>
      <c r="D102" s="1">
        <v>0.15</v>
      </c>
      <c r="E102" t="s">
        <v>41</v>
      </c>
      <c r="F102" s="1">
        <v>0.25</v>
      </c>
      <c r="G102" t="s">
        <v>28</v>
      </c>
      <c r="H102" s="1">
        <v>0.7</v>
      </c>
      <c r="I102" s="1"/>
      <c r="J102" s="1">
        <v>0.62</v>
      </c>
      <c r="K102" s="1">
        <v>0.62</v>
      </c>
      <c r="L102" s="1">
        <v>0.59</v>
      </c>
      <c r="M102" s="1">
        <v>0.53</v>
      </c>
      <c r="N102" s="1">
        <v>0.46</v>
      </c>
    </row>
    <row r="103" spans="1:14" x14ac:dyDescent="0.3">
      <c r="A103" t="s">
        <v>497</v>
      </c>
      <c r="B103" t="s">
        <v>515</v>
      </c>
      <c r="C103" t="s">
        <v>37</v>
      </c>
      <c r="D103" s="1">
        <v>0.15</v>
      </c>
      <c r="E103" t="s">
        <v>42</v>
      </c>
      <c r="F103" s="1">
        <v>0.2</v>
      </c>
      <c r="G103" t="s">
        <v>24</v>
      </c>
      <c r="H103" s="1">
        <v>0.95</v>
      </c>
      <c r="I103" s="1"/>
      <c r="J103" s="1">
        <v>0.62</v>
      </c>
      <c r="K103" s="1">
        <v>0.62</v>
      </c>
      <c r="L103" s="1">
        <v>0.59</v>
      </c>
      <c r="M103" s="1">
        <v>0.53</v>
      </c>
      <c r="N103" s="1">
        <v>0.46</v>
      </c>
    </row>
    <row r="104" spans="1:14" x14ac:dyDescent="0.3">
      <c r="A104" t="s">
        <v>497</v>
      </c>
      <c r="B104" t="s">
        <v>515</v>
      </c>
      <c r="C104" t="s">
        <v>526</v>
      </c>
      <c r="D104" s="1">
        <v>0.2</v>
      </c>
      <c r="E104" t="s">
        <v>527</v>
      </c>
      <c r="F104" s="1">
        <v>0.25</v>
      </c>
      <c r="G104" t="s">
        <v>40</v>
      </c>
      <c r="H104" s="1">
        <v>0.7</v>
      </c>
      <c r="I104" s="1">
        <f>SUMPRODUCT(H104:H107,F104:F107)*D104</f>
        <v>0.11749999999999999</v>
      </c>
      <c r="J104" s="1">
        <v>0.4</v>
      </c>
      <c r="K104" s="1">
        <v>0.4</v>
      </c>
      <c r="L104" s="1">
        <v>0.37</v>
      </c>
      <c r="M104" s="1">
        <v>0.32</v>
      </c>
      <c r="N104" s="1">
        <v>0.26</v>
      </c>
    </row>
    <row r="105" spans="1:14" x14ac:dyDescent="0.3">
      <c r="A105" t="s">
        <v>497</v>
      </c>
      <c r="B105" t="s">
        <v>515</v>
      </c>
      <c r="C105" t="s">
        <v>526</v>
      </c>
      <c r="D105" s="1">
        <v>0.2</v>
      </c>
      <c r="E105" t="s">
        <v>528</v>
      </c>
      <c r="F105" s="1">
        <v>0.25</v>
      </c>
      <c r="G105" t="s">
        <v>20</v>
      </c>
      <c r="H105" s="1">
        <v>0.6</v>
      </c>
      <c r="I105" s="1"/>
      <c r="J105" s="1">
        <v>0.4</v>
      </c>
      <c r="K105" s="1">
        <v>0.4</v>
      </c>
      <c r="L105" s="1">
        <v>0.37</v>
      </c>
      <c r="M105" s="1">
        <v>0.32</v>
      </c>
      <c r="N105" s="1">
        <v>0.26</v>
      </c>
    </row>
    <row r="106" spans="1:14" x14ac:dyDescent="0.3">
      <c r="A106" t="s">
        <v>497</v>
      </c>
      <c r="B106" t="s">
        <v>515</v>
      </c>
      <c r="C106" t="s">
        <v>526</v>
      </c>
      <c r="D106" s="1">
        <v>0.2</v>
      </c>
      <c r="E106" t="s">
        <v>529</v>
      </c>
      <c r="F106" s="1">
        <v>0.25</v>
      </c>
      <c r="G106" t="s">
        <v>30</v>
      </c>
      <c r="H106" s="1">
        <v>0.1</v>
      </c>
      <c r="I106" s="1"/>
      <c r="J106" s="1">
        <v>0.4</v>
      </c>
      <c r="K106" s="1">
        <v>0.4</v>
      </c>
      <c r="L106" s="1">
        <v>0.37</v>
      </c>
      <c r="M106" s="1">
        <v>0.32</v>
      </c>
      <c r="N106" s="1">
        <v>0.26</v>
      </c>
    </row>
    <row r="107" spans="1:14" x14ac:dyDescent="0.3">
      <c r="A107" t="s">
        <v>497</v>
      </c>
      <c r="B107" t="s">
        <v>515</v>
      </c>
      <c r="C107" t="s">
        <v>526</v>
      </c>
      <c r="D107" s="1">
        <v>0.2</v>
      </c>
      <c r="E107" t="s">
        <v>530</v>
      </c>
      <c r="F107" s="1">
        <v>0.25</v>
      </c>
      <c r="G107" t="s">
        <v>24</v>
      </c>
      <c r="H107" s="1">
        <v>0.95</v>
      </c>
      <c r="I107" s="1"/>
      <c r="J107" s="1">
        <v>0.4</v>
      </c>
      <c r="K107" s="1">
        <v>0.4</v>
      </c>
      <c r="L107" s="1">
        <v>0.37</v>
      </c>
      <c r="M107" s="1">
        <v>0.32</v>
      </c>
      <c r="N107" s="1">
        <v>0.26</v>
      </c>
    </row>
    <row r="108" spans="1:14" x14ac:dyDescent="0.3">
      <c r="A108" t="s">
        <v>497</v>
      </c>
      <c r="B108" t="s">
        <v>515</v>
      </c>
      <c r="C108" t="s">
        <v>43</v>
      </c>
      <c r="D108" s="1">
        <v>0.1</v>
      </c>
      <c r="E108" t="s">
        <v>531</v>
      </c>
      <c r="F108" s="1">
        <v>0.25</v>
      </c>
      <c r="G108" t="s">
        <v>18</v>
      </c>
      <c r="H108" s="1">
        <v>0.9</v>
      </c>
      <c r="I108" s="1">
        <f>SUMPRODUCT(H108:H111,F108:F111)*D108</f>
        <v>5.9499999999999997E-2</v>
      </c>
      <c r="J108" s="1">
        <v>0.43</v>
      </c>
      <c r="K108" s="1">
        <v>0.43</v>
      </c>
      <c r="L108" s="1">
        <v>0.4</v>
      </c>
      <c r="M108" s="1">
        <v>0.35</v>
      </c>
      <c r="N108" s="1">
        <v>0.28999999999999998</v>
      </c>
    </row>
    <row r="109" spans="1:14" x14ac:dyDescent="0.3">
      <c r="A109" t="s">
        <v>497</v>
      </c>
      <c r="B109" t="s">
        <v>515</v>
      </c>
      <c r="C109" t="s">
        <v>43</v>
      </c>
      <c r="D109" s="1">
        <v>0.1</v>
      </c>
      <c r="E109" t="s">
        <v>532</v>
      </c>
      <c r="F109" s="1">
        <v>0.25</v>
      </c>
      <c r="G109" t="s">
        <v>20</v>
      </c>
      <c r="H109" s="1">
        <v>0.6</v>
      </c>
      <c r="I109" s="1"/>
      <c r="J109" s="1">
        <v>0.43</v>
      </c>
      <c r="K109" s="1">
        <v>0.43</v>
      </c>
      <c r="L109" s="1">
        <v>0.4</v>
      </c>
      <c r="M109" s="1">
        <v>0.35</v>
      </c>
      <c r="N109" s="1">
        <v>0.28999999999999998</v>
      </c>
    </row>
    <row r="110" spans="1:14" x14ac:dyDescent="0.3">
      <c r="A110" t="s">
        <v>497</v>
      </c>
      <c r="B110" t="s">
        <v>515</v>
      </c>
      <c r="C110" t="s">
        <v>43</v>
      </c>
      <c r="D110" s="1">
        <v>0.1</v>
      </c>
      <c r="E110" t="s">
        <v>533</v>
      </c>
      <c r="F110" s="1">
        <v>0.3</v>
      </c>
      <c r="G110" t="s">
        <v>30</v>
      </c>
      <c r="H110" s="1">
        <v>0.1</v>
      </c>
      <c r="I110" s="1"/>
      <c r="J110" s="1">
        <v>0.43</v>
      </c>
      <c r="K110" s="1">
        <v>0.43</v>
      </c>
      <c r="L110" s="1">
        <v>0.4</v>
      </c>
      <c r="M110" s="1">
        <v>0.35</v>
      </c>
      <c r="N110" s="1">
        <v>0.28999999999999998</v>
      </c>
    </row>
    <row r="111" spans="1:14" x14ac:dyDescent="0.3">
      <c r="A111" t="s">
        <v>497</v>
      </c>
      <c r="B111" t="s">
        <v>515</v>
      </c>
      <c r="C111" t="s">
        <v>43</v>
      </c>
      <c r="D111" s="1">
        <v>0.1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0.43</v>
      </c>
      <c r="K111" s="1">
        <v>0.43</v>
      </c>
      <c r="L111" s="1">
        <v>0.4</v>
      </c>
      <c r="M111" s="1">
        <v>0.35</v>
      </c>
      <c r="N111" s="1">
        <v>0.28999999999999998</v>
      </c>
    </row>
    <row r="112" spans="1:14" x14ac:dyDescent="0.3">
      <c r="A112" t="s">
        <v>497</v>
      </c>
      <c r="B112" t="s">
        <v>515</v>
      </c>
      <c r="C112" t="s">
        <v>271</v>
      </c>
      <c r="D112" s="1">
        <v>0.15</v>
      </c>
      <c r="E112" t="s">
        <v>534</v>
      </c>
      <c r="F112" s="1">
        <v>0.3</v>
      </c>
      <c r="G112" t="s">
        <v>56</v>
      </c>
      <c r="H112" s="1">
        <v>0.3</v>
      </c>
      <c r="I112" s="1">
        <f>SUMPRODUCT(H112:H115,F112:F115)*D112</f>
        <v>6.8250000000000005E-2</v>
      </c>
      <c r="J112" s="1">
        <v>0.31</v>
      </c>
      <c r="K112" s="1">
        <v>0.31</v>
      </c>
      <c r="L112" s="1">
        <v>0.28000000000000003</v>
      </c>
      <c r="M112" s="1">
        <v>0.24</v>
      </c>
      <c r="N112" s="1">
        <v>0.19</v>
      </c>
    </row>
    <row r="113" spans="1:14" x14ac:dyDescent="0.3">
      <c r="A113" t="s">
        <v>497</v>
      </c>
      <c r="B113" t="s">
        <v>515</v>
      </c>
      <c r="C113" t="s">
        <v>271</v>
      </c>
      <c r="D113" s="1">
        <v>0.15</v>
      </c>
      <c r="E113" t="s">
        <v>273</v>
      </c>
      <c r="F113" s="1">
        <v>0.25</v>
      </c>
      <c r="G113" t="s">
        <v>20</v>
      </c>
      <c r="H113" s="1">
        <v>0.6</v>
      </c>
      <c r="I113" s="1"/>
      <c r="J113" s="1">
        <v>0.31</v>
      </c>
      <c r="K113" s="1">
        <v>0.31</v>
      </c>
      <c r="L113" s="1">
        <v>0.28000000000000003</v>
      </c>
      <c r="M113" s="1">
        <v>0.24</v>
      </c>
      <c r="N113" s="1">
        <v>0.19</v>
      </c>
    </row>
    <row r="114" spans="1:14" x14ac:dyDescent="0.3">
      <c r="A114" t="s">
        <v>497</v>
      </c>
      <c r="B114" t="s">
        <v>515</v>
      </c>
      <c r="C114" t="s">
        <v>271</v>
      </c>
      <c r="D114" s="1">
        <v>0.15</v>
      </c>
      <c r="E114" t="s">
        <v>535</v>
      </c>
      <c r="F114" s="1">
        <v>0.25</v>
      </c>
      <c r="G114" t="s">
        <v>30</v>
      </c>
      <c r="H114" s="1">
        <v>0.1</v>
      </c>
      <c r="I114" s="1"/>
      <c r="J114" s="1">
        <v>0.31</v>
      </c>
      <c r="K114" s="1">
        <v>0.31</v>
      </c>
      <c r="L114" s="1">
        <v>0.28000000000000003</v>
      </c>
      <c r="M114" s="1">
        <v>0.24</v>
      </c>
      <c r="N114" s="1">
        <v>0.19</v>
      </c>
    </row>
    <row r="115" spans="1:14" x14ac:dyDescent="0.3">
      <c r="A115" t="s">
        <v>497</v>
      </c>
      <c r="B115" t="s">
        <v>515</v>
      </c>
      <c r="C115" t="s">
        <v>271</v>
      </c>
      <c r="D115" s="1">
        <v>0.15</v>
      </c>
      <c r="E115" t="s">
        <v>59</v>
      </c>
      <c r="F115" s="1">
        <v>0.2</v>
      </c>
      <c r="G115" t="s">
        <v>24</v>
      </c>
      <c r="H115" s="1">
        <v>0.95</v>
      </c>
      <c r="I115" s="1"/>
      <c r="J115" s="1">
        <v>0.31</v>
      </c>
      <c r="K115" s="1">
        <v>0.31</v>
      </c>
      <c r="L115" s="1">
        <v>0.28000000000000003</v>
      </c>
      <c r="M115" s="1">
        <v>0.24</v>
      </c>
      <c r="N115" s="1">
        <v>0.19</v>
      </c>
    </row>
    <row r="116" spans="1:14" x14ac:dyDescent="0.3">
      <c r="D116" s="1"/>
      <c r="F116" s="1"/>
      <c r="H116" s="1"/>
      <c r="I116" s="2">
        <f>SUM(I88:I115)</f>
        <v>0.73775000000000013</v>
      </c>
      <c r="J116" s="2">
        <f>+J96*$D96+J100*$D100+J104*$D104+J108*$D108+J112*$D112+$D92*J92</f>
        <v>0.40700000000000003</v>
      </c>
      <c r="K116" s="2">
        <f t="shared" ref="K116:N116" si="3">+K96*$D96+K100*$D100+K104*$D104+K108*$D108+K112*$D112+$D92*K92</f>
        <v>0.40700000000000003</v>
      </c>
      <c r="L116" s="2">
        <f t="shared" si="3"/>
        <v>0.37849999999999995</v>
      </c>
      <c r="M116" s="2">
        <f t="shared" si="3"/>
        <v>0.33100000000000002</v>
      </c>
      <c r="N116" s="2">
        <f t="shared" si="3"/>
        <v>0.27400000000000002</v>
      </c>
    </row>
    <row r="117" spans="1:14" x14ac:dyDescent="0.3">
      <c r="D117" s="1"/>
      <c r="F117" s="1"/>
      <c r="H117" s="1"/>
      <c r="I117" s="1"/>
      <c r="J117" s="1"/>
      <c r="K117" s="1"/>
      <c r="L117" s="1"/>
      <c r="M117" s="1"/>
      <c r="N117" s="1"/>
    </row>
    <row r="118" spans="1:14" x14ac:dyDescent="0.3">
      <c r="A118" t="s">
        <v>497</v>
      </c>
      <c r="B118" t="s">
        <v>536</v>
      </c>
      <c r="C118" t="s">
        <v>105</v>
      </c>
      <c r="D118" s="1">
        <v>0.25</v>
      </c>
      <c r="E118" t="s">
        <v>537</v>
      </c>
      <c r="F118" s="1">
        <v>0.25</v>
      </c>
      <c r="G118" t="s">
        <v>28</v>
      </c>
      <c r="H118" s="1">
        <v>0.7</v>
      </c>
      <c r="I118" s="1">
        <f>SUMPRODUCT(H118:H121,F118:F121)*D118</f>
        <v>0.13</v>
      </c>
      <c r="J118" s="1">
        <v>0.4</v>
      </c>
      <c r="K118" s="1">
        <v>0.4</v>
      </c>
      <c r="L118" s="1">
        <v>0.37</v>
      </c>
      <c r="M118" s="1">
        <v>0.33</v>
      </c>
      <c r="N118" s="1">
        <v>0.27</v>
      </c>
    </row>
    <row r="119" spans="1:14" x14ac:dyDescent="0.3">
      <c r="A119" t="s">
        <v>497</v>
      </c>
      <c r="B119" t="s">
        <v>536</v>
      </c>
      <c r="C119" t="s">
        <v>105</v>
      </c>
      <c r="D119" s="1">
        <v>0.25</v>
      </c>
      <c r="E119" t="s">
        <v>538</v>
      </c>
      <c r="F119" s="1">
        <v>0.35</v>
      </c>
      <c r="G119" t="s">
        <v>30</v>
      </c>
      <c r="H119" s="1">
        <v>0.1</v>
      </c>
      <c r="I119" s="1"/>
      <c r="J119" s="1">
        <v>0.4</v>
      </c>
      <c r="K119" s="1">
        <v>0.4</v>
      </c>
      <c r="L119" s="1">
        <v>0.37</v>
      </c>
      <c r="M119" s="1">
        <v>0.33</v>
      </c>
      <c r="N119" s="1">
        <v>0.27</v>
      </c>
    </row>
    <row r="120" spans="1:14" x14ac:dyDescent="0.3">
      <c r="A120" t="s">
        <v>497</v>
      </c>
      <c r="B120" t="s">
        <v>536</v>
      </c>
      <c r="C120" t="s">
        <v>105</v>
      </c>
      <c r="D120" s="1">
        <v>0.25</v>
      </c>
      <c r="E120" t="s">
        <v>539</v>
      </c>
      <c r="F120" s="1">
        <v>0.2</v>
      </c>
      <c r="G120" t="s">
        <v>20</v>
      </c>
      <c r="H120" s="1">
        <v>0.6</v>
      </c>
      <c r="I120" s="1"/>
      <c r="J120" s="1">
        <v>0.4</v>
      </c>
      <c r="K120" s="1">
        <v>0.4</v>
      </c>
      <c r="L120" s="1">
        <v>0.37</v>
      </c>
      <c r="M120" s="1">
        <v>0.33</v>
      </c>
      <c r="N120" s="1">
        <v>0.27</v>
      </c>
    </row>
    <row r="121" spans="1:14" x14ac:dyDescent="0.3">
      <c r="A121" t="s">
        <v>497</v>
      </c>
      <c r="B121" t="s">
        <v>536</v>
      </c>
      <c r="C121" t="s">
        <v>105</v>
      </c>
      <c r="D121" s="1">
        <v>0.25</v>
      </c>
      <c r="E121" t="s">
        <v>540</v>
      </c>
      <c r="F121" s="1">
        <v>0.2</v>
      </c>
      <c r="G121" t="s">
        <v>24</v>
      </c>
      <c r="H121" s="1">
        <v>0.95</v>
      </c>
      <c r="I121" s="1"/>
      <c r="J121" s="1">
        <v>0.4</v>
      </c>
      <c r="K121" s="1">
        <v>0.4</v>
      </c>
      <c r="L121" s="1">
        <v>0.37</v>
      </c>
      <c r="M121" s="1">
        <v>0.33</v>
      </c>
      <c r="N121" s="1">
        <v>0.27</v>
      </c>
    </row>
    <row r="122" spans="1:14" x14ac:dyDescent="0.3">
      <c r="A122" t="s">
        <v>497</v>
      </c>
      <c r="B122" t="s">
        <v>536</v>
      </c>
      <c r="C122" t="s">
        <v>16</v>
      </c>
      <c r="D122" s="1">
        <v>0.2</v>
      </c>
      <c r="E122" t="s">
        <v>17</v>
      </c>
      <c r="F122" s="1">
        <v>0.3</v>
      </c>
      <c r="G122" t="s">
        <v>18</v>
      </c>
      <c r="H122" s="1">
        <v>0.9</v>
      </c>
      <c r="I122" s="1">
        <f>SUMPRODUCT(H122:H125,F122:F125)*D122</f>
        <v>0.16550000000000004</v>
      </c>
      <c r="J122" s="1">
        <v>0.64</v>
      </c>
      <c r="K122" s="1">
        <v>0.64</v>
      </c>
      <c r="L122" s="1">
        <v>0.61</v>
      </c>
      <c r="M122" s="1">
        <v>0.55000000000000004</v>
      </c>
      <c r="N122" s="1">
        <v>0.49</v>
      </c>
    </row>
    <row r="123" spans="1:14" x14ac:dyDescent="0.3">
      <c r="A123" t="s">
        <v>497</v>
      </c>
      <c r="B123" t="s">
        <v>536</v>
      </c>
      <c r="C123" t="s">
        <v>16</v>
      </c>
      <c r="D123" s="1">
        <v>0.2</v>
      </c>
      <c r="E123" t="s">
        <v>19</v>
      </c>
      <c r="F123" s="1">
        <v>0.25</v>
      </c>
      <c r="G123" t="s">
        <v>20</v>
      </c>
      <c r="H123" s="1">
        <v>0.6</v>
      </c>
      <c r="I123" s="1"/>
      <c r="J123" s="1">
        <v>0.64</v>
      </c>
      <c r="K123" s="1">
        <v>0.64</v>
      </c>
      <c r="L123" s="1">
        <v>0.61</v>
      </c>
      <c r="M123" s="1">
        <v>0.55000000000000004</v>
      </c>
      <c r="N123" s="1">
        <v>0.49</v>
      </c>
    </row>
    <row r="124" spans="1:14" x14ac:dyDescent="0.3">
      <c r="A124" t="s">
        <v>497</v>
      </c>
      <c r="B124" t="s">
        <v>536</v>
      </c>
      <c r="C124" t="s">
        <v>16</v>
      </c>
      <c r="D124" s="1">
        <v>0.2</v>
      </c>
      <c r="E124" t="s">
        <v>21</v>
      </c>
      <c r="F124" s="1">
        <v>0.2</v>
      </c>
      <c r="G124" t="s">
        <v>22</v>
      </c>
      <c r="H124" s="1">
        <v>0.85</v>
      </c>
      <c r="I124" s="1"/>
      <c r="J124" s="1">
        <v>0.64</v>
      </c>
      <c r="K124" s="1">
        <v>0.64</v>
      </c>
      <c r="L124" s="1">
        <v>0.61</v>
      </c>
      <c r="M124" s="1">
        <v>0.55000000000000004</v>
      </c>
      <c r="N124" s="1">
        <v>0.49</v>
      </c>
    </row>
    <row r="125" spans="1:14" x14ac:dyDescent="0.3">
      <c r="A125" t="s">
        <v>497</v>
      </c>
      <c r="B125" t="s">
        <v>536</v>
      </c>
      <c r="C125" t="s">
        <v>16</v>
      </c>
      <c r="D125" s="1">
        <v>0.2</v>
      </c>
      <c r="E125" t="s">
        <v>23</v>
      </c>
      <c r="F125" s="1">
        <v>0.25</v>
      </c>
      <c r="G125" t="s">
        <v>24</v>
      </c>
      <c r="H125" s="1">
        <v>0.95</v>
      </c>
      <c r="I125" s="1"/>
      <c r="J125" s="1">
        <v>0.64</v>
      </c>
      <c r="K125" s="1">
        <v>0.64</v>
      </c>
      <c r="L125" s="1">
        <v>0.61</v>
      </c>
      <c r="M125" s="1">
        <v>0.55000000000000004</v>
      </c>
      <c r="N125" s="1">
        <v>0.49</v>
      </c>
    </row>
    <row r="126" spans="1:14" x14ac:dyDescent="0.3">
      <c r="A126" t="s">
        <v>497</v>
      </c>
      <c r="B126" t="s">
        <v>536</v>
      </c>
      <c r="C126" t="s">
        <v>25</v>
      </c>
      <c r="D126" s="1">
        <v>0.2</v>
      </c>
      <c r="E126" t="s">
        <v>26</v>
      </c>
      <c r="F126" s="1">
        <v>0.25</v>
      </c>
      <c r="G126" t="s">
        <v>18</v>
      </c>
      <c r="H126" s="1">
        <v>0.9</v>
      </c>
      <c r="I126" s="1">
        <f>SUMPRODUCT(H126:H129,F126:F129)*D126</f>
        <v>0.12400000000000003</v>
      </c>
      <c r="J126" s="1">
        <v>0.43</v>
      </c>
      <c r="K126" s="1">
        <v>0.43</v>
      </c>
      <c r="L126" s="1">
        <v>0.4</v>
      </c>
      <c r="M126" s="1">
        <v>0.35</v>
      </c>
      <c r="N126" s="1">
        <v>0.28999999999999998</v>
      </c>
    </row>
    <row r="127" spans="1:14" x14ac:dyDescent="0.3">
      <c r="A127" t="s">
        <v>497</v>
      </c>
      <c r="B127" t="s">
        <v>536</v>
      </c>
      <c r="C127" t="s">
        <v>25</v>
      </c>
      <c r="D127" s="1">
        <v>0.2</v>
      </c>
      <c r="E127" t="s">
        <v>541</v>
      </c>
      <c r="F127" s="1">
        <v>0.25</v>
      </c>
      <c r="G127" t="s">
        <v>28</v>
      </c>
      <c r="H127" s="1">
        <v>0.7</v>
      </c>
      <c r="I127" s="1"/>
      <c r="J127" s="1">
        <v>0.43</v>
      </c>
      <c r="K127" s="1">
        <v>0.43</v>
      </c>
      <c r="L127" s="1">
        <v>0.4</v>
      </c>
      <c r="M127" s="1">
        <v>0.35</v>
      </c>
      <c r="N127" s="1">
        <v>0.28999999999999998</v>
      </c>
    </row>
    <row r="128" spans="1:14" x14ac:dyDescent="0.3">
      <c r="A128" t="s">
        <v>497</v>
      </c>
      <c r="B128" t="s">
        <v>536</v>
      </c>
      <c r="C128" t="s">
        <v>25</v>
      </c>
      <c r="D128" s="1">
        <v>0.2</v>
      </c>
      <c r="E128" t="s">
        <v>542</v>
      </c>
      <c r="F128" s="1">
        <v>0.3</v>
      </c>
      <c r="G128" t="s">
        <v>30</v>
      </c>
      <c r="H128" s="1">
        <v>0.1</v>
      </c>
      <c r="I128" s="1"/>
      <c r="J128" s="1">
        <v>0.43</v>
      </c>
      <c r="K128" s="1">
        <v>0.43</v>
      </c>
      <c r="L128" s="1">
        <v>0.4</v>
      </c>
      <c r="M128" s="1">
        <v>0.35</v>
      </c>
      <c r="N128" s="1">
        <v>0.28999999999999998</v>
      </c>
    </row>
    <row r="129" spans="1:14" x14ac:dyDescent="0.3">
      <c r="A129" t="s">
        <v>497</v>
      </c>
      <c r="B129" t="s">
        <v>536</v>
      </c>
      <c r="C129" t="s">
        <v>25</v>
      </c>
      <c r="D129" s="1">
        <v>0.2</v>
      </c>
      <c r="E129" t="s">
        <v>31</v>
      </c>
      <c r="F129" s="1">
        <v>0.2</v>
      </c>
      <c r="G129" t="s">
        <v>24</v>
      </c>
      <c r="H129" s="1">
        <v>0.95</v>
      </c>
      <c r="I129" s="1"/>
      <c r="J129" s="1">
        <v>0.43</v>
      </c>
      <c r="K129" s="1">
        <v>0.43</v>
      </c>
      <c r="L129" s="1">
        <v>0.4</v>
      </c>
      <c r="M129" s="1">
        <v>0.35</v>
      </c>
      <c r="N129" s="1">
        <v>0.28999999999999998</v>
      </c>
    </row>
    <row r="130" spans="1:14" x14ac:dyDescent="0.3">
      <c r="A130" t="s">
        <v>497</v>
      </c>
      <c r="B130" t="s">
        <v>536</v>
      </c>
      <c r="C130" t="s">
        <v>37</v>
      </c>
      <c r="D130" s="1">
        <v>0.15</v>
      </c>
      <c r="E130" t="s">
        <v>38</v>
      </c>
      <c r="F130" s="1">
        <v>0.3</v>
      </c>
      <c r="G130" t="s">
        <v>18</v>
      </c>
      <c r="H130" s="1">
        <v>0.9</v>
      </c>
      <c r="I130" s="1">
        <f>SUMPRODUCT(H130:H133,F130:F133)*D130</f>
        <v>0.1215</v>
      </c>
      <c r="J130" s="1">
        <v>0.62</v>
      </c>
      <c r="K130" s="1">
        <v>0.62</v>
      </c>
      <c r="L130" s="1">
        <v>0.59</v>
      </c>
      <c r="M130" s="1">
        <v>0.53</v>
      </c>
      <c r="N130" s="1">
        <v>0.47</v>
      </c>
    </row>
    <row r="131" spans="1:14" x14ac:dyDescent="0.3">
      <c r="A131" t="s">
        <v>497</v>
      </c>
      <c r="B131" t="s">
        <v>536</v>
      </c>
      <c r="C131" t="s">
        <v>37</v>
      </c>
      <c r="D131" s="1">
        <v>0.15</v>
      </c>
      <c r="E131" t="s">
        <v>39</v>
      </c>
      <c r="F131" s="1">
        <v>0.25</v>
      </c>
      <c r="G131" t="s">
        <v>40</v>
      </c>
      <c r="H131" s="1">
        <v>0.7</v>
      </c>
      <c r="I131" s="1"/>
      <c r="J131" s="1">
        <v>0.62</v>
      </c>
      <c r="K131" s="1">
        <v>0.62</v>
      </c>
      <c r="L131" s="1">
        <v>0.59</v>
      </c>
      <c r="M131" s="1">
        <v>0.53</v>
      </c>
      <c r="N131" s="1">
        <v>0.47</v>
      </c>
    </row>
    <row r="132" spans="1:14" x14ac:dyDescent="0.3">
      <c r="A132" t="s">
        <v>497</v>
      </c>
      <c r="B132" t="s">
        <v>536</v>
      </c>
      <c r="C132" t="s">
        <v>37</v>
      </c>
      <c r="D132" s="1">
        <v>0.15</v>
      </c>
      <c r="E132" t="s">
        <v>41</v>
      </c>
      <c r="F132" s="1">
        <v>0.25</v>
      </c>
      <c r="G132" t="s">
        <v>28</v>
      </c>
      <c r="H132" s="1">
        <v>0.7</v>
      </c>
      <c r="I132" s="1"/>
      <c r="J132" s="1">
        <v>0.62</v>
      </c>
      <c r="K132" s="1">
        <v>0.62</v>
      </c>
      <c r="L132" s="1">
        <v>0.59</v>
      </c>
      <c r="M132" s="1">
        <v>0.53</v>
      </c>
      <c r="N132" s="1">
        <v>0.47</v>
      </c>
    </row>
    <row r="133" spans="1:14" x14ac:dyDescent="0.3">
      <c r="A133" t="s">
        <v>497</v>
      </c>
      <c r="B133" t="s">
        <v>536</v>
      </c>
      <c r="C133" t="s">
        <v>37</v>
      </c>
      <c r="D133" s="1">
        <v>0.15</v>
      </c>
      <c r="E133" t="s">
        <v>42</v>
      </c>
      <c r="F133" s="1">
        <v>0.2</v>
      </c>
      <c r="G133" t="s">
        <v>24</v>
      </c>
      <c r="H133" s="1">
        <v>0.95</v>
      </c>
      <c r="I133" s="1"/>
      <c r="J133" s="1">
        <v>0.62</v>
      </c>
      <c r="K133" s="1">
        <v>0.62</v>
      </c>
      <c r="L133" s="1">
        <v>0.59</v>
      </c>
      <c r="M133" s="1">
        <v>0.53</v>
      </c>
      <c r="N133" s="1">
        <v>0.47</v>
      </c>
    </row>
    <row r="134" spans="1:14" x14ac:dyDescent="0.3">
      <c r="A134" t="s">
        <v>497</v>
      </c>
      <c r="B134" t="s">
        <v>536</v>
      </c>
      <c r="C134" t="s">
        <v>526</v>
      </c>
      <c r="D134" s="1">
        <v>0.1</v>
      </c>
      <c r="E134" t="s">
        <v>543</v>
      </c>
      <c r="F134" s="1">
        <v>0.25</v>
      </c>
      <c r="G134" t="s">
        <v>40</v>
      </c>
      <c r="H134" s="1">
        <v>0.7</v>
      </c>
      <c r="I134" s="1">
        <f>SUMPRODUCT(H134:H137,F134:F137)*D134</f>
        <v>5.8749999999999997E-2</v>
      </c>
      <c r="J134" s="1">
        <v>0.4</v>
      </c>
      <c r="K134" s="1">
        <v>0.4</v>
      </c>
      <c r="L134" s="1">
        <v>0.37</v>
      </c>
      <c r="M134" s="1">
        <v>0.32</v>
      </c>
      <c r="N134" s="1">
        <v>0.26</v>
      </c>
    </row>
    <row r="135" spans="1:14" x14ac:dyDescent="0.3">
      <c r="A135" t="s">
        <v>497</v>
      </c>
      <c r="B135" t="s">
        <v>536</v>
      </c>
      <c r="C135" t="s">
        <v>526</v>
      </c>
      <c r="D135" s="1">
        <v>0.1</v>
      </c>
      <c r="E135" t="s">
        <v>50</v>
      </c>
      <c r="F135" s="1">
        <v>0.25</v>
      </c>
      <c r="G135" t="s">
        <v>20</v>
      </c>
      <c r="H135" s="1">
        <v>0.6</v>
      </c>
      <c r="I135" s="1"/>
      <c r="J135" s="1">
        <v>0.4</v>
      </c>
      <c r="K135" s="1">
        <v>0.4</v>
      </c>
      <c r="L135" s="1">
        <v>0.37</v>
      </c>
      <c r="M135" s="1">
        <v>0.32</v>
      </c>
      <c r="N135" s="1">
        <v>0.26</v>
      </c>
    </row>
    <row r="136" spans="1:14" x14ac:dyDescent="0.3">
      <c r="A136" t="s">
        <v>497</v>
      </c>
      <c r="B136" t="s">
        <v>536</v>
      </c>
      <c r="C136" t="s">
        <v>526</v>
      </c>
      <c r="D136" s="1">
        <v>0.1</v>
      </c>
      <c r="E136" t="s">
        <v>529</v>
      </c>
      <c r="F136" s="1">
        <v>0.25</v>
      </c>
      <c r="G136" t="s">
        <v>30</v>
      </c>
      <c r="H136" s="1">
        <v>0.1</v>
      </c>
      <c r="I136" s="1"/>
      <c r="J136" s="1">
        <v>0.4</v>
      </c>
      <c r="K136" s="1">
        <v>0.4</v>
      </c>
      <c r="L136" s="1">
        <v>0.37</v>
      </c>
      <c r="M136" s="1">
        <v>0.32</v>
      </c>
      <c r="N136" s="1">
        <v>0.26</v>
      </c>
    </row>
    <row r="137" spans="1:14" x14ac:dyDescent="0.3">
      <c r="A137" t="s">
        <v>497</v>
      </c>
      <c r="B137" t="s">
        <v>536</v>
      </c>
      <c r="C137" t="s">
        <v>526</v>
      </c>
      <c r="D137" s="1">
        <v>0.1</v>
      </c>
      <c r="E137" t="s">
        <v>53</v>
      </c>
      <c r="F137" s="1">
        <v>0.25</v>
      </c>
      <c r="G137" t="s">
        <v>24</v>
      </c>
      <c r="H137" s="1">
        <v>0.95</v>
      </c>
      <c r="I137" s="1"/>
      <c r="J137" s="1">
        <v>0.4</v>
      </c>
      <c r="K137" s="1">
        <v>0.4</v>
      </c>
      <c r="L137" s="1">
        <v>0.37</v>
      </c>
      <c r="M137" s="1">
        <v>0.32</v>
      </c>
      <c r="N137" s="1">
        <v>0.26</v>
      </c>
    </row>
    <row r="138" spans="1:14" x14ac:dyDescent="0.3">
      <c r="A138" t="s">
        <v>497</v>
      </c>
      <c r="B138" t="s">
        <v>536</v>
      </c>
      <c r="C138" t="s">
        <v>271</v>
      </c>
      <c r="D138" s="1">
        <v>0.1</v>
      </c>
      <c r="E138" t="s">
        <v>544</v>
      </c>
      <c r="F138" s="1">
        <v>0.3</v>
      </c>
      <c r="G138" t="s">
        <v>56</v>
      </c>
      <c r="H138" s="1">
        <v>0.3</v>
      </c>
      <c r="I138" s="1">
        <f>SUMPRODUCT(H138:H141,F138:F141)*D138</f>
        <v>4.5500000000000006E-2</v>
      </c>
      <c r="J138" s="1">
        <v>0.31</v>
      </c>
      <c r="K138" s="1">
        <v>0.31</v>
      </c>
      <c r="L138" s="1">
        <v>0.28000000000000003</v>
      </c>
      <c r="M138" s="1">
        <v>0.24</v>
      </c>
      <c r="N138" s="1">
        <v>0.19</v>
      </c>
    </row>
    <row r="139" spans="1:14" x14ac:dyDescent="0.3">
      <c r="A139" t="s">
        <v>497</v>
      </c>
      <c r="B139" t="s">
        <v>536</v>
      </c>
      <c r="C139" t="s">
        <v>271</v>
      </c>
      <c r="D139" s="1">
        <v>0.1</v>
      </c>
      <c r="E139" t="s">
        <v>545</v>
      </c>
      <c r="F139" s="1">
        <v>0.25</v>
      </c>
      <c r="G139" t="s">
        <v>20</v>
      </c>
      <c r="H139" s="1">
        <v>0.6</v>
      </c>
      <c r="I139" s="1"/>
      <c r="J139" s="1">
        <v>0.31</v>
      </c>
      <c r="K139" s="1">
        <v>0.31</v>
      </c>
      <c r="L139" s="1">
        <v>0.28000000000000003</v>
      </c>
      <c r="M139" s="1">
        <v>0.24</v>
      </c>
      <c r="N139" s="1">
        <v>0.19</v>
      </c>
    </row>
    <row r="140" spans="1:14" x14ac:dyDescent="0.3">
      <c r="A140" t="s">
        <v>497</v>
      </c>
      <c r="B140" t="s">
        <v>536</v>
      </c>
      <c r="C140" t="s">
        <v>271</v>
      </c>
      <c r="D140" s="1">
        <v>0.1</v>
      </c>
      <c r="E140" t="s">
        <v>546</v>
      </c>
      <c r="F140" s="1">
        <v>0.25</v>
      </c>
      <c r="G140" t="s">
        <v>30</v>
      </c>
      <c r="H140" s="1">
        <v>0.1</v>
      </c>
      <c r="I140" s="1"/>
      <c r="J140" s="1">
        <v>0.31</v>
      </c>
      <c r="K140" s="1">
        <v>0.31</v>
      </c>
      <c r="L140" s="1">
        <v>0.28000000000000003</v>
      </c>
      <c r="M140" s="1">
        <v>0.24</v>
      </c>
      <c r="N140" s="1">
        <v>0.19</v>
      </c>
    </row>
    <row r="141" spans="1:14" x14ac:dyDescent="0.3">
      <c r="A141" t="s">
        <v>497</v>
      </c>
      <c r="B141" t="s">
        <v>536</v>
      </c>
      <c r="C141" t="s">
        <v>271</v>
      </c>
      <c r="D141" s="1">
        <v>0.1</v>
      </c>
      <c r="E141" t="s">
        <v>59</v>
      </c>
      <c r="F141" s="1">
        <v>0.2</v>
      </c>
      <c r="G141" t="s">
        <v>24</v>
      </c>
      <c r="H141" s="1">
        <v>0.95</v>
      </c>
      <c r="I141" s="1"/>
      <c r="J141" s="1">
        <v>0.31</v>
      </c>
      <c r="K141" s="1">
        <v>0.31</v>
      </c>
      <c r="L141" s="1">
        <v>0.28000000000000003</v>
      </c>
      <c r="M141" s="1">
        <v>0.24</v>
      </c>
      <c r="N141" s="1">
        <v>0.19</v>
      </c>
    </row>
    <row r="142" spans="1:14" x14ac:dyDescent="0.3">
      <c r="D142" s="1"/>
      <c r="F142" s="1"/>
      <c r="H142" s="1"/>
      <c r="I142" s="2">
        <f>SUM(I118:I141)</f>
        <v>0.6452500000000001</v>
      </c>
      <c r="J142" s="2">
        <f>+J122*$D122+J126*$D126+J130*$D130+J134*$D134+J138*$D138+$D118*J118</f>
        <v>0.47800000000000009</v>
      </c>
      <c r="K142" s="2">
        <f t="shared" ref="K142:N142" si="4">+K122*$D122+K126*$D126+K130*$D130+K134*$D134+K138*$D138+$D118*K118</f>
        <v>0.47800000000000009</v>
      </c>
      <c r="L142" s="2">
        <f t="shared" si="4"/>
        <v>0.44799999999999995</v>
      </c>
      <c r="M142" s="2">
        <f t="shared" si="4"/>
        <v>0.39800000000000002</v>
      </c>
      <c r="N142" s="2">
        <f t="shared" si="4"/>
        <v>0.33900000000000002</v>
      </c>
    </row>
    <row r="143" spans="1:14" x14ac:dyDescent="0.3">
      <c r="D143" s="1"/>
      <c r="F143" s="1"/>
      <c r="H143" s="1"/>
      <c r="I143" s="1"/>
      <c r="J143" s="1"/>
      <c r="K143" s="1"/>
      <c r="L143" s="1"/>
      <c r="M143" s="1"/>
      <c r="N143" s="1"/>
    </row>
    <row r="144" spans="1:14" x14ac:dyDescent="0.3">
      <c r="A144" t="s">
        <v>497</v>
      </c>
      <c r="B144" t="s">
        <v>547</v>
      </c>
      <c r="C144" t="s">
        <v>548</v>
      </c>
      <c r="D144" s="1">
        <v>0.25</v>
      </c>
      <c r="E144" t="s">
        <v>99</v>
      </c>
      <c r="F144" s="1">
        <v>0.25</v>
      </c>
      <c r="G144" t="s">
        <v>20</v>
      </c>
      <c r="H144" s="1">
        <v>0.6</v>
      </c>
      <c r="I144" s="1">
        <f>SUMPRODUCT(H144:H147,F144:F147)*D144</f>
        <v>0.12812499999999999</v>
      </c>
      <c r="J144" s="1">
        <v>0.43</v>
      </c>
      <c r="K144" s="1">
        <v>0.43</v>
      </c>
      <c r="L144" s="1">
        <v>0.4</v>
      </c>
      <c r="M144" s="1">
        <v>0.36</v>
      </c>
      <c r="N144" s="1">
        <v>0.31</v>
      </c>
    </row>
    <row r="145" spans="1:14" x14ac:dyDescent="0.3">
      <c r="A145" t="s">
        <v>497</v>
      </c>
      <c r="B145" t="s">
        <v>547</v>
      </c>
      <c r="C145" t="s">
        <v>548</v>
      </c>
      <c r="D145" s="1">
        <v>0.25</v>
      </c>
      <c r="E145" t="s">
        <v>100</v>
      </c>
      <c r="F145" s="1">
        <v>0.35</v>
      </c>
      <c r="G145" t="s">
        <v>30</v>
      </c>
      <c r="H145" s="1">
        <v>0.1</v>
      </c>
      <c r="I145" s="1"/>
      <c r="J145" s="1">
        <v>0.43</v>
      </c>
      <c r="K145" s="1">
        <v>0.43</v>
      </c>
      <c r="L145" s="1">
        <v>0.4</v>
      </c>
      <c r="M145" s="1">
        <v>0.36</v>
      </c>
      <c r="N145" s="1">
        <v>0.31</v>
      </c>
    </row>
    <row r="146" spans="1:14" x14ac:dyDescent="0.3">
      <c r="A146" t="s">
        <v>497</v>
      </c>
      <c r="B146" t="s">
        <v>547</v>
      </c>
      <c r="C146" t="s">
        <v>548</v>
      </c>
      <c r="D146" s="1">
        <v>0.25</v>
      </c>
      <c r="E146" t="s">
        <v>549</v>
      </c>
      <c r="F146" s="1">
        <v>0.25</v>
      </c>
      <c r="G146" t="s">
        <v>24</v>
      </c>
      <c r="H146" s="1">
        <v>0.95</v>
      </c>
      <c r="I146" s="1"/>
      <c r="J146" s="1">
        <v>0.43</v>
      </c>
      <c r="K146" s="1">
        <v>0.43</v>
      </c>
      <c r="L146" s="1">
        <v>0.4</v>
      </c>
      <c r="M146" s="1">
        <v>0.36</v>
      </c>
      <c r="N146" s="1">
        <v>0.31</v>
      </c>
    </row>
    <row r="147" spans="1:14" x14ac:dyDescent="0.3">
      <c r="A147" t="s">
        <v>497</v>
      </c>
      <c r="B147" t="s">
        <v>547</v>
      </c>
      <c r="C147" t="s">
        <v>548</v>
      </c>
      <c r="D147" s="1">
        <v>0.25</v>
      </c>
      <c r="E147" t="s">
        <v>132</v>
      </c>
      <c r="F147" s="1">
        <v>0.15</v>
      </c>
      <c r="G147" t="s">
        <v>20</v>
      </c>
      <c r="H147" s="1">
        <v>0.6</v>
      </c>
      <c r="I147" s="1"/>
      <c r="J147" s="1">
        <v>0.43</v>
      </c>
      <c r="K147" s="1">
        <v>0.43</v>
      </c>
      <c r="L147" s="1">
        <v>0.4</v>
      </c>
      <c r="M147" s="1">
        <v>0.36</v>
      </c>
      <c r="N147" s="1">
        <v>0.31</v>
      </c>
    </row>
    <row r="148" spans="1:14" x14ac:dyDescent="0.3">
      <c r="A148" t="s">
        <v>497</v>
      </c>
      <c r="B148" t="s">
        <v>547</v>
      </c>
      <c r="C148" t="s">
        <v>16</v>
      </c>
      <c r="D148" s="1">
        <v>0.2</v>
      </c>
      <c r="E148" t="s">
        <v>17</v>
      </c>
      <c r="F148" s="1">
        <v>0.3</v>
      </c>
      <c r="G148" t="s">
        <v>18</v>
      </c>
      <c r="H148" s="1">
        <v>0.9</v>
      </c>
      <c r="I148" s="1">
        <f>SUMPRODUCT(H148:H151,F148:F151)*D148</f>
        <v>0.16550000000000004</v>
      </c>
      <c r="J148" s="1">
        <v>0.66</v>
      </c>
      <c r="K148" s="1">
        <v>0.66</v>
      </c>
      <c r="L148" s="1">
        <v>0.63</v>
      </c>
      <c r="M148" s="1">
        <v>0.57999999999999996</v>
      </c>
      <c r="N148" s="1">
        <v>0.53</v>
      </c>
    </row>
    <row r="149" spans="1:14" x14ac:dyDescent="0.3">
      <c r="A149" t="s">
        <v>497</v>
      </c>
      <c r="B149" t="s">
        <v>547</v>
      </c>
      <c r="C149" t="s">
        <v>16</v>
      </c>
      <c r="D149" s="1">
        <v>0.2</v>
      </c>
      <c r="E149" t="s">
        <v>19</v>
      </c>
      <c r="F149" s="1">
        <v>0.25</v>
      </c>
      <c r="G149" t="s">
        <v>20</v>
      </c>
      <c r="H149" s="1">
        <v>0.6</v>
      </c>
      <c r="I149" s="1"/>
      <c r="J149" s="1">
        <v>0.66</v>
      </c>
      <c r="K149" s="1">
        <v>0.66</v>
      </c>
      <c r="L149" s="1">
        <v>0.63</v>
      </c>
      <c r="M149" s="1">
        <v>0.57999999999999996</v>
      </c>
      <c r="N149" s="1">
        <v>0.53</v>
      </c>
    </row>
    <row r="150" spans="1:14" x14ac:dyDescent="0.3">
      <c r="A150" t="s">
        <v>497</v>
      </c>
      <c r="B150" t="s">
        <v>547</v>
      </c>
      <c r="C150" t="s">
        <v>16</v>
      </c>
      <c r="D150" s="1">
        <v>0.2</v>
      </c>
      <c r="E150" t="s">
        <v>21</v>
      </c>
      <c r="F150" s="1">
        <v>0.2</v>
      </c>
      <c r="G150" t="s">
        <v>22</v>
      </c>
      <c r="H150" s="1">
        <v>0.85</v>
      </c>
      <c r="I150" s="1"/>
      <c r="J150" s="1">
        <v>0.66</v>
      </c>
      <c r="K150" s="1">
        <v>0.66</v>
      </c>
      <c r="L150" s="1">
        <v>0.63</v>
      </c>
      <c r="M150" s="1">
        <v>0.57999999999999996</v>
      </c>
      <c r="N150" s="1">
        <v>0.53</v>
      </c>
    </row>
    <row r="151" spans="1:14" x14ac:dyDescent="0.3">
      <c r="A151" t="s">
        <v>497</v>
      </c>
      <c r="B151" t="s">
        <v>547</v>
      </c>
      <c r="C151" t="s">
        <v>16</v>
      </c>
      <c r="D151" s="1">
        <v>0.2</v>
      </c>
      <c r="E151" t="s">
        <v>23</v>
      </c>
      <c r="F151" s="1">
        <v>0.25</v>
      </c>
      <c r="G151" t="s">
        <v>24</v>
      </c>
      <c r="H151" s="1">
        <v>0.95</v>
      </c>
      <c r="I151" s="1"/>
      <c r="J151" s="1">
        <v>0.66</v>
      </c>
      <c r="K151" s="1">
        <v>0.66</v>
      </c>
      <c r="L151" s="1">
        <v>0.63</v>
      </c>
      <c r="M151" s="1">
        <v>0.57999999999999996</v>
      </c>
      <c r="N151" s="1">
        <v>0.53</v>
      </c>
    </row>
    <row r="152" spans="1:14" x14ac:dyDescent="0.3">
      <c r="A152" t="s">
        <v>497</v>
      </c>
      <c r="B152" t="s">
        <v>547</v>
      </c>
      <c r="C152" t="s">
        <v>25</v>
      </c>
      <c r="D152" s="1">
        <v>0.2</v>
      </c>
      <c r="E152" t="s">
        <v>26</v>
      </c>
      <c r="F152" s="1">
        <v>0.25</v>
      </c>
      <c r="G152" t="s">
        <v>18</v>
      </c>
      <c r="H152" s="1">
        <v>0.9</v>
      </c>
      <c r="I152" s="1">
        <f>SUMPRODUCT(H152:H155,F152:F155)*D152</f>
        <v>0.12400000000000003</v>
      </c>
      <c r="J152" s="1">
        <v>0.46</v>
      </c>
      <c r="K152" s="1">
        <v>0.46</v>
      </c>
      <c r="L152" s="1">
        <v>0.43</v>
      </c>
      <c r="M152" s="1">
        <v>0.38</v>
      </c>
      <c r="N152" s="1">
        <v>0.34</v>
      </c>
    </row>
    <row r="153" spans="1:14" x14ac:dyDescent="0.3">
      <c r="A153" t="s">
        <v>497</v>
      </c>
      <c r="B153" t="s">
        <v>547</v>
      </c>
      <c r="C153" t="s">
        <v>25</v>
      </c>
      <c r="D153" s="1">
        <v>0.2</v>
      </c>
      <c r="E153" t="s">
        <v>550</v>
      </c>
      <c r="F153" s="1">
        <v>0.25</v>
      </c>
      <c r="G153" t="s">
        <v>28</v>
      </c>
      <c r="H153" s="1">
        <v>0.7</v>
      </c>
      <c r="I153" s="1"/>
      <c r="J153" s="1">
        <v>0.46</v>
      </c>
      <c r="K153" s="1">
        <v>0.46</v>
      </c>
      <c r="L153" s="1">
        <v>0.43</v>
      </c>
      <c r="M153" s="1">
        <v>0.38</v>
      </c>
      <c r="N153" s="1">
        <v>0.34</v>
      </c>
    </row>
    <row r="154" spans="1:14" x14ac:dyDescent="0.3">
      <c r="A154" t="s">
        <v>497</v>
      </c>
      <c r="B154" t="s">
        <v>547</v>
      </c>
      <c r="C154" t="s">
        <v>25</v>
      </c>
      <c r="D154" s="1">
        <v>0.2</v>
      </c>
      <c r="E154" t="s">
        <v>551</v>
      </c>
      <c r="F154" s="1">
        <v>0.3</v>
      </c>
      <c r="G154" t="s">
        <v>30</v>
      </c>
      <c r="H154" s="1">
        <v>0.1</v>
      </c>
      <c r="I154" s="1"/>
      <c r="J154" s="1">
        <v>0.46</v>
      </c>
      <c r="K154" s="1">
        <v>0.46</v>
      </c>
      <c r="L154" s="1">
        <v>0.43</v>
      </c>
      <c r="M154" s="1">
        <v>0.38</v>
      </c>
      <c r="N154" s="1">
        <v>0.34</v>
      </c>
    </row>
    <row r="155" spans="1:14" x14ac:dyDescent="0.3">
      <c r="A155" t="s">
        <v>497</v>
      </c>
      <c r="B155" t="s">
        <v>547</v>
      </c>
      <c r="C155" t="s">
        <v>25</v>
      </c>
      <c r="D155" s="1">
        <v>0.2</v>
      </c>
      <c r="E155" t="s">
        <v>31</v>
      </c>
      <c r="F155" s="1">
        <v>0.2</v>
      </c>
      <c r="G155" t="s">
        <v>24</v>
      </c>
      <c r="H155" s="1">
        <v>0.95</v>
      </c>
      <c r="I155" s="1"/>
      <c r="J155" s="1">
        <v>0.46</v>
      </c>
      <c r="K155" s="1">
        <v>0.46</v>
      </c>
      <c r="L155" s="1">
        <v>0.43</v>
      </c>
      <c r="M155" s="1">
        <v>0.38</v>
      </c>
      <c r="N155" s="1">
        <v>0.34</v>
      </c>
    </row>
    <row r="156" spans="1:14" x14ac:dyDescent="0.3">
      <c r="A156" t="s">
        <v>497</v>
      </c>
      <c r="B156" t="s">
        <v>547</v>
      </c>
      <c r="C156" t="s">
        <v>37</v>
      </c>
      <c r="D156" s="1">
        <v>0.15</v>
      </c>
      <c r="E156" t="s">
        <v>38</v>
      </c>
      <c r="F156" s="1">
        <v>0.3</v>
      </c>
      <c r="G156" t="s">
        <v>18</v>
      </c>
      <c r="H156" s="1">
        <v>0.9</v>
      </c>
      <c r="I156" s="1">
        <f>SUMPRODUCT(H156:H159,F156:F159)*D156</f>
        <v>0.1215</v>
      </c>
      <c r="J156" s="1">
        <v>0.65</v>
      </c>
      <c r="K156" s="1">
        <v>0.65</v>
      </c>
      <c r="L156" s="1">
        <v>0.62</v>
      </c>
      <c r="M156" s="1">
        <v>0.56999999999999995</v>
      </c>
      <c r="N156" s="1">
        <v>0.52</v>
      </c>
    </row>
    <row r="157" spans="1:14" x14ac:dyDescent="0.3">
      <c r="A157" t="s">
        <v>497</v>
      </c>
      <c r="B157" t="s">
        <v>547</v>
      </c>
      <c r="C157" t="s">
        <v>37</v>
      </c>
      <c r="D157" s="1">
        <v>0.15</v>
      </c>
      <c r="E157" t="s">
        <v>39</v>
      </c>
      <c r="F157" s="1">
        <v>0.25</v>
      </c>
      <c r="G157" t="s">
        <v>40</v>
      </c>
      <c r="H157" s="1">
        <v>0.7</v>
      </c>
      <c r="I157" s="1"/>
      <c r="J157" s="1">
        <v>0.65</v>
      </c>
      <c r="K157" s="1">
        <v>0.65</v>
      </c>
      <c r="L157" s="1">
        <v>0.62</v>
      </c>
      <c r="M157" s="1">
        <v>0.56999999999999995</v>
      </c>
      <c r="N157" s="1">
        <v>0.52</v>
      </c>
    </row>
    <row r="158" spans="1:14" x14ac:dyDescent="0.3">
      <c r="A158" t="s">
        <v>497</v>
      </c>
      <c r="B158" t="s">
        <v>547</v>
      </c>
      <c r="C158" t="s">
        <v>37</v>
      </c>
      <c r="D158" s="1">
        <v>0.15</v>
      </c>
      <c r="E158" t="s">
        <v>41</v>
      </c>
      <c r="F158" s="1">
        <v>0.25</v>
      </c>
      <c r="G158" t="s">
        <v>28</v>
      </c>
      <c r="H158" s="1">
        <v>0.7</v>
      </c>
      <c r="I158" s="1"/>
      <c r="J158" s="1">
        <v>0.65</v>
      </c>
      <c r="K158" s="1">
        <v>0.65</v>
      </c>
      <c r="L158" s="1">
        <v>0.62</v>
      </c>
      <c r="M158" s="1">
        <v>0.56999999999999995</v>
      </c>
      <c r="N158" s="1">
        <v>0.52</v>
      </c>
    </row>
    <row r="159" spans="1:14" x14ac:dyDescent="0.3">
      <c r="A159" t="s">
        <v>497</v>
      </c>
      <c r="B159" t="s">
        <v>547</v>
      </c>
      <c r="C159" t="s">
        <v>37</v>
      </c>
      <c r="D159" s="1">
        <v>0.15</v>
      </c>
      <c r="E159" t="s">
        <v>42</v>
      </c>
      <c r="F159" s="1">
        <v>0.2</v>
      </c>
      <c r="G159" t="s">
        <v>24</v>
      </c>
      <c r="H159" s="1">
        <v>0.95</v>
      </c>
      <c r="I159" s="1"/>
      <c r="J159" s="1">
        <v>0.65</v>
      </c>
      <c r="K159" s="1">
        <v>0.65</v>
      </c>
      <c r="L159" s="1">
        <v>0.62</v>
      </c>
      <c r="M159" s="1">
        <v>0.56999999999999995</v>
      </c>
      <c r="N159" s="1">
        <v>0.52</v>
      </c>
    </row>
    <row r="160" spans="1:14" x14ac:dyDescent="0.3">
      <c r="A160" t="s">
        <v>497</v>
      </c>
      <c r="B160" t="s">
        <v>547</v>
      </c>
      <c r="C160" t="s">
        <v>48</v>
      </c>
      <c r="D160" s="1">
        <v>0.1</v>
      </c>
      <c r="E160" t="s">
        <v>287</v>
      </c>
      <c r="F160" s="1">
        <v>0.25</v>
      </c>
      <c r="G160" t="s">
        <v>40</v>
      </c>
      <c r="H160" s="1">
        <v>0.7</v>
      </c>
      <c r="I160" s="1">
        <f>SUMPRODUCT(H160:H163,F160:F163)*D160</f>
        <v>5.8749999999999997E-2</v>
      </c>
      <c r="J160" s="1">
        <v>0.43</v>
      </c>
      <c r="K160" s="1">
        <v>0.43</v>
      </c>
      <c r="L160" s="1">
        <v>0.4</v>
      </c>
      <c r="M160" s="1">
        <v>0.35</v>
      </c>
      <c r="N160" s="1">
        <v>0.3</v>
      </c>
    </row>
    <row r="161" spans="1:14" x14ac:dyDescent="0.3">
      <c r="A161" t="s">
        <v>497</v>
      </c>
      <c r="B161" t="s">
        <v>547</v>
      </c>
      <c r="C161" t="s">
        <v>48</v>
      </c>
      <c r="D161" s="1">
        <v>0.1</v>
      </c>
      <c r="E161" t="s">
        <v>50</v>
      </c>
      <c r="F161" s="1">
        <v>0.25</v>
      </c>
      <c r="G161" t="s">
        <v>20</v>
      </c>
      <c r="H161" s="1">
        <v>0.6</v>
      </c>
      <c r="I161" s="1"/>
      <c r="J161" s="1">
        <v>0.43</v>
      </c>
      <c r="K161" s="1">
        <v>0.43</v>
      </c>
      <c r="L161" s="1">
        <v>0.4</v>
      </c>
      <c r="M161" s="1">
        <v>0.35</v>
      </c>
      <c r="N161" s="1">
        <v>0.3</v>
      </c>
    </row>
    <row r="162" spans="1:14" x14ac:dyDescent="0.3">
      <c r="A162" t="s">
        <v>497</v>
      </c>
      <c r="B162" t="s">
        <v>547</v>
      </c>
      <c r="C162" t="s">
        <v>48</v>
      </c>
      <c r="D162" s="1">
        <v>0.1</v>
      </c>
      <c r="E162" t="s">
        <v>529</v>
      </c>
      <c r="F162" s="1">
        <v>0.25</v>
      </c>
      <c r="G162" t="s">
        <v>30</v>
      </c>
      <c r="H162" s="1">
        <v>0.1</v>
      </c>
      <c r="I162" s="1"/>
      <c r="J162" s="1">
        <v>0.43</v>
      </c>
      <c r="K162" s="1">
        <v>0.43</v>
      </c>
      <c r="L162" s="1">
        <v>0.4</v>
      </c>
      <c r="M162" s="1">
        <v>0.35</v>
      </c>
      <c r="N162" s="1">
        <v>0.3</v>
      </c>
    </row>
    <row r="163" spans="1:14" x14ac:dyDescent="0.3">
      <c r="A163" t="s">
        <v>497</v>
      </c>
      <c r="B163" t="s">
        <v>547</v>
      </c>
      <c r="C163" t="s">
        <v>48</v>
      </c>
      <c r="D163" s="1">
        <v>0.1</v>
      </c>
      <c r="E163" t="s">
        <v>53</v>
      </c>
      <c r="F163" s="1">
        <v>0.25</v>
      </c>
      <c r="G163" t="s">
        <v>24</v>
      </c>
      <c r="H163" s="1">
        <v>0.95</v>
      </c>
      <c r="I163" s="1"/>
      <c r="J163" s="1">
        <v>0.43</v>
      </c>
      <c r="K163" s="1">
        <v>0.43</v>
      </c>
      <c r="L163" s="1">
        <v>0.4</v>
      </c>
      <c r="M163" s="1">
        <v>0.35</v>
      </c>
      <c r="N163" s="1">
        <v>0.3</v>
      </c>
    </row>
    <row r="164" spans="1:14" x14ac:dyDescent="0.3">
      <c r="A164" t="s">
        <v>497</v>
      </c>
      <c r="B164" t="s">
        <v>547</v>
      </c>
      <c r="C164" t="s">
        <v>271</v>
      </c>
      <c r="D164" s="1">
        <v>0.1</v>
      </c>
      <c r="E164" t="s">
        <v>476</v>
      </c>
      <c r="F164" s="1">
        <v>0.3</v>
      </c>
      <c r="G164" t="s">
        <v>56</v>
      </c>
      <c r="H164" s="1">
        <v>0.3</v>
      </c>
      <c r="I164" s="1">
        <f>SUMPRODUCT(H164:H167,F164:F167)*D164</f>
        <v>4.5500000000000006E-2</v>
      </c>
      <c r="J164" s="1">
        <v>0.34</v>
      </c>
      <c r="K164" s="1">
        <v>0.34</v>
      </c>
      <c r="L164" s="1">
        <v>0.31</v>
      </c>
      <c r="M164" s="1">
        <v>0.27</v>
      </c>
      <c r="N164" s="1">
        <v>0.23</v>
      </c>
    </row>
    <row r="165" spans="1:14" x14ac:dyDescent="0.3">
      <c r="A165" t="s">
        <v>497</v>
      </c>
      <c r="B165" t="s">
        <v>547</v>
      </c>
      <c r="C165" t="s">
        <v>271</v>
      </c>
      <c r="D165" s="1">
        <v>0.1</v>
      </c>
      <c r="E165" t="s">
        <v>545</v>
      </c>
      <c r="F165" s="1">
        <v>0.25</v>
      </c>
      <c r="G165" t="s">
        <v>20</v>
      </c>
      <c r="H165" s="1">
        <v>0.6</v>
      </c>
      <c r="I165" s="1"/>
      <c r="J165" s="1">
        <v>0.34</v>
      </c>
      <c r="K165" s="1">
        <v>0.34</v>
      </c>
      <c r="L165" s="1">
        <v>0.31</v>
      </c>
      <c r="M165" s="1">
        <v>0.27</v>
      </c>
      <c r="N165" s="1">
        <v>0.23</v>
      </c>
    </row>
    <row r="166" spans="1:14" x14ac:dyDescent="0.3">
      <c r="A166" t="s">
        <v>497</v>
      </c>
      <c r="B166" t="s">
        <v>547</v>
      </c>
      <c r="C166" t="s">
        <v>271</v>
      </c>
      <c r="D166" s="1">
        <v>0.1</v>
      </c>
      <c r="E166" t="s">
        <v>546</v>
      </c>
      <c r="F166" s="1">
        <v>0.25</v>
      </c>
      <c r="G166" t="s">
        <v>30</v>
      </c>
      <c r="H166" s="1">
        <v>0.1</v>
      </c>
      <c r="I166" s="1"/>
      <c r="J166" s="1">
        <v>0.34</v>
      </c>
      <c r="K166" s="1">
        <v>0.34</v>
      </c>
      <c r="L166" s="1">
        <v>0.31</v>
      </c>
      <c r="M166" s="1">
        <v>0.27</v>
      </c>
      <c r="N166" s="1">
        <v>0.23</v>
      </c>
    </row>
    <row r="167" spans="1:14" x14ac:dyDescent="0.3">
      <c r="A167" t="s">
        <v>497</v>
      </c>
      <c r="B167" t="s">
        <v>547</v>
      </c>
      <c r="C167" t="s">
        <v>271</v>
      </c>
      <c r="D167" s="1">
        <v>0.1</v>
      </c>
      <c r="E167" t="s">
        <v>59</v>
      </c>
      <c r="F167" s="1">
        <v>0.2</v>
      </c>
      <c r="G167" t="s">
        <v>24</v>
      </c>
      <c r="H167" s="1">
        <v>0.95</v>
      </c>
      <c r="I167" s="1"/>
      <c r="J167" s="1">
        <v>0.34</v>
      </c>
      <c r="K167" s="1">
        <v>0.34</v>
      </c>
      <c r="L167" s="1">
        <v>0.31</v>
      </c>
      <c r="M167" s="1">
        <v>0.27</v>
      </c>
      <c r="N167" s="1">
        <v>0.23</v>
      </c>
    </row>
    <row r="168" spans="1:14" x14ac:dyDescent="0.3">
      <c r="A168" t="s">
        <v>497</v>
      </c>
      <c r="B168" t="s">
        <v>547</v>
      </c>
      <c r="C168" t="s">
        <v>43</v>
      </c>
      <c r="D168" s="1">
        <v>0.1</v>
      </c>
      <c r="E168" t="s">
        <v>308</v>
      </c>
      <c r="F168" s="1">
        <v>0.25</v>
      </c>
      <c r="G168" t="s">
        <v>18</v>
      </c>
      <c r="H168" s="1">
        <v>0.9</v>
      </c>
      <c r="I168" s="1">
        <f>SUMPRODUCT(H168:H171,F168:F171)*D168</f>
        <v>5.9499999999999997E-2</v>
      </c>
      <c r="J168" s="1">
        <v>0.46</v>
      </c>
      <c r="K168" s="1">
        <v>0.46</v>
      </c>
      <c r="L168" s="1">
        <v>0.43</v>
      </c>
      <c r="M168" s="1">
        <v>0.38</v>
      </c>
      <c r="N168" s="1">
        <v>0.34</v>
      </c>
    </row>
    <row r="169" spans="1:14" x14ac:dyDescent="0.3">
      <c r="A169" t="s">
        <v>497</v>
      </c>
      <c r="B169" t="s">
        <v>547</v>
      </c>
      <c r="C169" t="s">
        <v>43</v>
      </c>
      <c r="D169" s="1">
        <v>0.1</v>
      </c>
      <c r="E169" t="s">
        <v>309</v>
      </c>
      <c r="F169" s="1">
        <v>0.25</v>
      </c>
      <c r="G169" t="s">
        <v>20</v>
      </c>
      <c r="H169" s="1">
        <v>0.6</v>
      </c>
      <c r="I169" s="1"/>
      <c r="J169" s="1">
        <v>0.46</v>
      </c>
      <c r="K169" s="1">
        <v>0.46</v>
      </c>
      <c r="L169" s="1">
        <v>0.43</v>
      </c>
      <c r="M169" s="1">
        <v>0.38</v>
      </c>
      <c r="N169" s="1">
        <v>0.34</v>
      </c>
    </row>
    <row r="170" spans="1:14" x14ac:dyDescent="0.3">
      <c r="A170" t="s">
        <v>497</v>
      </c>
      <c r="B170" t="s">
        <v>547</v>
      </c>
      <c r="C170" t="s">
        <v>43</v>
      </c>
      <c r="D170" s="1">
        <v>0.1</v>
      </c>
      <c r="E170" t="s">
        <v>46</v>
      </c>
      <c r="F170" s="1">
        <v>0.3</v>
      </c>
      <c r="G170" t="s">
        <v>30</v>
      </c>
      <c r="H170" s="1">
        <v>0.1</v>
      </c>
      <c r="I170" s="1"/>
      <c r="J170" s="1">
        <v>0.46</v>
      </c>
      <c r="K170" s="1">
        <v>0.46</v>
      </c>
      <c r="L170" s="1">
        <v>0.43</v>
      </c>
      <c r="M170" s="1">
        <v>0.38</v>
      </c>
      <c r="N170" s="1">
        <v>0.34</v>
      </c>
    </row>
    <row r="171" spans="1:14" x14ac:dyDescent="0.3">
      <c r="A171" t="s">
        <v>497</v>
      </c>
      <c r="B171" t="s">
        <v>547</v>
      </c>
      <c r="C171" t="s">
        <v>43</v>
      </c>
      <c r="D171" s="1">
        <v>0.1</v>
      </c>
      <c r="E171" t="s">
        <v>116</v>
      </c>
      <c r="F171" s="1">
        <v>0.2</v>
      </c>
      <c r="G171" t="s">
        <v>24</v>
      </c>
      <c r="H171" s="1">
        <v>0.95</v>
      </c>
      <c r="I171" s="1"/>
      <c r="J171" s="1">
        <v>0.46</v>
      </c>
      <c r="K171" s="1">
        <v>0.46</v>
      </c>
      <c r="L171" s="1">
        <v>0.43</v>
      </c>
      <c r="M171" s="1">
        <v>0.38</v>
      </c>
      <c r="N171" s="1">
        <v>0.34</v>
      </c>
    </row>
    <row r="172" spans="1:14" x14ac:dyDescent="0.3">
      <c r="D172" s="1"/>
      <c r="F172" s="1"/>
      <c r="H172" s="1"/>
      <c r="I172" s="2">
        <f>SUM(I144:I171)</f>
        <v>0.70287500000000003</v>
      </c>
      <c r="J172" s="2">
        <f>+J152*$D152+J156*$D156+J160*$D160+J164*$D164+J168*$D168+$D148*J148+$D144*J144</f>
        <v>0.55200000000000005</v>
      </c>
      <c r="K172" s="2">
        <f t="shared" ref="K172:N172" si="5">+K152*$D152+K156*$D156+K160*$D160+K164*$D164+K168*$D168+$D148*K148+$D144*K144</f>
        <v>0.55200000000000005</v>
      </c>
      <c r="L172" s="2">
        <f t="shared" si="5"/>
        <v>0.51900000000000002</v>
      </c>
      <c r="M172" s="2">
        <f t="shared" si="5"/>
        <v>0.46750000000000003</v>
      </c>
      <c r="N172" s="2">
        <f t="shared" si="5"/>
        <v>0.41650000000000004</v>
      </c>
    </row>
    <row r="173" spans="1:14" x14ac:dyDescent="0.3">
      <c r="D173" s="1"/>
      <c r="F173" s="1"/>
      <c r="H173" s="1"/>
      <c r="I173" s="1"/>
      <c r="J173" s="1"/>
      <c r="K173" s="1"/>
      <c r="L173" s="1"/>
      <c r="M173" s="1"/>
      <c r="N173" s="1"/>
    </row>
    <row r="174" spans="1:14" x14ac:dyDescent="0.3">
      <c r="A174" t="s">
        <v>497</v>
      </c>
      <c r="B174" t="s">
        <v>552</v>
      </c>
      <c r="C174" t="s">
        <v>553</v>
      </c>
      <c r="D174" s="1">
        <v>0.2</v>
      </c>
      <c r="E174" t="s">
        <v>554</v>
      </c>
      <c r="F174" s="1">
        <v>0.25</v>
      </c>
      <c r="G174" t="s">
        <v>28</v>
      </c>
      <c r="H174" s="1">
        <v>0.7</v>
      </c>
      <c r="I174" s="1">
        <f>SUMPRODUCT(H174:H177,F174:F177)*D174</f>
        <v>0.10400000000000001</v>
      </c>
      <c r="J174" s="1">
        <v>0.4</v>
      </c>
      <c r="K174" s="1">
        <v>0.4</v>
      </c>
      <c r="L174" s="1">
        <v>0.37</v>
      </c>
      <c r="M174" s="1">
        <v>0.33</v>
      </c>
      <c r="N174" s="1">
        <v>0.28999999999999998</v>
      </c>
    </row>
    <row r="175" spans="1:14" x14ac:dyDescent="0.3">
      <c r="A175" t="s">
        <v>497</v>
      </c>
      <c r="B175" t="s">
        <v>552</v>
      </c>
      <c r="C175" t="s">
        <v>553</v>
      </c>
      <c r="D175" s="1">
        <v>0.2</v>
      </c>
      <c r="E175" t="s">
        <v>555</v>
      </c>
      <c r="F175" s="1">
        <v>0.35</v>
      </c>
      <c r="G175" t="s">
        <v>30</v>
      </c>
      <c r="H175" s="1">
        <v>0.1</v>
      </c>
      <c r="I175" s="1"/>
      <c r="J175" s="1">
        <v>0.4</v>
      </c>
      <c r="K175" s="1">
        <v>0.4</v>
      </c>
      <c r="L175" s="1">
        <v>0.37</v>
      </c>
      <c r="M175" s="1">
        <v>0.33</v>
      </c>
      <c r="N175" s="1">
        <v>0.28999999999999998</v>
      </c>
    </row>
    <row r="176" spans="1:14" x14ac:dyDescent="0.3">
      <c r="A176" t="s">
        <v>497</v>
      </c>
      <c r="B176" t="s">
        <v>552</v>
      </c>
      <c r="C176" t="s">
        <v>553</v>
      </c>
      <c r="D176" s="1">
        <v>0.2</v>
      </c>
      <c r="E176" t="s">
        <v>144</v>
      </c>
      <c r="F176" s="1">
        <v>0.2</v>
      </c>
      <c r="G176" t="s">
        <v>20</v>
      </c>
      <c r="H176" s="1">
        <v>0.6</v>
      </c>
      <c r="I176" s="1"/>
      <c r="J176" s="1">
        <v>0.4</v>
      </c>
      <c r="K176" s="1">
        <v>0.4</v>
      </c>
      <c r="L176" s="1">
        <v>0.37</v>
      </c>
      <c r="M176" s="1">
        <v>0.33</v>
      </c>
      <c r="N176" s="1">
        <v>0.28999999999999998</v>
      </c>
    </row>
    <row r="177" spans="1:14" x14ac:dyDescent="0.3">
      <c r="A177" t="s">
        <v>497</v>
      </c>
      <c r="B177" t="s">
        <v>552</v>
      </c>
      <c r="C177" t="s">
        <v>553</v>
      </c>
      <c r="D177" s="1">
        <v>0.2</v>
      </c>
      <c r="E177" t="s">
        <v>556</v>
      </c>
      <c r="F177" s="1">
        <v>0.2</v>
      </c>
      <c r="G177" t="s">
        <v>24</v>
      </c>
      <c r="H177" s="1">
        <v>0.95</v>
      </c>
      <c r="I177" s="1"/>
      <c r="J177" s="1">
        <v>0.4</v>
      </c>
      <c r="K177" s="1">
        <v>0.4</v>
      </c>
      <c r="L177" s="1">
        <v>0.37</v>
      </c>
      <c r="M177" s="1">
        <v>0.33</v>
      </c>
      <c r="N177" s="1">
        <v>0.28999999999999998</v>
      </c>
    </row>
    <row r="178" spans="1:14" x14ac:dyDescent="0.3">
      <c r="A178" t="s">
        <v>497</v>
      </c>
      <c r="B178" t="s">
        <v>552</v>
      </c>
      <c r="C178" t="s">
        <v>16</v>
      </c>
      <c r="D178" s="1">
        <v>0.2</v>
      </c>
      <c r="E178" t="s">
        <v>17</v>
      </c>
      <c r="F178" s="1">
        <v>0.3</v>
      </c>
      <c r="G178" t="s">
        <v>18</v>
      </c>
      <c r="H178" s="1">
        <v>0.9</v>
      </c>
      <c r="I178" s="1">
        <f>SUMPRODUCT(H178:H181,F178:F181)*D178</f>
        <v>0.16550000000000004</v>
      </c>
      <c r="J178" s="1">
        <v>0.65</v>
      </c>
      <c r="K178" s="1">
        <v>0.65</v>
      </c>
      <c r="L178" s="1">
        <v>0.62</v>
      </c>
      <c r="M178" s="1">
        <v>0.56999999999999995</v>
      </c>
      <c r="N178" s="1">
        <v>0.52</v>
      </c>
    </row>
    <row r="179" spans="1:14" x14ac:dyDescent="0.3">
      <c r="A179" t="s">
        <v>497</v>
      </c>
      <c r="B179" t="s">
        <v>552</v>
      </c>
      <c r="C179" t="s">
        <v>16</v>
      </c>
      <c r="D179" s="1">
        <v>0.2</v>
      </c>
      <c r="E179" t="s">
        <v>19</v>
      </c>
      <c r="F179" s="1">
        <v>0.25</v>
      </c>
      <c r="G179" t="s">
        <v>20</v>
      </c>
      <c r="H179" s="1">
        <v>0.6</v>
      </c>
      <c r="I179" s="1"/>
      <c r="J179" s="1">
        <v>0.65</v>
      </c>
      <c r="K179" s="1">
        <v>0.65</v>
      </c>
      <c r="L179" s="1">
        <v>0.62</v>
      </c>
      <c r="M179" s="1">
        <v>0.56999999999999995</v>
      </c>
      <c r="N179" s="1">
        <v>0.52</v>
      </c>
    </row>
    <row r="180" spans="1:14" x14ac:dyDescent="0.3">
      <c r="A180" t="s">
        <v>497</v>
      </c>
      <c r="B180" t="s">
        <v>552</v>
      </c>
      <c r="C180" t="s">
        <v>16</v>
      </c>
      <c r="D180" s="1">
        <v>0.2</v>
      </c>
      <c r="E180" t="s">
        <v>21</v>
      </c>
      <c r="F180" s="1">
        <v>0.2</v>
      </c>
      <c r="G180" t="s">
        <v>22</v>
      </c>
      <c r="H180" s="1">
        <v>0.85</v>
      </c>
      <c r="I180" s="1"/>
      <c r="J180" s="1">
        <v>0.65</v>
      </c>
      <c r="K180" s="1">
        <v>0.65</v>
      </c>
      <c r="L180" s="1">
        <v>0.62</v>
      </c>
      <c r="M180" s="1">
        <v>0.56999999999999995</v>
      </c>
      <c r="N180" s="1">
        <v>0.52</v>
      </c>
    </row>
    <row r="181" spans="1:14" x14ac:dyDescent="0.3">
      <c r="A181" t="s">
        <v>497</v>
      </c>
      <c r="B181" t="s">
        <v>552</v>
      </c>
      <c r="C181" t="s">
        <v>16</v>
      </c>
      <c r="D181" s="1">
        <v>0.2</v>
      </c>
      <c r="E181" t="s">
        <v>23</v>
      </c>
      <c r="F181" s="1">
        <v>0.25</v>
      </c>
      <c r="G181" t="s">
        <v>24</v>
      </c>
      <c r="H181" s="1">
        <v>0.95</v>
      </c>
      <c r="I181" s="1"/>
      <c r="J181" s="1">
        <v>0.65</v>
      </c>
      <c r="K181" s="1">
        <v>0.65</v>
      </c>
      <c r="L181" s="1">
        <v>0.62</v>
      </c>
      <c r="M181" s="1">
        <v>0.56999999999999995</v>
      </c>
      <c r="N181" s="1">
        <v>0.52</v>
      </c>
    </row>
    <row r="182" spans="1:14" x14ac:dyDescent="0.3">
      <c r="A182" t="s">
        <v>497</v>
      </c>
      <c r="B182" t="s">
        <v>552</v>
      </c>
      <c r="C182" t="s">
        <v>25</v>
      </c>
      <c r="D182" s="1">
        <v>0.2</v>
      </c>
      <c r="E182" t="s">
        <v>26</v>
      </c>
      <c r="F182" s="1">
        <v>0.25</v>
      </c>
      <c r="G182" t="s">
        <v>18</v>
      </c>
      <c r="H182" s="1">
        <v>0.9</v>
      </c>
      <c r="I182" s="1">
        <f>SUMPRODUCT(H182:H185,F182:F185)*D182</f>
        <v>0.12400000000000003</v>
      </c>
      <c r="J182" s="1">
        <v>0.44</v>
      </c>
      <c r="K182" s="1">
        <v>0.44</v>
      </c>
      <c r="L182" s="1">
        <v>0.41</v>
      </c>
      <c r="M182" s="1">
        <v>0.36</v>
      </c>
      <c r="N182" s="1">
        <v>0.32</v>
      </c>
    </row>
    <row r="183" spans="1:14" x14ac:dyDescent="0.3">
      <c r="A183" t="s">
        <v>497</v>
      </c>
      <c r="B183" t="s">
        <v>552</v>
      </c>
      <c r="C183" t="s">
        <v>25</v>
      </c>
      <c r="D183" s="1">
        <v>0.2</v>
      </c>
      <c r="E183" t="s">
        <v>557</v>
      </c>
      <c r="F183" s="1">
        <v>0.25</v>
      </c>
      <c r="G183" t="s">
        <v>28</v>
      </c>
      <c r="H183" s="1">
        <v>0.7</v>
      </c>
      <c r="I183" s="1"/>
      <c r="J183" s="1">
        <v>0.44</v>
      </c>
      <c r="K183" s="1">
        <v>0.44</v>
      </c>
      <c r="L183" s="1">
        <v>0.41</v>
      </c>
      <c r="M183" s="1">
        <v>0.36</v>
      </c>
      <c r="N183" s="1">
        <v>0.32</v>
      </c>
    </row>
    <row r="184" spans="1:14" x14ac:dyDescent="0.3">
      <c r="A184" t="s">
        <v>497</v>
      </c>
      <c r="B184" t="s">
        <v>552</v>
      </c>
      <c r="C184" t="s">
        <v>25</v>
      </c>
      <c r="D184" s="1">
        <v>0.2</v>
      </c>
      <c r="E184" t="s">
        <v>255</v>
      </c>
      <c r="F184" s="1">
        <v>0.3</v>
      </c>
      <c r="G184" t="s">
        <v>30</v>
      </c>
      <c r="H184" s="1">
        <v>0.1</v>
      </c>
      <c r="I184" s="1"/>
      <c r="J184" s="1">
        <v>0.44</v>
      </c>
      <c r="K184" s="1">
        <v>0.44</v>
      </c>
      <c r="L184" s="1">
        <v>0.41</v>
      </c>
      <c r="M184" s="1">
        <v>0.36</v>
      </c>
      <c r="N184" s="1">
        <v>0.32</v>
      </c>
    </row>
    <row r="185" spans="1:14" x14ac:dyDescent="0.3">
      <c r="A185" t="s">
        <v>497</v>
      </c>
      <c r="B185" t="s">
        <v>552</v>
      </c>
      <c r="C185" t="s">
        <v>25</v>
      </c>
      <c r="D185" s="1">
        <v>0.2</v>
      </c>
      <c r="E185" t="s">
        <v>31</v>
      </c>
      <c r="F185" s="1">
        <v>0.2</v>
      </c>
      <c r="G185" t="s">
        <v>24</v>
      </c>
      <c r="H185" s="1">
        <v>0.95</v>
      </c>
      <c r="I185" s="1"/>
      <c r="J185" s="1">
        <v>0.44</v>
      </c>
      <c r="K185" s="1">
        <v>0.44</v>
      </c>
      <c r="L185" s="1">
        <v>0.41</v>
      </c>
      <c r="M185" s="1">
        <v>0.36</v>
      </c>
      <c r="N185" s="1">
        <v>0.32</v>
      </c>
    </row>
    <row r="186" spans="1:14" x14ac:dyDescent="0.3">
      <c r="A186" t="s">
        <v>497</v>
      </c>
      <c r="B186" t="s">
        <v>552</v>
      </c>
      <c r="C186" t="s">
        <v>37</v>
      </c>
      <c r="D186" s="1">
        <v>0.15</v>
      </c>
      <c r="E186" t="s">
        <v>38</v>
      </c>
      <c r="F186" s="1">
        <v>0.3</v>
      </c>
      <c r="G186" t="s">
        <v>18</v>
      </c>
      <c r="H186" s="1">
        <v>0.9</v>
      </c>
      <c r="I186" s="1">
        <f>SUMPRODUCT(H186:H189,F186:F189)*D186</f>
        <v>0.1215</v>
      </c>
      <c r="J186" s="1">
        <v>0.64</v>
      </c>
      <c r="K186" s="1">
        <v>0.64</v>
      </c>
      <c r="L186" s="1">
        <v>0.61</v>
      </c>
      <c r="M186" s="1">
        <v>0.56000000000000005</v>
      </c>
      <c r="N186" s="1">
        <v>0.52</v>
      </c>
    </row>
    <row r="187" spans="1:14" x14ac:dyDescent="0.3">
      <c r="A187" t="s">
        <v>497</v>
      </c>
      <c r="B187" t="s">
        <v>552</v>
      </c>
      <c r="C187" t="s">
        <v>37</v>
      </c>
      <c r="D187" s="1">
        <v>0.15</v>
      </c>
      <c r="E187" t="s">
        <v>304</v>
      </c>
      <c r="F187" s="1">
        <v>0.25</v>
      </c>
      <c r="G187" t="s">
        <v>40</v>
      </c>
      <c r="H187" s="1">
        <v>0.7</v>
      </c>
      <c r="I187" s="1"/>
      <c r="J187" s="1">
        <v>0.64</v>
      </c>
      <c r="K187" s="1">
        <v>0.64</v>
      </c>
      <c r="L187" s="1">
        <v>0.61</v>
      </c>
      <c r="M187" s="1">
        <v>0.56000000000000005</v>
      </c>
      <c r="N187" s="1">
        <v>0.52</v>
      </c>
    </row>
    <row r="188" spans="1:14" x14ac:dyDescent="0.3">
      <c r="A188" t="s">
        <v>497</v>
      </c>
      <c r="B188" t="s">
        <v>552</v>
      </c>
      <c r="C188" t="s">
        <v>37</v>
      </c>
      <c r="D188" s="1">
        <v>0.15</v>
      </c>
      <c r="E188" t="s">
        <v>41</v>
      </c>
      <c r="F188" s="1">
        <v>0.25</v>
      </c>
      <c r="G188" t="s">
        <v>28</v>
      </c>
      <c r="H188" s="1">
        <v>0.7</v>
      </c>
      <c r="I188" s="1"/>
      <c r="J188" s="1">
        <v>0.64</v>
      </c>
      <c r="K188" s="1">
        <v>0.64</v>
      </c>
      <c r="L188" s="1">
        <v>0.61</v>
      </c>
      <c r="M188" s="1">
        <v>0.56000000000000005</v>
      </c>
      <c r="N188" s="1">
        <v>0.52</v>
      </c>
    </row>
    <row r="189" spans="1:14" x14ac:dyDescent="0.3">
      <c r="A189" t="s">
        <v>497</v>
      </c>
      <c r="B189" t="s">
        <v>552</v>
      </c>
      <c r="C189" t="s">
        <v>37</v>
      </c>
      <c r="D189" s="1">
        <v>0.15</v>
      </c>
      <c r="E189" t="s">
        <v>42</v>
      </c>
      <c r="F189" s="1">
        <v>0.2</v>
      </c>
      <c r="G189" t="s">
        <v>24</v>
      </c>
      <c r="H189" s="1">
        <v>0.95</v>
      </c>
      <c r="I189" s="1"/>
      <c r="J189" s="1">
        <v>0.64</v>
      </c>
      <c r="K189" s="1">
        <v>0.64</v>
      </c>
      <c r="L189" s="1">
        <v>0.61</v>
      </c>
      <c r="M189" s="1">
        <v>0.56000000000000005</v>
      </c>
      <c r="N189" s="1">
        <v>0.52</v>
      </c>
    </row>
    <row r="190" spans="1:14" x14ac:dyDescent="0.3">
      <c r="A190" t="s">
        <v>497</v>
      </c>
      <c r="B190" t="s">
        <v>552</v>
      </c>
      <c r="C190" t="s">
        <v>93</v>
      </c>
      <c r="D190" s="1">
        <v>0.15</v>
      </c>
      <c r="E190" t="s">
        <v>558</v>
      </c>
      <c r="F190" s="1">
        <v>0.25</v>
      </c>
      <c r="G190" t="s">
        <v>40</v>
      </c>
      <c r="H190" s="1">
        <v>0.7</v>
      </c>
      <c r="I190" s="1">
        <f>SUMPRODUCT(H190:H193,F190:F193)*D190</f>
        <v>8.8124999999999981E-2</v>
      </c>
      <c r="J190" s="1">
        <v>0.42</v>
      </c>
      <c r="K190" s="1">
        <v>0.42</v>
      </c>
      <c r="L190" s="1">
        <v>0.39</v>
      </c>
      <c r="M190" s="1">
        <v>0.34</v>
      </c>
      <c r="N190" s="1">
        <v>0.3</v>
      </c>
    </row>
    <row r="191" spans="1:14" x14ac:dyDescent="0.3">
      <c r="A191" t="s">
        <v>497</v>
      </c>
      <c r="B191" t="s">
        <v>552</v>
      </c>
      <c r="C191" t="s">
        <v>93</v>
      </c>
      <c r="D191" s="1">
        <v>0.15</v>
      </c>
      <c r="E191" t="s">
        <v>249</v>
      </c>
      <c r="F191" s="1">
        <v>0.25</v>
      </c>
      <c r="G191" t="s">
        <v>20</v>
      </c>
      <c r="H191" s="1">
        <v>0.6</v>
      </c>
      <c r="I191" s="1"/>
      <c r="J191" s="1">
        <v>0.42</v>
      </c>
      <c r="K191" s="1">
        <v>0.42</v>
      </c>
      <c r="L191" s="1">
        <v>0.39</v>
      </c>
      <c r="M191" s="1">
        <v>0.34</v>
      </c>
      <c r="N191" s="1">
        <v>0.3</v>
      </c>
    </row>
    <row r="192" spans="1:14" x14ac:dyDescent="0.3">
      <c r="A192" t="s">
        <v>497</v>
      </c>
      <c r="B192" t="s">
        <v>552</v>
      </c>
      <c r="C192" t="s">
        <v>93</v>
      </c>
      <c r="D192" s="1">
        <v>0.15</v>
      </c>
      <c r="E192" t="s">
        <v>210</v>
      </c>
      <c r="F192" s="1">
        <v>0.25</v>
      </c>
      <c r="G192" t="s">
        <v>30</v>
      </c>
      <c r="H192" s="1">
        <v>0.1</v>
      </c>
      <c r="I192" s="1"/>
      <c r="J192" s="1">
        <v>0.42</v>
      </c>
      <c r="K192" s="1">
        <v>0.42</v>
      </c>
      <c r="L192" s="1">
        <v>0.39</v>
      </c>
      <c r="M192" s="1">
        <v>0.34</v>
      </c>
      <c r="N192" s="1">
        <v>0.3</v>
      </c>
    </row>
    <row r="193" spans="1:14" x14ac:dyDescent="0.3">
      <c r="A193" t="s">
        <v>497</v>
      </c>
      <c r="B193" t="s">
        <v>552</v>
      </c>
      <c r="C193" t="s">
        <v>93</v>
      </c>
      <c r="D193" s="1">
        <v>0.15</v>
      </c>
      <c r="E193" t="s">
        <v>53</v>
      </c>
      <c r="F193" s="1">
        <v>0.25</v>
      </c>
      <c r="G193" t="s">
        <v>24</v>
      </c>
      <c r="H193" s="1">
        <v>0.95</v>
      </c>
      <c r="I193" s="1"/>
      <c r="J193" s="1">
        <v>0.42</v>
      </c>
      <c r="K193" s="1">
        <v>0.42</v>
      </c>
      <c r="L193" s="1">
        <v>0.39</v>
      </c>
      <c r="M193" s="1">
        <v>0.34</v>
      </c>
      <c r="N193" s="1">
        <v>0.3</v>
      </c>
    </row>
    <row r="194" spans="1:14" x14ac:dyDescent="0.3">
      <c r="A194" t="s">
        <v>497</v>
      </c>
      <c r="B194" t="s">
        <v>552</v>
      </c>
      <c r="C194" t="s">
        <v>43</v>
      </c>
      <c r="D194" s="1">
        <v>0.1</v>
      </c>
      <c r="E194" t="s">
        <v>308</v>
      </c>
      <c r="F194" s="1">
        <v>0.25</v>
      </c>
      <c r="G194" t="s">
        <v>18</v>
      </c>
      <c r="H194" s="1">
        <v>0.9</v>
      </c>
      <c r="I194" s="1">
        <f>SUMPRODUCT(H194:H197,F194:F197)*D194</f>
        <v>5.9499999999999997E-2</v>
      </c>
      <c r="J194" s="1">
        <v>0.44</v>
      </c>
      <c r="K194" s="1">
        <v>0.44</v>
      </c>
      <c r="L194" s="1">
        <v>0.41</v>
      </c>
      <c r="M194" s="1">
        <v>0.36</v>
      </c>
      <c r="N194" s="1">
        <v>0.32</v>
      </c>
    </row>
    <row r="195" spans="1:14" x14ac:dyDescent="0.3">
      <c r="A195" t="s">
        <v>497</v>
      </c>
      <c r="B195" t="s">
        <v>552</v>
      </c>
      <c r="C195" t="s">
        <v>43</v>
      </c>
      <c r="D195" s="1">
        <v>0.1</v>
      </c>
      <c r="E195" t="s">
        <v>403</v>
      </c>
      <c r="F195" s="1">
        <v>0.25</v>
      </c>
      <c r="G195" t="s">
        <v>20</v>
      </c>
      <c r="H195" s="1">
        <v>0.6</v>
      </c>
      <c r="I195" s="1"/>
      <c r="J195" s="1">
        <v>0.44</v>
      </c>
      <c r="K195" s="1">
        <v>0.44</v>
      </c>
      <c r="L195" s="1">
        <v>0.41</v>
      </c>
      <c r="M195" s="1">
        <v>0.36</v>
      </c>
      <c r="N195" s="1">
        <v>0.32</v>
      </c>
    </row>
    <row r="196" spans="1:14" x14ac:dyDescent="0.3">
      <c r="A196" t="s">
        <v>497</v>
      </c>
      <c r="B196" t="s">
        <v>552</v>
      </c>
      <c r="C196" t="s">
        <v>43</v>
      </c>
      <c r="D196" s="1">
        <v>0.1</v>
      </c>
      <c r="E196" t="s">
        <v>559</v>
      </c>
      <c r="F196" s="1">
        <v>0.3</v>
      </c>
      <c r="G196" t="s">
        <v>30</v>
      </c>
      <c r="H196" s="1">
        <v>0.1</v>
      </c>
      <c r="I196" s="1"/>
      <c r="J196" s="1">
        <v>0.44</v>
      </c>
      <c r="K196" s="1">
        <v>0.44</v>
      </c>
      <c r="L196" s="1">
        <v>0.41</v>
      </c>
      <c r="M196" s="1">
        <v>0.36</v>
      </c>
      <c r="N196" s="1">
        <v>0.32</v>
      </c>
    </row>
    <row r="197" spans="1:14" x14ac:dyDescent="0.3">
      <c r="A197" t="s">
        <v>497</v>
      </c>
      <c r="B197" t="s">
        <v>552</v>
      </c>
      <c r="C197" t="s">
        <v>43</v>
      </c>
      <c r="D197" s="1">
        <v>0.1</v>
      </c>
      <c r="E197" t="s">
        <v>116</v>
      </c>
      <c r="F197" s="1">
        <v>0.2</v>
      </c>
      <c r="G197" t="s">
        <v>24</v>
      </c>
      <c r="H197" s="1">
        <v>0.95</v>
      </c>
      <c r="I197" s="1"/>
      <c r="J197" s="1">
        <v>0.44</v>
      </c>
      <c r="K197" s="1">
        <v>0.44</v>
      </c>
      <c r="L197" s="1">
        <v>0.41</v>
      </c>
      <c r="M197" s="1">
        <v>0.36</v>
      </c>
      <c r="N197" s="1">
        <v>0.32</v>
      </c>
    </row>
    <row r="198" spans="1:14" x14ac:dyDescent="0.3">
      <c r="A198" t="s">
        <v>497</v>
      </c>
      <c r="B198" t="s">
        <v>552</v>
      </c>
      <c r="C198" t="s">
        <v>271</v>
      </c>
      <c r="D198" s="1">
        <v>0.15</v>
      </c>
      <c r="E198" t="s">
        <v>484</v>
      </c>
      <c r="F198" s="1">
        <v>0.3</v>
      </c>
      <c r="G198" t="s">
        <v>56</v>
      </c>
      <c r="H198" s="1">
        <v>0.3</v>
      </c>
      <c r="I198" s="1">
        <f>SUMPRODUCT(H198:H201,F198:F201)*D198</f>
        <v>6.8250000000000005E-2</v>
      </c>
      <c r="J198" s="1">
        <v>0.33</v>
      </c>
      <c r="K198" s="1">
        <v>0.33</v>
      </c>
      <c r="L198" s="1">
        <v>0.3</v>
      </c>
      <c r="M198" s="1">
        <v>0.26</v>
      </c>
      <c r="N198" s="1">
        <v>0.22</v>
      </c>
    </row>
    <row r="199" spans="1:14" x14ac:dyDescent="0.3">
      <c r="A199" t="s">
        <v>497</v>
      </c>
      <c r="B199" t="s">
        <v>552</v>
      </c>
      <c r="C199" t="s">
        <v>271</v>
      </c>
      <c r="D199" s="1">
        <v>0.15</v>
      </c>
      <c r="E199" t="s">
        <v>545</v>
      </c>
      <c r="F199" s="1">
        <v>0.25</v>
      </c>
      <c r="G199" t="s">
        <v>20</v>
      </c>
      <c r="H199" s="1">
        <v>0.6</v>
      </c>
      <c r="I199" s="1"/>
      <c r="J199" s="1">
        <v>0.33</v>
      </c>
      <c r="K199" s="1">
        <v>0.33</v>
      </c>
      <c r="L199" s="1">
        <v>0.3</v>
      </c>
      <c r="M199" s="1">
        <v>0.26</v>
      </c>
      <c r="N199" s="1">
        <v>0.22</v>
      </c>
    </row>
    <row r="200" spans="1:14" x14ac:dyDescent="0.3">
      <c r="A200" t="s">
        <v>497</v>
      </c>
      <c r="B200" t="s">
        <v>552</v>
      </c>
      <c r="C200" t="s">
        <v>271</v>
      </c>
      <c r="D200" s="1">
        <v>0.15</v>
      </c>
      <c r="E200" t="s">
        <v>535</v>
      </c>
      <c r="F200" s="1">
        <v>0.25</v>
      </c>
      <c r="G200" t="s">
        <v>30</v>
      </c>
      <c r="H200" s="1">
        <v>0.1</v>
      </c>
      <c r="I200" s="1"/>
      <c r="J200" s="1">
        <v>0.33</v>
      </c>
      <c r="K200" s="1">
        <v>0.33</v>
      </c>
      <c r="L200" s="1">
        <v>0.3</v>
      </c>
      <c r="M200" s="1">
        <v>0.26</v>
      </c>
      <c r="N200" s="1">
        <v>0.22</v>
      </c>
    </row>
    <row r="201" spans="1:14" x14ac:dyDescent="0.3">
      <c r="A201" t="s">
        <v>497</v>
      </c>
      <c r="B201" t="s">
        <v>552</v>
      </c>
      <c r="C201" t="s">
        <v>271</v>
      </c>
      <c r="D201" s="1">
        <v>0.15</v>
      </c>
      <c r="E201" t="s">
        <v>59</v>
      </c>
      <c r="F201" s="1">
        <v>0.2</v>
      </c>
      <c r="G201" t="s">
        <v>24</v>
      </c>
      <c r="H201" s="1">
        <v>0.95</v>
      </c>
      <c r="I201" s="1"/>
      <c r="J201" s="1">
        <v>0.33</v>
      </c>
      <c r="K201" s="1">
        <v>0.33</v>
      </c>
      <c r="L201" s="1">
        <v>0.3</v>
      </c>
      <c r="M201" s="1">
        <v>0.26</v>
      </c>
      <c r="N201" s="1">
        <v>0.22</v>
      </c>
    </row>
    <row r="202" spans="1:14" x14ac:dyDescent="0.3">
      <c r="I202" s="2">
        <f>SUM(I174:I201)</f>
        <v>0.73087500000000016</v>
      </c>
      <c r="J202" s="2">
        <f>+J182*$D182+J186*$D186+J190*$D190+J194*$D194+J198*$D198+$D178*J178+$D174*J174</f>
        <v>0.55049999999999999</v>
      </c>
      <c r="K202" s="2">
        <f t="shared" ref="K202:N202" si="6">+K182*$D182+K186*$D186+K190*$D190+K194*$D194+K198*$D198+$D178*K178+$D174*K174</f>
        <v>0.55049999999999999</v>
      </c>
      <c r="L202" s="2">
        <f t="shared" si="6"/>
        <v>0.5159999999999999</v>
      </c>
      <c r="M202" s="2">
        <f t="shared" si="6"/>
        <v>0.46200000000000002</v>
      </c>
      <c r="N202" s="2">
        <f t="shared" si="6"/>
        <v>0.41399999999999998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6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560</v>
      </c>
      <c r="B2" t="s">
        <v>561</v>
      </c>
      <c r="C2" t="s">
        <v>105</v>
      </c>
      <c r="D2" s="1">
        <v>0.25</v>
      </c>
      <c r="E2" t="s">
        <v>244</v>
      </c>
      <c r="F2" s="1">
        <v>0.25</v>
      </c>
      <c r="G2" t="s">
        <v>28</v>
      </c>
      <c r="H2" s="1">
        <v>0.7</v>
      </c>
      <c r="I2" s="1">
        <f>SUMPRODUCT(H2:H5,F2:F5)*D2</f>
        <v>0.13</v>
      </c>
      <c r="J2" s="1">
        <v>0.4</v>
      </c>
      <c r="K2" s="1">
        <v>0.4</v>
      </c>
      <c r="L2" s="1">
        <v>0.37</v>
      </c>
      <c r="M2" s="1">
        <v>0.33</v>
      </c>
      <c r="N2" s="1">
        <v>0.27</v>
      </c>
    </row>
    <row r="3" spans="1:14" x14ac:dyDescent="0.3">
      <c r="A3" t="s">
        <v>560</v>
      </c>
      <c r="B3" t="s">
        <v>561</v>
      </c>
      <c r="C3" t="s">
        <v>105</v>
      </c>
      <c r="D3" s="1">
        <v>0.25</v>
      </c>
      <c r="E3" t="s">
        <v>562</v>
      </c>
      <c r="F3" s="1">
        <v>0.35</v>
      </c>
      <c r="G3" t="s">
        <v>30</v>
      </c>
      <c r="H3" s="1">
        <v>0.1</v>
      </c>
      <c r="I3" s="1"/>
      <c r="J3" s="1">
        <v>0.4</v>
      </c>
      <c r="K3" s="1">
        <v>0.4</v>
      </c>
      <c r="L3" s="1">
        <v>0.37</v>
      </c>
      <c r="M3" s="1">
        <v>0.33</v>
      </c>
      <c r="N3" s="1">
        <v>0.27</v>
      </c>
    </row>
    <row r="4" spans="1:14" x14ac:dyDescent="0.3">
      <c r="A4" t="s">
        <v>560</v>
      </c>
      <c r="B4" t="s">
        <v>561</v>
      </c>
      <c r="C4" t="s">
        <v>105</v>
      </c>
      <c r="D4" s="1">
        <v>0.25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</v>
      </c>
      <c r="K4" s="1">
        <v>0.4</v>
      </c>
      <c r="L4" s="1">
        <v>0.37</v>
      </c>
      <c r="M4" s="1">
        <v>0.33</v>
      </c>
      <c r="N4" s="1">
        <v>0.27</v>
      </c>
    </row>
    <row r="5" spans="1:14" x14ac:dyDescent="0.3">
      <c r="A5" t="s">
        <v>560</v>
      </c>
      <c r="B5" t="s">
        <v>561</v>
      </c>
      <c r="C5" t="s">
        <v>105</v>
      </c>
      <c r="D5" s="1">
        <v>0.25</v>
      </c>
      <c r="E5" t="s">
        <v>108</v>
      </c>
      <c r="F5" s="1">
        <v>0.2</v>
      </c>
      <c r="G5" t="s">
        <v>24</v>
      </c>
      <c r="H5" s="1">
        <v>0.95</v>
      </c>
      <c r="I5" s="1"/>
      <c r="J5" s="1">
        <v>0.4</v>
      </c>
      <c r="K5" s="1">
        <v>0.4</v>
      </c>
      <c r="L5" s="1">
        <v>0.37</v>
      </c>
      <c r="M5" s="1">
        <v>0.33</v>
      </c>
      <c r="N5" s="1">
        <v>0.27</v>
      </c>
    </row>
    <row r="6" spans="1:14" x14ac:dyDescent="0.3">
      <c r="A6" t="s">
        <v>560</v>
      </c>
      <c r="B6" t="s">
        <v>561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0.16550000000000004</v>
      </c>
      <c r="J6" s="1">
        <v>0.65</v>
      </c>
      <c r="K6" s="1">
        <v>0.65</v>
      </c>
      <c r="L6" s="1">
        <v>0.62</v>
      </c>
      <c r="M6" s="1">
        <v>0.56999999999999995</v>
      </c>
      <c r="N6" s="1">
        <v>0.51</v>
      </c>
    </row>
    <row r="7" spans="1:14" x14ac:dyDescent="0.3">
      <c r="A7" t="s">
        <v>560</v>
      </c>
      <c r="B7" t="s">
        <v>561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0.65</v>
      </c>
      <c r="K7" s="1">
        <v>0.65</v>
      </c>
      <c r="L7" s="1">
        <v>0.62</v>
      </c>
      <c r="M7" s="1">
        <v>0.56999999999999995</v>
      </c>
      <c r="N7" s="1">
        <v>0.51</v>
      </c>
    </row>
    <row r="8" spans="1:14" x14ac:dyDescent="0.3">
      <c r="A8" t="s">
        <v>560</v>
      </c>
      <c r="B8" t="s">
        <v>561</v>
      </c>
      <c r="C8" t="s">
        <v>16</v>
      </c>
      <c r="D8" s="1">
        <v>0.2</v>
      </c>
      <c r="E8" t="s">
        <v>21</v>
      </c>
      <c r="F8" s="1">
        <v>0.2</v>
      </c>
      <c r="G8" t="s">
        <v>22</v>
      </c>
      <c r="H8" s="1">
        <v>0.85</v>
      </c>
      <c r="I8" s="1"/>
      <c r="J8" s="1">
        <v>0.65</v>
      </c>
      <c r="K8" s="1">
        <v>0.65</v>
      </c>
      <c r="L8" s="1">
        <v>0.62</v>
      </c>
      <c r="M8" s="1">
        <v>0.56999999999999995</v>
      </c>
      <c r="N8" s="1">
        <v>0.51</v>
      </c>
    </row>
    <row r="9" spans="1:14" x14ac:dyDescent="0.3">
      <c r="A9" t="s">
        <v>560</v>
      </c>
      <c r="B9" t="s">
        <v>561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0.65</v>
      </c>
      <c r="K9" s="1">
        <v>0.65</v>
      </c>
      <c r="L9" s="1">
        <v>0.62</v>
      </c>
      <c r="M9" s="1">
        <v>0.56999999999999995</v>
      </c>
      <c r="N9" s="1">
        <v>0.51</v>
      </c>
    </row>
    <row r="10" spans="1:14" x14ac:dyDescent="0.3">
      <c r="A10" t="s">
        <v>560</v>
      </c>
      <c r="B10" t="s">
        <v>561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0.44</v>
      </c>
      <c r="K10" s="1">
        <v>0.44</v>
      </c>
      <c r="L10" s="1">
        <v>0.41</v>
      </c>
      <c r="M10" s="1">
        <v>0.36</v>
      </c>
      <c r="N10" s="1">
        <v>0.31</v>
      </c>
    </row>
    <row r="11" spans="1:14" x14ac:dyDescent="0.3">
      <c r="A11" t="s">
        <v>560</v>
      </c>
      <c r="B11" t="s">
        <v>561</v>
      </c>
      <c r="C11" t="s">
        <v>25</v>
      </c>
      <c r="D11" s="1">
        <v>0.15</v>
      </c>
      <c r="E11" t="s">
        <v>27</v>
      </c>
      <c r="F11" s="1">
        <v>0.25</v>
      </c>
      <c r="G11" t="s">
        <v>28</v>
      </c>
      <c r="H11" s="1">
        <v>0.7</v>
      </c>
      <c r="I11" s="1"/>
      <c r="J11" s="1">
        <v>0.44</v>
      </c>
      <c r="K11" s="1">
        <v>0.44</v>
      </c>
      <c r="L11" s="1">
        <v>0.41</v>
      </c>
      <c r="M11" s="1">
        <v>0.36</v>
      </c>
      <c r="N11" s="1">
        <v>0.31</v>
      </c>
    </row>
    <row r="12" spans="1:14" x14ac:dyDescent="0.3">
      <c r="A12" t="s">
        <v>560</v>
      </c>
      <c r="B12" t="s">
        <v>561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0.44</v>
      </c>
      <c r="K12" s="1">
        <v>0.44</v>
      </c>
      <c r="L12" s="1">
        <v>0.41</v>
      </c>
      <c r="M12" s="1">
        <v>0.36</v>
      </c>
      <c r="N12" s="1">
        <v>0.31</v>
      </c>
    </row>
    <row r="13" spans="1:14" x14ac:dyDescent="0.3">
      <c r="A13" t="s">
        <v>560</v>
      </c>
      <c r="B13" t="s">
        <v>561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0.44</v>
      </c>
      <c r="K13" s="1">
        <v>0.44</v>
      </c>
      <c r="L13" s="1">
        <v>0.41</v>
      </c>
      <c r="M13" s="1">
        <v>0.36</v>
      </c>
      <c r="N13" s="1">
        <v>0.31</v>
      </c>
    </row>
    <row r="14" spans="1:14" x14ac:dyDescent="0.3">
      <c r="A14" t="s">
        <v>560</v>
      </c>
      <c r="B14" t="s">
        <v>561</v>
      </c>
      <c r="C14" t="s">
        <v>37</v>
      </c>
      <c r="D14" s="1">
        <v>0.15</v>
      </c>
      <c r="E14" t="s">
        <v>38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0.64</v>
      </c>
      <c r="K14" s="1">
        <v>0.64</v>
      </c>
      <c r="L14" s="1">
        <v>0.61</v>
      </c>
      <c r="M14" s="1">
        <v>0.56000000000000005</v>
      </c>
      <c r="N14" s="1">
        <v>0.5</v>
      </c>
    </row>
    <row r="15" spans="1:14" x14ac:dyDescent="0.3">
      <c r="A15" t="s">
        <v>560</v>
      </c>
      <c r="B15" t="s">
        <v>561</v>
      </c>
      <c r="C15" t="s">
        <v>37</v>
      </c>
      <c r="D15" s="1">
        <v>0.15</v>
      </c>
      <c r="E15" t="s">
        <v>39</v>
      </c>
      <c r="F15" s="1">
        <v>0.25</v>
      </c>
      <c r="G15" t="s">
        <v>40</v>
      </c>
      <c r="H15" s="1">
        <v>0.7</v>
      </c>
      <c r="I15" s="1"/>
      <c r="J15" s="1">
        <v>0.64</v>
      </c>
      <c r="K15" s="1">
        <v>0.64</v>
      </c>
      <c r="L15" s="1">
        <v>0.61</v>
      </c>
      <c r="M15" s="1">
        <v>0.56000000000000005</v>
      </c>
      <c r="N15" s="1">
        <v>0.5</v>
      </c>
    </row>
    <row r="16" spans="1:14" x14ac:dyDescent="0.3">
      <c r="A16" t="s">
        <v>560</v>
      </c>
      <c r="B16" t="s">
        <v>561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0.64</v>
      </c>
      <c r="K16" s="1">
        <v>0.64</v>
      </c>
      <c r="L16" s="1">
        <v>0.61</v>
      </c>
      <c r="M16" s="1">
        <v>0.56000000000000005</v>
      </c>
      <c r="N16" s="1">
        <v>0.5</v>
      </c>
    </row>
    <row r="17" spans="1:14" x14ac:dyDescent="0.3">
      <c r="A17" t="s">
        <v>560</v>
      </c>
      <c r="B17" t="s">
        <v>561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0.64</v>
      </c>
      <c r="K17" s="1">
        <v>0.64</v>
      </c>
      <c r="L17" s="1">
        <v>0.61</v>
      </c>
      <c r="M17" s="1">
        <v>0.56000000000000005</v>
      </c>
      <c r="N17" s="1">
        <v>0.5</v>
      </c>
    </row>
    <row r="18" spans="1:14" x14ac:dyDescent="0.3">
      <c r="A18" t="s">
        <v>560</v>
      </c>
      <c r="B18" t="s">
        <v>561</v>
      </c>
      <c r="C18" t="s">
        <v>563</v>
      </c>
      <c r="D18" s="1">
        <v>0.15</v>
      </c>
      <c r="E18" t="s">
        <v>564</v>
      </c>
      <c r="F18" s="1">
        <v>0.25</v>
      </c>
      <c r="G18" t="s">
        <v>40</v>
      </c>
      <c r="H18" s="1">
        <v>0.7</v>
      </c>
      <c r="I18" s="1">
        <f>SUMPRODUCT(H18:H21,F18:F21)*D18</f>
        <v>8.8124999999999981E-2</v>
      </c>
      <c r="J18" s="1">
        <v>0.42</v>
      </c>
      <c r="K18" s="1">
        <v>0.42</v>
      </c>
      <c r="L18" s="1">
        <v>0.39</v>
      </c>
      <c r="M18" s="1">
        <v>0.34</v>
      </c>
      <c r="N18" s="1">
        <v>0.28999999999999998</v>
      </c>
    </row>
    <row r="19" spans="1:14" x14ac:dyDescent="0.3">
      <c r="A19" t="s">
        <v>560</v>
      </c>
      <c r="B19" t="s">
        <v>561</v>
      </c>
      <c r="C19" t="s">
        <v>563</v>
      </c>
      <c r="D19" s="1">
        <v>0.15</v>
      </c>
      <c r="E19" t="s">
        <v>50</v>
      </c>
      <c r="F19" s="1">
        <v>0.25</v>
      </c>
      <c r="G19" t="s">
        <v>20</v>
      </c>
      <c r="H19" s="1">
        <v>0.6</v>
      </c>
      <c r="I19" s="1"/>
      <c r="J19" s="1">
        <v>0.42</v>
      </c>
      <c r="K19" s="1">
        <v>0.42</v>
      </c>
      <c r="L19" s="1">
        <v>0.39</v>
      </c>
      <c r="M19" s="1">
        <v>0.34</v>
      </c>
      <c r="N19" s="1">
        <v>0.28999999999999998</v>
      </c>
    </row>
    <row r="20" spans="1:14" x14ac:dyDescent="0.3">
      <c r="A20" t="s">
        <v>560</v>
      </c>
      <c r="B20" t="s">
        <v>561</v>
      </c>
      <c r="C20" t="s">
        <v>563</v>
      </c>
      <c r="D20" s="1">
        <v>0.15</v>
      </c>
      <c r="E20" t="s">
        <v>565</v>
      </c>
      <c r="F20" s="1">
        <v>0.25</v>
      </c>
      <c r="G20" t="s">
        <v>30</v>
      </c>
      <c r="H20" s="1">
        <v>0.1</v>
      </c>
      <c r="I20" s="1"/>
      <c r="J20" s="1">
        <v>0.42</v>
      </c>
      <c r="K20" s="1">
        <v>0.42</v>
      </c>
      <c r="L20" s="1">
        <v>0.39</v>
      </c>
      <c r="M20" s="1">
        <v>0.34</v>
      </c>
      <c r="N20" s="1">
        <v>0.28999999999999998</v>
      </c>
    </row>
    <row r="21" spans="1:14" x14ac:dyDescent="0.3">
      <c r="A21" t="s">
        <v>560</v>
      </c>
      <c r="B21" t="s">
        <v>561</v>
      </c>
      <c r="C21" t="s">
        <v>563</v>
      </c>
      <c r="D21" s="1">
        <v>0.15</v>
      </c>
      <c r="E21" t="s">
        <v>566</v>
      </c>
      <c r="F21" s="1">
        <v>0.25</v>
      </c>
      <c r="G21" t="s">
        <v>24</v>
      </c>
      <c r="H21" s="1">
        <v>0.95</v>
      </c>
      <c r="I21" s="1"/>
      <c r="J21" s="1">
        <v>0.42</v>
      </c>
      <c r="K21" s="1">
        <v>0.42</v>
      </c>
      <c r="L21" s="1">
        <v>0.39</v>
      </c>
      <c r="M21" s="1">
        <v>0.34</v>
      </c>
      <c r="N21" s="1">
        <v>0.28999999999999998</v>
      </c>
    </row>
    <row r="22" spans="1:14" x14ac:dyDescent="0.3">
      <c r="A22" t="s">
        <v>560</v>
      </c>
      <c r="B22" t="s">
        <v>561</v>
      </c>
      <c r="C22" t="s">
        <v>43</v>
      </c>
      <c r="D22" s="1">
        <v>0.15</v>
      </c>
      <c r="E22" t="s">
        <v>308</v>
      </c>
      <c r="F22" s="1">
        <v>0.25</v>
      </c>
      <c r="G22" t="s">
        <v>18</v>
      </c>
      <c r="H22" s="1">
        <v>0.9</v>
      </c>
      <c r="I22" s="1">
        <f>SUMPRODUCT(H22:H25,F22:F25)*D22</f>
        <v>8.9249999999999996E-2</v>
      </c>
      <c r="J22" s="1">
        <v>0.44</v>
      </c>
      <c r="K22" s="1">
        <v>0.44</v>
      </c>
      <c r="L22" s="1">
        <v>0.41</v>
      </c>
      <c r="M22" s="1">
        <v>0.36</v>
      </c>
      <c r="N22" s="1">
        <v>0.31</v>
      </c>
    </row>
    <row r="23" spans="1:14" x14ac:dyDescent="0.3">
      <c r="A23" t="s">
        <v>560</v>
      </c>
      <c r="B23" t="s">
        <v>561</v>
      </c>
      <c r="C23" t="s">
        <v>43</v>
      </c>
      <c r="D23" s="1">
        <v>0.15</v>
      </c>
      <c r="E23" t="s">
        <v>403</v>
      </c>
      <c r="F23" s="1">
        <v>0.25</v>
      </c>
      <c r="G23" t="s">
        <v>20</v>
      </c>
      <c r="H23" s="1">
        <v>0.6</v>
      </c>
      <c r="I23" s="1"/>
      <c r="J23" s="1">
        <v>0.44</v>
      </c>
      <c r="K23" s="1">
        <v>0.44</v>
      </c>
      <c r="L23" s="1">
        <v>0.41</v>
      </c>
      <c r="M23" s="1">
        <v>0.36</v>
      </c>
      <c r="N23" s="1">
        <v>0.31</v>
      </c>
    </row>
    <row r="24" spans="1:14" x14ac:dyDescent="0.3">
      <c r="A24" t="s">
        <v>560</v>
      </c>
      <c r="B24" t="s">
        <v>561</v>
      </c>
      <c r="C24" t="s">
        <v>43</v>
      </c>
      <c r="D24" s="1">
        <v>0.15</v>
      </c>
      <c r="E24" t="s">
        <v>46</v>
      </c>
      <c r="F24" s="1">
        <v>0.3</v>
      </c>
      <c r="G24" t="s">
        <v>30</v>
      </c>
      <c r="H24" s="1">
        <v>0.1</v>
      </c>
      <c r="I24" s="1"/>
      <c r="J24" s="1">
        <v>0.44</v>
      </c>
      <c r="K24" s="1">
        <v>0.44</v>
      </c>
      <c r="L24" s="1">
        <v>0.41</v>
      </c>
      <c r="M24" s="1">
        <v>0.36</v>
      </c>
      <c r="N24" s="1">
        <v>0.31</v>
      </c>
    </row>
    <row r="25" spans="1:14" x14ac:dyDescent="0.3">
      <c r="A25" t="s">
        <v>560</v>
      </c>
      <c r="B25" t="s">
        <v>561</v>
      </c>
      <c r="C25" t="s">
        <v>43</v>
      </c>
      <c r="D25" s="1">
        <v>0.15</v>
      </c>
      <c r="E25" t="s">
        <v>116</v>
      </c>
      <c r="F25" s="1">
        <v>0.2</v>
      </c>
      <c r="G25" t="s">
        <v>24</v>
      </c>
      <c r="H25" s="1">
        <v>0.95</v>
      </c>
      <c r="I25" s="1"/>
      <c r="J25" s="1">
        <v>0.44</v>
      </c>
      <c r="K25" s="1">
        <v>0.44</v>
      </c>
      <c r="L25" s="1">
        <v>0.41</v>
      </c>
      <c r="M25" s="1">
        <v>0.36</v>
      </c>
      <c r="N25" s="1">
        <v>0.31</v>
      </c>
    </row>
    <row r="26" spans="1:14" x14ac:dyDescent="0.3">
      <c r="A26" t="s">
        <v>560</v>
      </c>
      <c r="B26" t="s">
        <v>561</v>
      </c>
      <c r="C26" t="s">
        <v>271</v>
      </c>
      <c r="D26" s="1">
        <v>0.1</v>
      </c>
      <c r="E26" t="s">
        <v>482</v>
      </c>
      <c r="F26" s="1">
        <v>0.3</v>
      </c>
      <c r="G26" t="s">
        <v>56</v>
      </c>
      <c r="H26" s="1">
        <v>0.3</v>
      </c>
      <c r="I26" s="1">
        <f>SUMPRODUCT(H26:H29,F26:F29)*D26</f>
        <v>4.5500000000000006E-2</v>
      </c>
      <c r="J26" s="1">
        <v>0.32</v>
      </c>
      <c r="K26" s="1">
        <v>0.32</v>
      </c>
      <c r="L26" s="1">
        <v>0.28999999999999998</v>
      </c>
      <c r="M26" s="1">
        <v>0.25</v>
      </c>
      <c r="N26" s="1">
        <v>0.21</v>
      </c>
    </row>
    <row r="27" spans="1:14" x14ac:dyDescent="0.3">
      <c r="A27" t="s">
        <v>560</v>
      </c>
      <c r="B27" t="s">
        <v>561</v>
      </c>
      <c r="C27" t="s">
        <v>271</v>
      </c>
      <c r="D27" s="1">
        <v>0.1</v>
      </c>
      <c r="E27" t="s">
        <v>458</v>
      </c>
      <c r="F27" s="1">
        <v>0.25</v>
      </c>
      <c r="G27" t="s">
        <v>20</v>
      </c>
      <c r="H27" s="1">
        <v>0.6</v>
      </c>
      <c r="I27" s="1"/>
      <c r="J27" s="1">
        <v>0.32</v>
      </c>
      <c r="K27" s="1">
        <v>0.32</v>
      </c>
      <c r="L27" s="1">
        <v>0.28999999999999998</v>
      </c>
      <c r="M27" s="1">
        <v>0.25</v>
      </c>
      <c r="N27" s="1">
        <v>0.21</v>
      </c>
    </row>
    <row r="28" spans="1:14" x14ac:dyDescent="0.3">
      <c r="A28" t="s">
        <v>560</v>
      </c>
      <c r="B28" t="s">
        <v>561</v>
      </c>
      <c r="C28" t="s">
        <v>271</v>
      </c>
      <c r="D28" s="1">
        <v>0.1</v>
      </c>
      <c r="E28" t="s">
        <v>567</v>
      </c>
      <c r="F28" s="1">
        <v>0.25</v>
      </c>
      <c r="G28" t="s">
        <v>30</v>
      </c>
      <c r="H28" s="1">
        <v>0.1</v>
      </c>
      <c r="I28" s="1"/>
      <c r="J28" s="1">
        <v>0.32</v>
      </c>
      <c r="K28" s="1">
        <v>0.32</v>
      </c>
      <c r="L28" s="1">
        <v>0.28999999999999998</v>
      </c>
      <c r="M28" s="1">
        <v>0.25</v>
      </c>
      <c r="N28" s="1">
        <v>0.21</v>
      </c>
    </row>
    <row r="29" spans="1:14" x14ac:dyDescent="0.3">
      <c r="A29" t="s">
        <v>560</v>
      </c>
      <c r="B29" t="s">
        <v>561</v>
      </c>
      <c r="C29" t="s">
        <v>271</v>
      </c>
      <c r="D29" s="1">
        <v>0.1</v>
      </c>
      <c r="E29" t="s">
        <v>59</v>
      </c>
      <c r="F29" s="1">
        <v>0.2</v>
      </c>
      <c r="G29" t="s">
        <v>24</v>
      </c>
      <c r="H29" s="1">
        <v>0.95</v>
      </c>
      <c r="I29" s="1"/>
      <c r="J29" s="1">
        <v>0.32</v>
      </c>
      <c r="K29" s="1">
        <v>0.32</v>
      </c>
      <c r="L29" s="1">
        <v>0.28999999999999998</v>
      </c>
      <c r="M29" s="1">
        <v>0.25</v>
      </c>
      <c r="N29" s="1">
        <v>0.21</v>
      </c>
    </row>
    <row r="30" spans="1:14" x14ac:dyDescent="0.3">
      <c r="D30" s="1"/>
      <c r="F30" s="1"/>
      <c r="H30" s="1"/>
      <c r="I30" s="2">
        <f>SUM(I2:I26)</f>
        <v>0.73287500000000005</v>
      </c>
      <c r="J30" s="2">
        <f>+J10*$D10+J14*$D14+J18*$D18+J22*$D22+J26*$D26+$D6*J6+$D2*J2</f>
        <v>0.55300000000000005</v>
      </c>
      <c r="K30" s="2">
        <f t="shared" ref="K30:N30" si="0">+K10*$D10+K14*$D14+K18*$D18+K22*$D22+K26*$D26+$D6*K6+$D2*K2</f>
        <v>0.55300000000000005</v>
      </c>
      <c r="L30" s="2">
        <f t="shared" si="0"/>
        <v>0.51849999999999996</v>
      </c>
      <c r="M30" s="2">
        <f t="shared" si="0"/>
        <v>0.46450000000000002</v>
      </c>
      <c r="N30" s="2">
        <f t="shared" si="0"/>
        <v>0.40199999999999997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560</v>
      </c>
      <c r="B32" t="s">
        <v>568</v>
      </c>
      <c r="C32" t="s">
        <v>569</v>
      </c>
      <c r="D32" s="1">
        <v>0.2</v>
      </c>
      <c r="E32" t="s">
        <v>326</v>
      </c>
      <c r="F32" s="1">
        <v>0.25</v>
      </c>
      <c r="G32" t="s">
        <v>28</v>
      </c>
      <c r="H32" s="1">
        <v>0.7</v>
      </c>
      <c r="I32" s="1">
        <f>SUMPRODUCT(H32:H35,F32:F35)*D32</f>
        <v>0.10400000000000001</v>
      </c>
      <c r="J32" s="1">
        <v>0.38</v>
      </c>
      <c r="K32" s="1">
        <v>0.38</v>
      </c>
      <c r="L32" s="1">
        <v>0.35</v>
      </c>
      <c r="M32" s="1">
        <v>0.31</v>
      </c>
      <c r="N32" s="1">
        <v>0.25</v>
      </c>
    </row>
    <row r="33" spans="1:14" x14ac:dyDescent="0.3">
      <c r="A33" t="s">
        <v>560</v>
      </c>
      <c r="B33" t="s">
        <v>568</v>
      </c>
      <c r="C33" t="s">
        <v>569</v>
      </c>
      <c r="D33" s="1">
        <v>0.2</v>
      </c>
      <c r="E33" t="s">
        <v>570</v>
      </c>
      <c r="F33" s="1">
        <v>0.35</v>
      </c>
      <c r="G33" t="s">
        <v>30</v>
      </c>
      <c r="H33" s="1">
        <v>0.1</v>
      </c>
      <c r="I33" s="1"/>
      <c r="J33" s="1">
        <v>0.38</v>
      </c>
      <c r="K33" s="1">
        <v>0.38</v>
      </c>
      <c r="L33" s="1">
        <v>0.35</v>
      </c>
      <c r="M33" s="1">
        <v>0.31</v>
      </c>
      <c r="N33" s="1">
        <v>0.25</v>
      </c>
    </row>
    <row r="34" spans="1:14" x14ac:dyDescent="0.3">
      <c r="A34" t="s">
        <v>560</v>
      </c>
      <c r="B34" t="s">
        <v>568</v>
      </c>
      <c r="C34" t="s">
        <v>569</v>
      </c>
      <c r="D34" s="1">
        <v>0.2</v>
      </c>
      <c r="E34" t="s">
        <v>571</v>
      </c>
      <c r="F34" s="1">
        <v>0.2</v>
      </c>
      <c r="G34" t="s">
        <v>20</v>
      </c>
      <c r="H34" s="1">
        <v>0.6</v>
      </c>
      <c r="I34" s="1"/>
      <c r="J34" s="1">
        <v>0.38</v>
      </c>
      <c r="K34" s="1">
        <v>0.38</v>
      </c>
      <c r="L34" s="1">
        <v>0.35</v>
      </c>
      <c r="M34" s="1">
        <v>0.31</v>
      </c>
      <c r="N34" s="1">
        <v>0.25</v>
      </c>
    </row>
    <row r="35" spans="1:14" x14ac:dyDescent="0.3">
      <c r="A35" t="s">
        <v>560</v>
      </c>
      <c r="B35" t="s">
        <v>568</v>
      </c>
      <c r="C35" t="s">
        <v>569</v>
      </c>
      <c r="D35" s="1">
        <v>0.2</v>
      </c>
      <c r="E35" t="s">
        <v>108</v>
      </c>
      <c r="F35" s="1">
        <v>0.2</v>
      </c>
      <c r="G35" t="s">
        <v>24</v>
      </c>
      <c r="H35" s="1">
        <v>0.95</v>
      </c>
      <c r="I35" s="1"/>
      <c r="J35" s="1">
        <v>0.38</v>
      </c>
      <c r="K35" s="1">
        <v>0.38</v>
      </c>
      <c r="L35" s="1">
        <v>0.35</v>
      </c>
      <c r="M35" s="1">
        <v>0.31</v>
      </c>
      <c r="N35" s="1">
        <v>0.25</v>
      </c>
    </row>
    <row r="36" spans="1:14" x14ac:dyDescent="0.3">
      <c r="A36" t="s">
        <v>560</v>
      </c>
      <c r="B36" t="s">
        <v>568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0.16550000000000004</v>
      </c>
      <c r="J36" s="1">
        <v>0.62</v>
      </c>
      <c r="K36" s="1">
        <v>0.62</v>
      </c>
      <c r="L36" s="1">
        <v>0.59</v>
      </c>
      <c r="M36" s="1">
        <v>0.54</v>
      </c>
      <c r="N36" s="1">
        <v>0.48</v>
      </c>
    </row>
    <row r="37" spans="1:14" x14ac:dyDescent="0.3">
      <c r="A37" t="s">
        <v>560</v>
      </c>
      <c r="B37" t="s">
        <v>568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0.62</v>
      </c>
      <c r="K37" s="1">
        <v>0.62</v>
      </c>
      <c r="L37" s="1">
        <v>0.59</v>
      </c>
      <c r="M37" s="1">
        <v>0.54</v>
      </c>
      <c r="N37" s="1">
        <v>0.48</v>
      </c>
    </row>
    <row r="38" spans="1:14" x14ac:dyDescent="0.3">
      <c r="A38" t="s">
        <v>560</v>
      </c>
      <c r="B38" t="s">
        <v>568</v>
      </c>
      <c r="C38" t="s">
        <v>16</v>
      </c>
      <c r="D38" s="1">
        <v>0.2</v>
      </c>
      <c r="E38" t="s">
        <v>21</v>
      </c>
      <c r="F38" s="1">
        <v>0.2</v>
      </c>
      <c r="G38" t="s">
        <v>22</v>
      </c>
      <c r="H38" s="1">
        <v>0.85</v>
      </c>
      <c r="I38" s="1"/>
      <c r="J38" s="1">
        <v>0.62</v>
      </c>
      <c r="K38" s="1">
        <v>0.62</v>
      </c>
      <c r="L38" s="1">
        <v>0.59</v>
      </c>
      <c r="M38" s="1">
        <v>0.54</v>
      </c>
      <c r="N38" s="1">
        <v>0.48</v>
      </c>
    </row>
    <row r="39" spans="1:14" x14ac:dyDescent="0.3">
      <c r="A39" t="s">
        <v>560</v>
      </c>
      <c r="B39" t="s">
        <v>568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0.62</v>
      </c>
      <c r="K39" s="1">
        <v>0.62</v>
      </c>
      <c r="L39" s="1">
        <v>0.59</v>
      </c>
      <c r="M39" s="1">
        <v>0.54</v>
      </c>
      <c r="N39" s="1">
        <v>0.48</v>
      </c>
    </row>
    <row r="40" spans="1:14" x14ac:dyDescent="0.3">
      <c r="A40" t="s">
        <v>560</v>
      </c>
      <c r="B40" t="s">
        <v>568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0.42</v>
      </c>
      <c r="K40" s="1">
        <v>0.42</v>
      </c>
      <c r="L40" s="1">
        <v>0.39</v>
      </c>
      <c r="M40" s="1">
        <v>0.34</v>
      </c>
      <c r="N40" s="1">
        <v>0.28999999999999998</v>
      </c>
    </row>
    <row r="41" spans="1:14" x14ac:dyDescent="0.3">
      <c r="A41" t="s">
        <v>560</v>
      </c>
      <c r="B41" t="s">
        <v>568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0.42</v>
      </c>
      <c r="K41" s="1">
        <v>0.42</v>
      </c>
      <c r="L41" s="1">
        <v>0.39</v>
      </c>
      <c r="M41" s="1">
        <v>0.34</v>
      </c>
      <c r="N41" s="1">
        <v>0.28999999999999998</v>
      </c>
    </row>
    <row r="42" spans="1:14" x14ac:dyDescent="0.3">
      <c r="A42" t="s">
        <v>560</v>
      </c>
      <c r="B42" t="s">
        <v>568</v>
      </c>
      <c r="C42" t="s">
        <v>25</v>
      </c>
      <c r="D42" s="1">
        <v>0.15</v>
      </c>
      <c r="E42" t="s">
        <v>255</v>
      </c>
      <c r="F42" s="1">
        <v>0.3</v>
      </c>
      <c r="G42" t="s">
        <v>30</v>
      </c>
      <c r="H42" s="1">
        <v>0.1</v>
      </c>
      <c r="I42" s="1"/>
      <c r="J42" s="1">
        <v>0.42</v>
      </c>
      <c r="K42" s="1">
        <v>0.42</v>
      </c>
      <c r="L42" s="1">
        <v>0.39</v>
      </c>
      <c r="M42" s="1">
        <v>0.34</v>
      </c>
      <c r="N42" s="1">
        <v>0.28999999999999998</v>
      </c>
    </row>
    <row r="43" spans="1:14" x14ac:dyDescent="0.3">
      <c r="A43" t="s">
        <v>560</v>
      </c>
      <c r="B43" t="s">
        <v>568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0.42</v>
      </c>
      <c r="K43" s="1">
        <v>0.42</v>
      </c>
      <c r="L43" s="1">
        <v>0.39</v>
      </c>
      <c r="M43" s="1">
        <v>0.34</v>
      </c>
      <c r="N43" s="1">
        <v>0.28999999999999998</v>
      </c>
    </row>
    <row r="44" spans="1:14" x14ac:dyDescent="0.3">
      <c r="A44" t="s">
        <v>560</v>
      </c>
      <c r="B44" t="s">
        <v>568</v>
      </c>
      <c r="C44" t="s">
        <v>37</v>
      </c>
      <c r="D44" s="1">
        <v>0.15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0.1215</v>
      </c>
      <c r="J44" s="1">
        <v>0.61</v>
      </c>
      <c r="K44" s="1">
        <v>0.61</v>
      </c>
      <c r="L44" s="1">
        <v>0.57999999999999996</v>
      </c>
      <c r="M44" s="1">
        <v>0.53</v>
      </c>
      <c r="N44" s="1">
        <v>0.47</v>
      </c>
    </row>
    <row r="45" spans="1:14" x14ac:dyDescent="0.3">
      <c r="A45" t="s">
        <v>560</v>
      </c>
      <c r="B45" t="s">
        <v>568</v>
      </c>
      <c r="C45" t="s">
        <v>37</v>
      </c>
      <c r="D45" s="1">
        <v>0.15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0.61</v>
      </c>
      <c r="K45" s="1">
        <v>0.61</v>
      </c>
      <c r="L45" s="1">
        <v>0.57999999999999996</v>
      </c>
      <c r="M45" s="1">
        <v>0.53</v>
      </c>
      <c r="N45" s="1">
        <v>0.47</v>
      </c>
    </row>
    <row r="46" spans="1:14" x14ac:dyDescent="0.3">
      <c r="A46" t="s">
        <v>560</v>
      </c>
      <c r="B46" t="s">
        <v>568</v>
      </c>
      <c r="C46" t="s">
        <v>37</v>
      </c>
      <c r="D46" s="1">
        <v>0.15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0.61</v>
      </c>
      <c r="K46" s="1">
        <v>0.61</v>
      </c>
      <c r="L46" s="1">
        <v>0.57999999999999996</v>
      </c>
      <c r="M46" s="1">
        <v>0.53</v>
      </c>
      <c r="N46" s="1">
        <v>0.47</v>
      </c>
    </row>
    <row r="47" spans="1:14" x14ac:dyDescent="0.3">
      <c r="A47" t="s">
        <v>560</v>
      </c>
      <c r="B47" t="s">
        <v>568</v>
      </c>
      <c r="C47" t="s">
        <v>37</v>
      </c>
      <c r="D47" s="1">
        <v>0.15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0.61</v>
      </c>
      <c r="K47" s="1">
        <v>0.61</v>
      </c>
      <c r="L47" s="1">
        <v>0.57999999999999996</v>
      </c>
      <c r="M47" s="1">
        <v>0.53</v>
      </c>
      <c r="N47" s="1">
        <v>0.47</v>
      </c>
    </row>
    <row r="48" spans="1:14" x14ac:dyDescent="0.3">
      <c r="A48" t="s">
        <v>560</v>
      </c>
      <c r="B48" t="s">
        <v>568</v>
      </c>
      <c r="C48" t="s">
        <v>563</v>
      </c>
      <c r="D48" s="1">
        <v>0.15</v>
      </c>
      <c r="E48" t="s">
        <v>572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</v>
      </c>
      <c r="K48" s="1">
        <v>0.4</v>
      </c>
      <c r="L48" s="1">
        <v>0.37</v>
      </c>
      <c r="M48" s="1">
        <v>0.32</v>
      </c>
      <c r="N48" s="1">
        <v>0.27</v>
      </c>
    </row>
    <row r="49" spans="1:14" x14ac:dyDescent="0.3">
      <c r="A49" t="s">
        <v>560</v>
      </c>
      <c r="B49" t="s">
        <v>568</v>
      </c>
      <c r="C49" t="s">
        <v>563</v>
      </c>
      <c r="D49" s="1">
        <v>0.15</v>
      </c>
      <c r="E49" t="s">
        <v>50</v>
      </c>
      <c r="F49" s="1">
        <v>0.25</v>
      </c>
      <c r="G49" t="s">
        <v>20</v>
      </c>
      <c r="H49" s="1">
        <v>0.6</v>
      </c>
      <c r="I49" s="1"/>
      <c r="J49" s="1">
        <v>0.4</v>
      </c>
      <c r="K49" s="1">
        <v>0.4</v>
      </c>
      <c r="L49" s="1">
        <v>0.37</v>
      </c>
      <c r="M49" s="1">
        <v>0.32</v>
      </c>
      <c r="N49" s="1">
        <v>0.27</v>
      </c>
    </row>
    <row r="50" spans="1:14" x14ac:dyDescent="0.3">
      <c r="A50" t="s">
        <v>560</v>
      </c>
      <c r="B50" t="s">
        <v>568</v>
      </c>
      <c r="C50" t="s">
        <v>563</v>
      </c>
      <c r="D50" s="1">
        <v>0.15</v>
      </c>
      <c r="E50" t="s">
        <v>573</v>
      </c>
      <c r="F50" s="1">
        <v>0.25</v>
      </c>
      <c r="G50" t="s">
        <v>30</v>
      </c>
      <c r="H50" s="1">
        <v>0.1</v>
      </c>
      <c r="I50" s="1"/>
      <c r="J50" s="1">
        <v>0.4</v>
      </c>
      <c r="K50" s="1">
        <v>0.4</v>
      </c>
      <c r="L50" s="1">
        <v>0.37</v>
      </c>
      <c r="M50" s="1">
        <v>0.32</v>
      </c>
      <c r="N50" s="1">
        <v>0.27</v>
      </c>
    </row>
    <row r="51" spans="1:14" x14ac:dyDescent="0.3">
      <c r="A51" t="s">
        <v>560</v>
      </c>
      <c r="B51" t="s">
        <v>568</v>
      </c>
      <c r="C51" t="s">
        <v>563</v>
      </c>
      <c r="D51" s="1">
        <v>0.15</v>
      </c>
      <c r="E51" t="s">
        <v>574</v>
      </c>
      <c r="F51" s="1">
        <v>0.25</v>
      </c>
      <c r="G51" t="s">
        <v>24</v>
      </c>
      <c r="H51" s="1">
        <v>0.95</v>
      </c>
      <c r="I51" s="1"/>
      <c r="J51" s="1">
        <v>0.4</v>
      </c>
      <c r="K51" s="1">
        <v>0.4</v>
      </c>
      <c r="L51" s="1">
        <v>0.37</v>
      </c>
      <c r="M51" s="1">
        <v>0.32</v>
      </c>
      <c r="N51" s="1">
        <v>0.27</v>
      </c>
    </row>
    <row r="52" spans="1:14" x14ac:dyDescent="0.3">
      <c r="A52" t="s">
        <v>560</v>
      </c>
      <c r="B52" t="s">
        <v>568</v>
      </c>
      <c r="C52" t="s">
        <v>43</v>
      </c>
      <c r="D52" s="1">
        <v>0.2</v>
      </c>
      <c r="E52" t="s">
        <v>308</v>
      </c>
      <c r="F52" s="1">
        <v>0.25</v>
      </c>
      <c r="G52" t="s">
        <v>18</v>
      </c>
      <c r="H52" s="1">
        <v>0.9</v>
      </c>
      <c r="I52" s="1">
        <f>SUMPRODUCT(H52:H55,F52:F55)*D52</f>
        <v>0.11899999999999999</v>
      </c>
      <c r="J52" s="1">
        <v>0.42</v>
      </c>
      <c r="K52" s="1">
        <v>0.42</v>
      </c>
      <c r="L52" s="1">
        <v>0.39</v>
      </c>
      <c r="M52" s="1">
        <v>0.34</v>
      </c>
      <c r="N52" s="1">
        <v>0.28999999999999998</v>
      </c>
    </row>
    <row r="53" spans="1:14" x14ac:dyDescent="0.3">
      <c r="A53" t="s">
        <v>560</v>
      </c>
      <c r="B53" t="s">
        <v>568</v>
      </c>
      <c r="C53" t="s">
        <v>43</v>
      </c>
      <c r="D53" s="1">
        <v>0.2</v>
      </c>
      <c r="E53" t="s">
        <v>403</v>
      </c>
      <c r="F53" s="1">
        <v>0.25</v>
      </c>
      <c r="G53" t="s">
        <v>20</v>
      </c>
      <c r="H53" s="1">
        <v>0.6</v>
      </c>
      <c r="I53" s="1"/>
      <c r="J53" s="1">
        <v>0.42</v>
      </c>
      <c r="K53" s="1">
        <v>0.42</v>
      </c>
      <c r="L53" s="1">
        <v>0.39</v>
      </c>
      <c r="M53" s="1">
        <v>0.34</v>
      </c>
      <c r="N53" s="1">
        <v>0.28999999999999998</v>
      </c>
    </row>
    <row r="54" spans="1:14" x14ac:dyDescent="0.3">
      <c r="A54" t="s">
        <v>560</v>
      </c>
      <c r="B54" t="s">
        <v>568</v>
      </c>
      <c r="C54" t="s">
        <v>43</v>
      </c>
      <c r="D54" s="1">
        <v>0.2</v>
      </c>
      <c r="E54" t="s">
        <v>575</v>
      </c>
      <c r="F54" s="1">
        <v>0.3</v>
      </c>
      <c r="G54" t="s">
        <v>30</v>
      </c>
      <c r="H54" s="1">
        <v>0.1</v>
      </c>
      <c r="I54" s="1"/>
      <c r="J54" s="1">
        <v>0.42</v>
      </c>
      <c r="K54" s="1">
        <v>0.42</v>
      </c>
      <c r="L54" s="1">
        <v>0.39</v>
      </c>
      <c r="M54" s="1">
        <v>0.34</v>
      </c>
      <c r="N54" s="1">
        <v>0.28999999999999998</v>
      </c>
    </row>
    <row r="55" spans="1:14" x14ac:dyDescent="0.3">
      <c r="A55" t="s">
        <v>560</v>
      </c>
      <c r="B55" t="s">
        <v>568</v>
      </c>
      <c r="C55" t="s">
        <v>43</v>
      </c>
      <c r="D55" s="1">
        <v>0.2</v>
      </c>
      <c r="E55" t="s">
        <v>116</v>
      </c>
      <c r="F55" s="1">
        <v>0.2</v>
      </c>
      <c r="G55" t="s">
        <v>24</v>
      </c>
      <c r="H55" s="1">
        <v>0.95</v>
      </c>
      <c r="I55" s="1"/>
      <c r="J55" s="1">
        <v>0.42</v>
      </c>
      <c r="K55" s="1">
        <v>0.42</v>
      </c>
      <c r="L55" s="1">
        <v>0.39</v>
      </c>
      <c r="M55" s="1">
        <v>0.34</v>
      </c>
      <c r="N55" s="1">
        <v>0.28999999999999998</v>
      </c>
    </row>
    <row r="56" spans="1:14" x14ac:dyDescent="0.3">
      <c r="A56" t="s">
        <v>560</v>
      </c>
      <c r="B56" t="s">
        <v>568</v>
      </c>
      <c r="C56" t="s">
        <v>271</v>
      </c>
      <c r="D56" s="1">
        <v>0.1</v>
      </c>
      <c r="E56" t="s">
        <v>576</v>
      </c>
      <c r="F56" s="1">
        <v>0.3</v>
      </c>
      <c r="G56" t="s">
        <v>56</v>
      </c>
      <c r="H56" s="1">
        <v>0.3</v>
      </c>
      <c r="I56" s="1">
        <f>SUMPRODUCT(H56:H59,F56:F59)*D56</f>
        <v>4.5500000000000006E-2</v>
      </c>
      <c r="J56" s="1">
        <v>0.3</v>
      </c>
      <c r="K56" s="1">
        <v>0.3</v>
      </c>
      <c r="L56" s="1">
        <v>0.27</v>
      </c>
      <c r="M56" s="1">
        <v>0.23</v>
      </c>
      <c r="N56" s="1">
        <v>0.19</v>
      </c>
    </row>
    <row r="57" spans="1:14" x14ac:dyDescent="0.3">
      <c r="A57" t="s">
        <v>560</v>
      </c>
      <c r="B57" t="s">
        <v>568</v>
      </c>
      <c r="C57" t="s">
        <v>271</v>
      </c>
      <c r="D57" s="1">
        <v>0.1</v>
      </c>
      <c r="E57" t="s">
        <v>273</v>
      </c>
      <c r="F57" s="1">
        <v>0.25</v>
      </c>
      <c r="G57" t="s">
        <v>20</v>
      </c>
      <c r="H57" s="1">
        <v>0.6</v>
      </c>
      <c r="I57" s="1"/>
      <c r="J57" s="1">
        <v>0.3</v>
      </c>
      <c r="K57" s="1">
        <v>0.3</v>
      </c>
      <c r="L57" s="1">
        <v>0.27</v>
      </c>
      <c r="M57" s="1">
        <v>0.23</v>
      </c>
      <c r="N57" s="1">
        <v>0.19</v>
      </c>
    </row>
    <row r="58" spans="1:14" x14ac:dyDescent="0.3">
      <c r="A58" t="s">
        <v>560</v>
      </c>
      <c r="B58" t="s">
        <v>568</v>
      </c>
      <c r="C58" t="s">
        <v>271</v>
      </c>
      <c r="D58" s="1">
        <v>0.1</v>
      </c>
      <c r="E58" t="s">
        <v>567</v>
      </c>
      <c r="F58" s="1">
        <v>0.25</v>
      </c>
      <c r="G58" t="s">
        <v>30</v>
      </c>
      <c r="H58" s="1">
        <v>0.1</v>
      </c>
      <c r="I58" s="1"/>
      <c r="J58" s="1">
        <v>0.3</v>
      </c>
      <c r="K58" s="1">
        <v>0.3</v>
      </c>
      <c r="L58" s="1">
        <v>0.27</v>
      </c>
      <c r="M58" s="1">
        <v>0.23</v>
      </c>
      <c r="N58" s="1">
        <v>0.19</v>
      </c>
    </row>
    <row r="59" spans="1:14" x14ac:dyDescent="0.3">
      <c r="A59" t="s">
        <v>560</v>
      </c>
      <c r="B59" t="s">
        <v>568</v>
      </c>
      <c r="C59" t="s">
        <v>271</v>
      </c>
      <c r="D59" s="1">
        <v>0.1</v>
      </c>
      <c r="E59" t="s">
        <v>59</v>
      </c>
      <c r="F59" s="1">
        <v>0.2</v>
      </c>
      <c r="G59" t="s">
        <v>24</v>
      </c>
      <c r="H59" s="1">
        <v>0.95</v>
      </c>
      <c r="I59" s="1"/>
      <c r="J59" s="1">
        <v>0.3</v>
      </c>
      <c r="K59" s="1">
        <v>0.3</v>
      </c>
      <c r="L59" s="1">
        <v>0.27</v>
      </c>
      <c r="M59" s="1">
        <v>0.23</v>
      </c>
      <c r="N59" s="1">
        <v>0.19</v>
      </c>
    </row>
    <row r="60" spans="1:14" x14ac:dyDescent="0.3">
      <c r="D60" s="1"/>
      <c r="F60" s="1"/>
      <c r="H60" s="1"/>
      <c r="I60" s="2">
        <f>SUM(I32:I56)</f>
        <v>0.73662500000000009</v>
      </c>
      <c r="J60" s="2">
        <f>+J40*$D40+J44*$D44+J48*$D48+J52*$D52+J56*$D56+$D36*J36+$D32*J32</f>
        <v>0.52849999999999997</v>
      </c>
      <c r="K60" s="2">
        <f t="shared" ref="K60:N60" si="1">+K40*$D40+K44*$D44+K48*$D48+K52*$D52+K56*$D56+$D36*K36+$D32*K32</f>
        <v>0.52849999999999997</v>
      </c>
      <c r="L60" s="2">
        <f t="shared" si="1"/>
        <v>0.49400000000000005</v>
      </c>
      <c r="M60" s="2">
        <f t="shared" si="1"/>
        <v>0.43950000000000006</v>
      </c>
      <c r="N60" s="2">
        <f t="shared" si="1"/>
        <v>0.3775</v>
      </c>
    </row>
    <row r="61" spans="1:14" x14ac:dyDescent="0.3">
      <c r="D61" s="1"/>
      <c r="F61" s="1"/>
      <c r="H61" s="1"/>
      <c r="I61" s="1"/>
      <c r="J61" s="1"/>
      <c r="K61" s="1"/>
      <c r="L61" s="1"/>
      <c r="M61" s="1"/>
      <c r="N61" s="1"/>
    </row>
    <row r="62" spans="1:14" x14ac:dyDescent="0.3">
      <c r="A62" t="s">
        <v>560</v>
      </c>
      <c r="B62" t="s">
        <v>577</v>
      </c>
      <c r="C62" t="s">
        <v>16</v>
      </c>
      <c r="D62" s="1">
        <v>0.2</v>
      </c>
      <c r="E62" t="s">
        <v>17</v>
      </c>
      <c r="F62" s="1">
        <v>0.3</v>
      </c>
      <c r="G62" t="s">
        <v>18</v>
      </c>
      <c r="H62" s="1">
        <v>0.9</v>
      </c>
      <c r="I62" s="1">
        <f>SUMPRODUCT(H62:H65,F62:F65)*D62</f>
        <v>0.16550000000000004</v>
      </c>
      <c r="J62" s="1">
        <v>0.61</v>
      </c>
      <c r="K62" s="1">
        <v>0.61</v>
      </c>
      <c r="L62" s="1">
        <v>0.57999999999999996</v>
      </c>
      <c r="M62" s="1">
        <v>0.53</v>
      </c>
      <c r="N62" s="1">
        <v>0.47</v>
      </c>
    </row>
    <row r="63" spans="1:14" x14ac:dyDescent="0.3">
      <c r="A63" t="s">
        <v>560</v>
      </c>
      <c r="B63" t="s">
        <v>577</v>
      </c>
      <c r="C63" t="s">
        <v>16</v>
      </c>
      <c r="D63" s="1">
        <v>0.2</v>
      </c>
      <c r="E63" t="s">
        <v>19</v>
      </c>
      <c r="F63" s="1">
        <v>0.25</v>
      </c>
      <c r="G63" t="s">
        <v>20</v>
      </c>
      <c r="H63" s="1">
        <v>0.6</v>
      </c>
      <c r="I63" s="1"/>
      <c r="J63" s="1">
        <v>0.61</v>
      </c>
      <c r="K63" s="1">
        <v>0.61</v>
      </c>
      <c r="L63" s="1">
        <v>0.57999999999999996</v>
      </c>
      <c r="M63" s="1">
        <v>0.53</v>
      </c>
      <c r="N63" s="1">
        <v>0.47</v>
      </c>
    </row>
    <row r="64" spans="1:14" x14ac:dyDescent="0.3">
      <c r="A64" t="s">
        <v>560</v>
      </c>
      <c r="B64" t="s">
        <v>577</v>
      </c>
      <c r="C64" t="s">
        <v>16</v>
      </c>
      <c r="D64" s="1">
        <v>0.2</v>
      </c>
      <c r="E64" t="s">
        <v>578</v>
      </c>
      <c r="F64" s="1">
        <v>0.2</v>
      </c>
      <c r="G64" t="s">
        <v>22</v>
      </c>
      <c r="H64" s="1">
        <v>0.85</v>
      </c>
      <c r="I64" s="1"/>
      <c r="J64" s="1">
        <v>0.61</v>
      </c>
      <c r="K64" s="1">
        <v>0.61</v>
      </c>
      <c r="L64" s="1">
        <v>0.57999999999999996</v>
      </c>
      <c r="M64" s="1">
        <v>0.53</v>
      </c>
      <c r="N64" s="1">
        <v>0.47</v>
      </c>
    </row>
    <row r="65" spans="1:14" x14ac:dyDescent="0.3">
      <c r="A65" t="s">
        <v>560</v>
      </c>
      <c r="B65" t="s">
        <v>577</v>
      </c>
      <c r="C65" t="s">
        <v>16</v>
      </c>
      <c r="D65" s="1">
        <v>0.2</v>
      </c>
      <c r="E65" t="s">
        <v>23</v>
      </c>
      <c r="F65" s="1">
        <v>0.25</v>
      </c>
      <c r="G65" t="s">
        <v>24</v>
      </c>
      <c r="H65" s="1">
        <v>0.95</v>
      </c>
      <c r="I65" s="1"/>
      <c r="J65" s="1">
        <v>0.61</v>
      </c>
      <c r="K65" s="1">
        <v>0.61</v>
      </c>
      <c r="L65" s="1">
        <v>0.57999999999999996</v>
      </c>
      <c r="M65" s="1">
        <v>0.53</v>
      </c>
      <c r="N65" s="1">
        <v>0.47</v>
      </c>
    </row>
    <row r="66" spans="1:14" x14ac:dyDescent="0.3">
      <c r="A66" t="s">
        <v>560</v>
      </c>
      <c r="B66" t="s">
        <v>577</v>
      </c>
      <c r="C66" t="s">
        <v>25</v>
      </c>
      <c r="D66" s="1">
        <v>0.15</v>
      </c>
      <c r="E66" t="s">
        <v>26</v>
      </c>
      <c r="F66" s="1">
        <v>0.25</v>
      </c>
      <c r="G66" t="s">
        <v>18</v>
      </c>
      <c r="H66" s="1">
        <v>0.9</v>
      </c>
      <c r="I66" s="1">
        <f>SUMPRODUCT(H66:H69,F66:F69)*D66</f>
        <v>9.3000000000000013E-2</v>
      </c>
      <c r="J66" s="1">
        <v>0.41</v>
      </c>
      <c r="K66" s="1">
        <v>0.41</v>
      </c>
      <c r="L66" s="1">
        <v>0.38</v>
      </c>
      <c r="M66" s="1">
        <v>0.33</v>
      </c>
      <c r="N66" s="1">
        <v>0.28000000000000003</v>
      </c>
    </row>
    <row r="67" spans="1:14" x14ac:dyDescent="0.3">
      <c r="A67" t="s">
        <v>560</v>
      </c>
      <c r="B67" t="s">
        <v>577</v>
      </c>
      <c r="C67" t="s">
        <v>25</v>
      </c>
      <c r="D67" s="1">
        <v>0.15</v>
      </c>
      <c r="E67" t="s">
        <v>579</v>
      </c>
      <c r="F67" s="1">
        <v>0.25</v>
      </c>
      <c r="G67" t="s">
        <v>28</v>
      </c>
      <c r="H67" s="1">
        <v>0.7</v>
      </c>
      <c r="I67" s="1"/>
      <c r="J67" s="1">
        <v>0.41</v>
      </c>
      <c r="K67" s="1">
        <v>0.41</v>
      </c>
      <c r="L67" s="1">
        <v>0.38</v>
      </c>
      <c r="M67" s="1">
        <v>0.33</v>
      </c>
      <c r="N67" s="1">
        <v>0.28000000000000003</v>
      </c>
    </row>
    <row r="68" spans="1:14" x14ac:dyDescent="0.3">
      <c r="A68" t="s">
        <v>560</v>
      </c>
      <c r="B68" t="s">
        <v>577</v>
      </c>
      <c r="C68" t="s">
        <v>25</v>
      </c>
      <c r="D68" s="1">
        <v>0.15</v>
      </c>
      <c r="E68" t="s">
        <v>255</v>
      </c>
      <c r="F68" s="1">
        <v>0.3</v>
      </c>
      <c r="G68" t="s">
        <v>30</v>
      </c>
      <c r="H68" s="1">
        <v>0.1</v>
      </c>
      <c r="I68" s="1"/>
      <c r="J68" s="1">
        <v>0.41</v>
      </c>
      <c r="K68" s="1">
        <v>0.41</v>
      </c>
      <c r="L68" s="1">
        <v>0.38</v>
      </c>
      <c r="M68" s="1">
        <v>0.33</v>
      </c>
      <c r="N68" s="1">
        <v>0.28000000000000003</v>
      </c>
    </row>
    <row r="69" spans="1:14" x14ac:dyDescent="0.3">
      <c r="A69" t="s">
        <v>560</v>
      </c>
      <c r="B69" t="s">
        <v>577</v>
      </c>
      <c r="C69" t="s">
        <v>25</v>
      </c>
      <c r="D69" s="1">
        <v>0.15</v>
      </c>
      <c r="E69" t="s">
        <v>31</v>
      </c>
      <c r="F69" s="1">
        <v>0.2</v>
      </c>
      <c r="G69" t="s">
        <v>24</v>
      </c>
      <c r="H69" s="1">
        <v>0.95</v>
      </c>
      <c r="I69" s="1"/>
      <c r="J69" s="1">
        <v>0.41</v>
      </c>
      <c r="K69" s="1">
        <v>0.41</v>
      </c>
      <c r="L69" s="1">
        <v>0.38</v>
      </c>
      <c r="M69" s="1">
        <v>0.33</v>
      </c>
      <c r="N69" s="1">
        <v>0.28000000000000003</v>
      </c>
    </row>
    <row r="70" spans="1:14" x14ac:dyDescent="0.3">
      <c r="A70" t="s">
        <v>560</v>
      </c>
      <c r="B70" t="s">
        <v>577</v>
      </c>
      <c r="C70" t="s">
        <v>37</v>
      </c>
      <c r="D70" s="1">
        <v>0.15</v>
      </c>
      <c r="E70" t="s">
        <v>38</v>
      </c>
      <c r="F70" s="1">
        <v>0.3</v>
      </c>
      <c r="G70" t="s">
        <v>18</v>
      </c>
      <c r="H70" s="1">
        <v>0.9</v>
      </c>
      <c r="I70" s="1">
        <f>SUMPRODUCT(H70:H73,F70:F73)*D70</f>
        <v>0.1215</v>
      </c>
      <c r="J70" s="1">
        <v>0.6</v>
      </c>
      <c r="K70" s="1">
        <v>0.6</v>
      </c>
      <c r="L70" s="1">
        <v>0.56999999999999995</v>
      </c>
      <c r="M70" s="1">
        <v>0.52</v>
      </c>
      <c r="N70" s="1">
        <v>0.46</v>
      </c>
    </row>
    <row r="71" spans="1:14" x14ac:dyDescent="0.3">
      <c r="A71" t="s">
        <v>560</v>
      </c>
      <c r="B71" t="s">
        <v>577</v>
      </c>
      <c r="C71" t="s">
        <v>37</v>
      </c>
      <c r="D71" s="1">
        <v>0.15</v>
      </c>
      <c r="E71" t="s">
        <v>304</v>
      </c>
      <c r="F71" s="1">
        <v>0.25</v>
      </c>
      <c r="G71" t="s">
        <v>40</v>
      </c>
      <c r="H71" s="1">
        <v>0.7</v>
      </c>
      <c r="I71" s="1"/>
      <c r="J71" s="1">
        <v>0.6</v>
      </c>
      <c r="K71" s="1">
        <v>0.6</v>
      </c>
      <c r="L71" s="1">
        <v>0.56999999999999995</v>
      </c>
      <c r="M71" s="1">
        <v>0.52</v>
      </c>
      <c r="N71" s="1">
        <v>0.46</v>
      </c>
    </row>
    <row r="72" spans="1:14" x14ac:dyDescent="0.3">
      <c r="A72" t="s">
        <v>560</v>
      </c>
      <c r="B72" t="s">
        <v>577</v>
      </c>
      <c r="C72" t="s">
        <v>37</v>
      </c>
      <c r="D72" s="1">
        <v>0.15</v>
      </c>
      <c r="E72" t="s">
        <v>41</v>
      </c>
      <c r="F72" s="1">
        <v>0.25</v>
      </c>
      <c r="G72" t="s">
        <v>28</v>
      </c>
      <c r="H72" s="1">
        <v>0.7</v>
      </c>
      <c r="I72" s="1"/>
      <c r="J72" s="1">
        <v>0.6</v>
      </c>
      <c r="K72" s="1">
        <v>0.6</v>
      </c>
      <c r="L72" s="1">
        <v>0.56999999999999995</v>
      </c>
      <c r="M72" s="1">
        <v>0.52</v>
      </c>
      <c r="N72" s="1">
        <v>0.46</v>
      </c>
    </row>
    <row r="73" spans="1:14" x14ac:dyDescent="0.3">
      <c r="A73" t="s">
        <v>560</v>
      </c>
      <c r="B73" t="s">
        <v>577</v>
      </c>
      <c r="C73" t="s">
        <v>37</v>
      </c>
      <c r="D73" s="1">
        <v>0.15</v>
      </c>
      <c r="E73" t="s">
        <v>42</v>
      </c>
      <c r="F73" s="1">
        <v>0.2</v>
      </c>
      <c r="G73" t="s">
        <v>24</v>
      </c>
      <c r="H73" s="1">
        <v>0.95</v>
      </c>
      <c r="I73" s="1"/>
      <c r="J73" s="1">
        <v>0.6</v>
      </c>
      <c r="K73" s="1">
        <v>0.6</v>
      </c>
      <c r="L73" s="1">
        <v>0.56999999999999995</v>
      </c>
      <c r="M73" s="1">
        <v>0.52</v>
      </c>
      <c r="N73" s="1">
        <v>0.46</v>
      </c>
    </row>
    <row r="74" spans="1:14" x14ac:dyDescent="0.3">
      <c r="A74" t="s">
        <v>560</v>
      </c>
      <c r="B74" t="s">
        <v>577</v>
      </c>
      <c r="C74" t="s">
        <v>580</v>
      </c>
      <c r="D74" s="1">
        <v>0.25</v>
      </c>
      <c r="E74" t="s">
        <v>581</v>
      </c>
      <c r="F74" s="1">
        <v>0.25</v>
      </c>
      <c r="G74" t="s">
        <v>40</v>
      </c>
      <c r="H74" s="1">
        <v>0.7</v>
      </c>
      <c r="I74" s="1">
        <f>SUMPRODUCT(H74:H77,F74:F77)*D74</f>
        <v>0.14687499999999998</v>
      </c>
      <c r="J74" s="1">
        <v>0.39</v>
      </c>
      <c r="K74" s="1">
        <v>0.39</v>
      </c>
      <c r="L74" s="1">
        <v>0.36</v>
      </c>
      <c r="M74" s="1">
        <v>0.31</v>
      </c>
      <c r="N74" s="1">
        <v>0.25</v>
      </c>
    </row>
    <row r="75" spans="1:14" x14ac:dyDescent="0.3">
      <c r="A75" t="s">
        <v>560</v>
      </c>
      <c r="B75" t="s">
        <v>577</v>
      </c>
      <c r="C75" t="s">
        <v>580</v>
      </c>
      <c r="D75" s="1">
        <v>0.25</v>
      </c>
      <c r="E75" t="s">
        <v>582</v>
      </c>
      <c r="F75" s="1">
        <v>0.25</v>
      </c>
      <c r="G75" t="s">
        <v>20</v>
      </c>
      <c r="H75" s="1">
        <v>0.6</v>
      </c>
      <c r="I75" s="1"/>
      <c r="J75" s="1">
        <v>0.39</v>
      </c>
      <c r="K75" s="1">
        <v>0.39</v>
      </c>
      <c r="L75" s="1">
        <v>0.36</v>
      </c>
      <c r="M75" s="1">
        <v>0.31</v>
      </c>
      <c r="N75" s="1">
        <v>0.25</v>
      </c>
    </row>
    <row r="76" spans="1:14" x14ac:dyDescent="0.3">
      <c r="A76" t="s">
        <v>560</v>
      </c>
      <c r="B76" t="s">
        <v>577</v>
      </c>
      <c r="C76" t="s">
        <v>580</v>
      </c>
      <c r="D76" s="1">
        <v>0.25</v>
      </c>
      <c r="E76" t="s">
        <v>583</v>
      </c>
      <c r="F76" s="1">
        <v>0.25</v>
      </c>
      <c r="G76" t="s">
        <v>30</v>
      </c>
      <c r="H76" s="1">
        <v>0.1</v>
      </c>
      <c r="I76" s="1"/>
      <c r="J76" s="1">
        <v>0.39</v>
      </c>
      <c r="K76" s="1">
        <v>0.39</v>
      </c>
      <c r="L76" s="1">
        <v>0.36</v>
      </c>
      <c r="M76" s="1">
        <v>0.31</v>
      </c>
      <c r="N76" s="1">
        <v>0.25</v>
      </c>
    </row>
    <row r="77" spans="1:14" x14ac:dyDescent="0.3">
      <c r="A77" t="s">
        <v>560</v>
      </c>
      <c r="B77" t="s">
        <v>577</v>
      </c>
      <c r="C77" t="s">
        <v>580</v>
      </c>
      <c r="D77" s="1">
        <v>0.25</v>
      </c>
      <c r="E77" t="s">
        <v>584</v>
      </c>
      <c r="F77" s="1">
        <v>0.25</v>
      </c>
      <c r="G77" t="s">
        <v>24</v>
      </c>
      <c r="H77" s="1">
        <v>0.95</v>
      </c>
      <c r="I77" s="1"/>
      <c r="J77" s="1">
        <v>0.39</v>
      </c>
      <c r="K77" s="1">
        <v>0.39</v>
      </c>
      <c r="L77" s="1">
        <v>0.36</v>
      </c>
      <c r="M77" s="1">
        <v>0.31</v>
      </c>
      <c r="N77" s="1">
        <v>0.25</v>
      </c>
    </row>
    <row r="78" spans="1:14" x14ac:dyDescent="0.3">
      <c r="A78" t="s">
        <v>560</v>
      </c>
      <c r="B78" t="s">
        <v>577</v>
      </c>
      <c r="C78" t="s">
        <v>43</v>
      </c>
      <c r="D78" s="1">
        <v>0.2</v>
      </c>
      <c r="E78" t="s">
        <v>308</v>
      </c>
      <c r="F78" s="1">
        <v>0.25</v>
      </c>
      <c r="G78" t="s">
        <v>18</v>
      </c>
      <c r="H78" s="1">
        <v>0.9</v>
      </c>
      <c r="I78" s="1">
        <f>SUMPRODUCT(H78:H81,F78:F81)*D78</f>
        <v>0.11899999999999999</v>
      </c>
      <c r="J78" s="1">
        <v>0.41</v>
      </c>
      <c r="K78" s="1">
        <v>0.41</v>
      </c>
      <c r="L78" s="1">
        <v>0.38</v>
      </c>
      <c r="M78" s="1">
        <v>0.33</v>
      </c>
      <c r="N78" s="1">
        <v>0.28000000000000003</v>
      </c>
    </row>
    <row r="79" spans="1:14" x14ac:dyDescent="0.3">
      <c r="A79" t="s">
        <v>560</v>
      </c>
      <c r="B79" t="s">
        <v>577</v>
      </c>
      <c r="C79" t="s">
        <v>43</v>
      </c>
      <c r="D79" s="1">
        <v>0.2</v>
      </c>
      <c r="E79" t="s">
        <v>585</v>
      </c>
      <c r="F79" s="1">
        <v>0.25</v>
      </c>
      <c r="G79" t="s">
        <v>20</v>
      </c>
      <c r="H79" s="1">
        <v>0.6</v>
      </c>
      <c r="I79" s="1"/>
      <c r="J79" s="1">
        <v>0.41</v>
      </c>
      <c r="K79" s="1">
        <v>0.41</v>
      </c>
      <c r="L79" s="1">
        <v>0.38</v>
      </c>
      <c r="M79" s="1">
        <v>0.33</v>
      </c>
      <c r="N79" s="1">
        <v>0.28000000000000003</v>
      </c>
    </row>
    <row r="80" spans="1:14" x14ac:dyDescent="0.3">
      <c r="A80" t="s">
        <v>560</v>
      </c>
      <c r="B80" t="s">
        <v>577</v>
      </c>
      <c r="C80" t="s">
        <v>43</v>
      </c>
      <c r="D80" s="1">
        <v>0.2</v>
      </c>
      <c r="E80" t="s">
        <v>586</v>
      </c>
      <c r="F80" s="1">
        <v>0.3</v>
      </c>
      <c r="G80" t="s">
        <v>30</v>
      </c>
      <c r="H80" s="1">
        <v>0.1</v>
      </c>
      <c r="I80" s="1"/>
      <c r="J80" s="1">
        <v>0.41</v>
      </c>
      <c r="K80" s="1">
        <v>0.41</v>
      </c>
      <c r="L80" s="1">
        <v>0.38</v>
      </c>
      <c r="M80" s="1">
        <v>0.33</v>
      </c>
      <c r="N80" s="1">
        <v>0.28000000000000003</v>
      </c>
    </row>
    <row r="81" spans="1:14" x14ac:dyDescent="0.3">
      <c r="A81" t="s">
        <v>560</v>
      </c>
      <c r="B81" t="s">
        <v>577</v>
      </c>
      <c r="C81" t="s">
        <v>43</v>
      </c>
      <c r="D81" s="1">
        <v>0.2</v>
      </c>
      <c r="E81" t="s">
        <v>47</v>
      </c>
      <c r="F81" s="1">
        <v>0.2</v>
      </c>
      <c r="G81" t="s">
        <v>24</v>
      </c>
      <c r="H81" s="1">
        <v>0.95</v>
      </c>
      <c r="I81" s="1"/>
      <c r="J81" s="1">
        <v>0.41</v>
      </c>
      <c r="K81" s="1">
        <v>0.41</v>
      </c>
      <c r="L81" s="1">
        <v>0.38</v>
      </c>
      <c r="M81" s="1">
        <v>0.33</v>
      </c>
      <c r="N81" s="1">
        <v>0.28000000000000003</v>
      </c>
    </row>
    <row r="82" spans="1:14" x14ac:dyDescent="0.3">
      <c r="A82" t="s">
        <v>560</v>
      </c>
      <c r="B82" t="s">
        <v>577</v>
      </c>
      <c r="C82" t="s">
        <v>271</v>
      </c>
      <c r="D82" s="1">
        <v>0.2</v>
      </c>
      <c r="E82" t="s">
        <v>587</v>
      </c>
      <c r="F82" s="1">
        <v>0.3</v>
      </c>
      <c r="G82" t="s">
        <v>56</v>
      </c>
      <c r="H82" s="1">
        <v>0.3</v>
      </c>
      <c r="I82" s="1">
        <f>SUMPRODUCT(H82:H85,F82:F85)*D82</f>
        <v>9.1000000000000011E-2</v>
      </c>
      <c r="J82" s="1">
        <v>0.28999999999999998</v>
      </c>
      <c r="K82" s="1">
        <v>0.28999999999999998</v>
      </c>
      <c r="L82" s="1">
        <v>0.26</v>
      </c>
      <c r="M82" s="1">
        <v>0.22</v>
      </c>
      <c r="N82" s="1">
        <v>0.18</v>
      </c>
    </row>
    <row r="83" spans="1:14" x14ac:dyDescent="0.3">
      <c r="A83" t="s">
        <v>560</v>
      </c>
      <c r="B83" t="s">
        <v>577</v>
      </c>
      <c r="C83" t="s">
        <v>271</v>
      </c>
      <c r="D83" s="1">
        <v>0.2</v>
      </c>
      <c r="E83" t="s">
        <v>588</v>
      </c>
      <c r="F83" s="1">
        <v>0.25</v>
      </c>
      <c r="G83" t="s">
        <v>20</v>
      </c>
      <c r="H83" s="1">
        <v>0.6</v>
      </c>
      <c r="I83" s="1"/>
      <c r="J83" s="1">
        <v>0.28999999999999998</v>
      </c>
      <c r="K83" s="1">
        <v>0.28999999999999998</v>
      </c>
      <c r="L83" s="1">
        <v>0.26</v>
      </c>
      <c r="M83" s="1">
        <v>0.22</v>
      </c>
      <c r="N83" s="1">
        <v>0.18</v>
      </c>
    </row>
    <row r="84" spans="1:14" x14ac:dyDescent="0.3">
      <c r="A84" t="s">
        <v>560</v>
      </c>
      <c r="B84" t="s">
        <v>577</v>
      </c>
      <c r="C84" t="s">
        <v>271</v>
      </c>
      <c r="D84" s="1">
        <v>0.2</v>
      </c>
      <c r="E84" t="s">
        <v>589</v>
      </c>
      <c r="F84" s="1">
        <v>0.25</v>
      </c>
      <c r="G84" t="s">
        <v>30</v>
      </c>
      <c r="H84" s="1">
        <v>0.1</v>
      </c>
      <c r="I84" s="1"/>
      <c r="J84" s="1">
        <v>0.28999999999999998</v>
      </c>
      <c r="K84" s="1">
        <v>0.28999999999999998</v>
      </c>
      <c r="L84" s="1">
        <v>0.26</v>
      </c>
      <c r="M84" s="1">
        <v>0.22</v>
      </c>
      <c r="N84" s="1">
        <v>0.18</v>
      </c>
    </row>
    <row r="85" spans="1:14" x14ac:dyDescent="0.3">
      <c r="A85" t="s">
        <v>560</v>
      </c>
      <c r="B85" t="s">
        <v>577</v>
      </c>
      <c r="C85" t="s">
        <v>271</v>
      </c>
      <c r="D85" s="1">
        <v>0.2</v>
      </c>
      <c r="E85" t="s">
        <v>59</v>
      </c>
      <c r="F85" s="1">
        <v>0.2</v>
      </c>
      <c r="G85" t="s">
        <v>24</v>
      </c>
      <c r="H85" s="1">
        <v>0.95</v>
      </c>
      <c r="I85" s="1"/>
      <c r="J85" s="1">
        <v>0.28999999999999998</v>
      </c>
      <c r="K85" s="1">
        <v>0.28999999999999998</v>
      </c>
      <c r="L85" s="1">
        <v>0.26</v>
      </c>
      <c r="M85" s="1">
        <v>0.22</v>
      </c>
      <c r="N85" s="1">
        <v>0.18</v>
      </c>
    </row>
    <row r="86" spans="1:14" x14ac:dyDescent="0.3">
      <c r="D86" s="1"/>
      <c r="F86" s="1"/>
      <c r="H86" s="1"/>
      <c r="I86" s="2">
        <f>SUM(I62:I82)</f>
        <v>0.73687499999999995</v>
      </c>
      <c r="J86" s="2">
        <f>+J66*$D66+J70*$D70+J74*$D74+J78*$D78+J82*$D82+$D62*J62</f>
        <v>0.51100000000000001</v>
      </c>
      <c r="K86" s="2">
        <f t="shared" ref="K86:N86" si="2">+K66*$D66+K70*$D70+K74*$D74+K78*$D78+K82*$D82+$D62*K62</f>
        <v>0.51100000000000001</v>
      </c>
      <c r="L86" s="2">
        <f t="shared" si="2"/>
        <v>0.47649999999999998</v>
      </c>
      <c r="M86" s="2">
        <f t="shared" si="2"/>
        <v>0.42100000000000004</v>
      </c>
      <c r="N86" s="2">
        <f t="shared" si="2"/>
        <v>0.35950000000000004</v>
      </c>
    </row>
    <row r="87" spans="1:14" x14ac:dyDescent="0.3">
      <c r="D87" s="1"/>
      <c r="F87" s="1"/>
      <c r="H87" s="1"/>
      <c r="I87" s="1"/>
      <c r="J87" s="1"/>
      <c r="K87" s="1"/>
      <c r="L87" s="1"/>
      <c r="M87" s="1"/>
      <c r="N87" s="1"/>
    </row>
    <row r="88" spans="1:14" x14ac:dyDescent="0.3">
      <c r="A88" t="s">
        <v>560</v>
      </c>
      <c r="B88" t="s">
        <v>590</v>
      </c>
      <c r="C88" t="s">
        <v>569</v>
      </c>
      <c r="D88" s="1">
        <v>0.2</v>
      </c>
      <c r="E88" t="s">
        <v>326</v>
      </c>
      <c r="F88" s="1">
        <v>0.25</v>
      </c>
      <c r="G88" t="s">
        <v>28</v>
      </c>
      <c r="H88" s="1">
        <v>0.7</v>
      </c>
      <c r="I88" s="1">
        <f>SUMPRODUCT(H88:H91,F88:F91)*D88</f>
        <v>0.10400000000000001</v>
      </c>
      <c r="J88" s="1">
        <v>0.39</v>
      </c>
      <c r="K88" s="1">
        <v>0.39</v>
      </c>
      <c r="L88" s="1">
        <v>0.36</v>
      </c>
      <c r="M88" s="1">
        <v>0.32</v>
      </c>
      <c r="N88" s="1">
        <v>0.26</v>
      </c>
    </row>
    <row r="89" spans="1:14" x14ac:dyDescent="0.3">
      <c r="A89" t="s">
        <v>560</v>
      </c>
      <c r="B89" t="s">
        <v>590</v>
      </c>
      <c r="C89" t="s">
        <v>569</v>
      </c>
      <c r="D89" s="1">
        <v>0.2</v>
      </c>
      <c r="E89" t="s">
        <v>570</v>
      </c>
      <c r="F89" s="1">
        <v>0.35</v>
      </c>
      <c r="G89" t="s">
        <v>30</v>
      </c>
      <c r="H89" s="1">
        <v>0.1</v>
      </c>
      <c r="I89" s="1"/>
      <c r="J89" s="1">
        <v>0.39</v>
      </c>
      <c r="K89" s="1">
        <v>0.39</v>
      </c>
      <c r="L89" s="1">
        <v>0.36</v>
      </c>
      <c r="M89" s="1">
        <v>0.32</v>
      </c>
      <c r="N89" s="1">
        <v>0.26</v>
      </c>
    </row>
    <row r="90" spans="1:14" x14ac:dyDescent="0.3">
      <c r="A90" t="s">
        <v>560</v>
      </c>
      <c r="B90" t="s">
        <v>590</v>
      </c>
      <c r="C90" t="s">
        <v>569</v>
      </c>
      <c r="D90" s="1">
        <v>0.2</v>
      </c>
      <c r="E90" t="s">
        <v>591</v>
      </c>
      <c r="F90" s="1">
        <v>0.2</v>
      </c>
      <c r="G90" t="s">
        <v>20</v>
      </c>
      <c r="H90" s="1">
        <v>0.6</v>
      </c>
      <c r="I90" s="1"/>
      <c r="J90" s="1">
        <v>0.39</v>
      </c>
      <c r="K90" s="1">
        <v>0.39</v>
      </c>
      <c r="L90" s="1">
        <v>0.36</v>
      </c>
      <c r="M90" s="1">
        <v>0.32</v>
      </c>
      <c r="N90" s="1">
        <v>0.26</v>
      </c>
    </row>
    <row r="91" spans="1:14" x14ac:dyDescent="0.3">
      <c r="A91" t="s">
        <v>560</v>
      </c>
      <c r="B91" t="s">
        <v>590</v>
      </c>
      <c r="C91" t="s">
        <v>569</v>
      </c>
      <c r="D91" s="1">
        <v>0.2</v>
      </c>
      <c r="E91" t="s">
        <v>108</v>
      </c>
      <c r="F91" s="1">
        <v>0.2</v>
      </c>
      <c r="G91" t="s">
        <v>24</v>
      </c>
      <c r="H91" s="1">
        <v>0.95</v>
      </c>
      <c r="I91" s="1"/>
      <c r="J91" s="1">
        <v>0.39</v>
      </c>
      <c r="K91" s="1">
        <v>0.39</v>
      </c>
      <c r="L91" s="1">
        <v>0.36</v>
      </c>
      <c r="M91" s="1">
        <v>0.32</v>
      </c>
      <c r="N91" s="1">
        <v>0.26</v>
      </c>
    </row>
    <row r="92" spans="1:14" x14ac:dyDescent="0.3">
      <c r="A92" t="s">
        <v>560</v>
      </c>
      <c r="B92" t="s">
        <v>590</v>
      </c>
      <c r="C92" t="s">
        <v>16</v>
      </c>
      <c r="D92" s="1">
        <v>0.2</v>
      </c>
      <c r="E92" t="s">
        <v>17</v>
      </c>
      <c r="F92" s="1">
        <v>0.3</v>
      </c>
      <c r="G92" t="s">
        <v>18</v>
      </c>
      <c r="H92" s="1">
        <v>0.9</v>
      </c>
      <c r="I92" s="1">
        <f>SUMPRODUCT(H92:H95,F92:F95)*D92</f>
        <v>0.16550000000000004</v>
      </c>
      <c r="J92" s="1">
        <v>0.63</v>
      </c>
      <c r="K92" s="1">
        <v>0.63</v>
      </c>
      <c r="L92" s="1">
        <v>0.6</v>
      </c>
      <c r="M92" s="1">
        <v>0.55000000000000004</v>
      </c>
      <c r="N92" s="1">
        <v>0.49</v>
      </c>
    </row>
    <row r="93" spans="1:14" x14ac:dyDescent="0.3">
      <c r="A93" t="s">
        <v>560</v>
      </c>
      <c r="B93" t="s">
        <v>590</v>
      </c>
      <c r="C93" t="s">
        <v>16</v>
      </c>
      <c r="D93" s="1">
        <v>0.2</v>
      </c>
      <c r="E93" t="s">
        <v>19</v>
      </c>
      <c r="F93" s="1">
        <v>0.25</v>
      </c>
      <c r="G93" t="s">
        <v>20</v>
      </c>
      <c r="H93" s="1">
        <v>0.6</v>
      </c>
      <c r="I93" s="1"/>
      <c r="J93" s="1">
        <v>0.63</v>
      </c>
      <c r="K93" s="1">
        <v>0.63</v>
      </c>
      <c r="L93" s="1">
        <v>0.6</v>
      </c>
      <c r="M93" s="1">
        <v>0.55000000000000004</v>
      </c>
      <c r="N93" s="1">
        <v>0.49</v>
      </c>
    </row>
    <row r="94" spans="1:14" x14ac:dyDescent="0.3">
      <c r="A94" t="s">
        <v>560</v>
      </c>
      <c r="B94" t="s">
        <v>590</v>
      </c>
      <c r="C94" t="s">
        <v>16</v>
      </c>
      <c r="D94" s="1">
        <v>0.2</v>
      </c>
      <c r="E94" t="s">
        <v>578</v>
      </c>
      <c r="F94" s="1">
        <v>0.2</v>
      </c>
      <c r="G94" t="s">
        <v>22</v>
      </c>
      <c r="H94" s="1">
        <v>0.85</v>
      </c>
      <c r="I94" s="1"/>
      <c r="J94" s="1">
        <v>0.63</v>
      </c>
      <c r="K94" s="1">
        <v>0.63</v>
      </c>
      <c r="L94" s="1">
        <v>0.6</v>
      </c>
      <c r="M94" s="1">
        <v>0.55000000000000004</v>
      </c>
      <c r="N94" s="1">
        <v>0.49</v>
      </c>
    </row>
    <row r="95" spans="1:14" x14ac:dyDescent="0.3">
      <c r="A95" t="s">
        <v>560</v>
      </c>
      <c r="B95" t="s">
        <v>590</v>
      </c>
      <c r="C95" t="s">
        <v>16</v>
      </c>
      <c r="D95" s="1">
        <v>0.2</v>
      </c>
      <c r="E95" t="s">
        <v>23</v>
      </c>
      <c r="F95" s="1">
        <v>0.25</v>
      </c>
      <c r="G95" t="s">
        <v>24</v>
      </c>
      <c r="H95" s="1">
        <v>0.95</v>
      </c>
      <c r="I95" s="1"/>
      <c r="J95" s="1">
        <v>0.63</v>
      </c>
      <c r="K95" s="1">
        <v>0.63</v>
      </c>
      <c r="L95" s="1">
        <v>0.6</v>
      </c>
      <c r="M95" s="1">
        <v>0.55000000000000004</v>
      </c>
      <c r="N95" s="1">
        <v>0.49</v>
      </c>
    </row>
    <row r="96" spans="1:14" x14ac:dyDescent="0.3">
      <c r="A96" t="s">
        <v>560</v>
      </c>
      <c r="B96" t="s">
        <v>590</v>
      </c>
      <c r="C96" t="s">
        <v>25</v>
      </c>
      <c r="D96" s="1">
        <v>0.15</v>
      </c>
      <c r="E96" t="s">
        <v>26</v>
      </c>
      <c r="F96" s="1">
        <v>0.25</v>
      </c>
      <c r="G96" t="s">
        <v>18</v>
      </c>
      <c r="H96" s="1">
        <v>0.9</v>
      </c>
      <c r="I96" s="1">
        <f>SUMPRODUCT(H96:H99,F96:F99)*D96</f>
        <v>9.3000000000000013E-2</v>
      </c>
      <c r="J96" s="1">
        <v>0.42</v>
      </c>
      <c r="K96" s="1">
        <v>0.42</v>
      </c>
      <c r="L96" s="1">
        <v>0.39</v>
      </c>
      <c r="M96" s="1">
        <v>0.34</v>
      </c>
      <c r="N96" s="1">
        <v>0.28999999999999998</v>
      </c>
    </row>
    <row r="97" spans="1:14" x14ac:dyDescent="0.3">
      <c r="A97" t="s">
        <v>560</v>
      </c>
      <c r="B97" t="s">
        <v>590</v>
      </c>
      <c r="C97" t="s">
        <v>25</v>
      </c>
      <c r="D97" s="1">
        <v>0.15</v>
      </c>
      <c r="E97" t="s">
        <v>27</v>
      </c>
      <c r="F97" s="1">
        <v>0.25</v>
      </c>
      <c r="G97" t="s">
        <v>28</v>
      </c>
      <c r="H97" s="1">
        <v>0.7</v>
      </c>
      <c r="I97" s="1"/>
      <c r="J97" s="1">
        <v>0.42</v>
      </c>
      <c r="K97" s="1">
        <v>0.42</v>
      </c>
      <c r="L97" s="1">
        <v>0.39</v>
      </c>
      <c r="M97" s="1">
        <v>0.34</v>
      </c>
      <c r="N97" s="1">
        <v>0.28999999999999998</v>
      </c>
    </row>
    <row r="98" spans="1:14" x14ac:dyDescent="0.3">
      <c r="A98" t="s">
        <v>560</v>
      </c>
      <c r="B98" t="s">
        <v>590</v>
      </c>
      <c r="C98" t="s">
        <v>25</v>
      </c>
      <c r="D98" s="1">
        <v>0.15</v>
      </c>
      <c r="E98" t="s">
        <v>255</v>
      </c>
      <c r="F98" s="1">
        <v>0.3</v>
      </c>
      <c r="G98" t="s">
        <v>30</v>
      </c>
      <c r="H98" s="1">
        <v>0.1</v>
      </c>
      <c r="I98" s="1"/>
      <c r="J98" s="1">
        <v>0.42</v>
      </c>
      <c r="K98" s="1">
        <v>0.42</v>
      </c>
      <c r="L98" s="1">
        <v>0.39</v>
      </c>
      <c r="M98" s="1">
        <v>0.34</v>
      </c>
      <c r="N98" s="1">
        <v>0.28999999999999998</v>
      </c>
    </row>
    <row r="99" spans="1:14" x14ac:dyDescent="0.3">
      <c r="A99" t="s">
        <v>560</v>
      </c>
      <c r="B99" t="s">
        <v>590</v>
      </c>
      <c r="C99" t="s">
        <v>25</v>
      </c>
      <c r="D99" s="1">
        <v>0.15</v>
      </c>
      <c r="E99" t="s">
        <v>31</v>
      </c>
      <c r="F99" s="1">
        <v>0.2</v>
      </c>
      <c r="G99" t="s">
        <v>24</v>
      </c>
      <c r="H99" s="1">
        <v>0.95</v>
      </c>
      <c r="I99" s="1"/>
      <c r="J99" s="1">
        <v>0.42</v>
      </c>
      <c r="K99" s="1">
        <v>0.42</v>
      </c>
      <c r="L99" s="1">
        <v>0.39</v>
      </c>
      <c r="M99" s="1">
        <v>0.34</v>
      </c>
      <c r="N99" s="1">
        <v>0.28999999999999998</v>
      </c>
    </row>
    <row r="100" spans="1:14" x14ac:dyDescent="0.3">
      <c r="A100" t="s">
        <v>560</v>
      </c>
      <c r="B100" t="s">
        <v>590</v>
      </c>
      <c r="C100" t="s">
        <v>37</v>
      </c>
      <c r="D100" s="1">
        <v>0.15</v>
      </c>
      <c r="E100" t="s">
        <v>38</v>
      </c>
      <c r="F100" s="1">
        <v>0.3</v>
      </c>
      <c r="G100" t="s">
        <v>18</v>
      </c>
      <c r="H100" s="1">
        <v>0.9</v>
      </c>
      <c r="I100" s="1">
        <f>SUMPRODUCT(H100:H103,F100:F103)*D100</f>
        <v>0.1215</v>
      </c>
      <c r="J100" s="1">
        <v>0.62</v>
      </c>
      <c r="K100" s="1">
        <v>0.62</v>
      </c>
      <c r="L100" s="1">
        <v>0.59</v>
      </c>
      <c r="M100" s="1">
        <v>0.54</v>
      </c>
      <c r="N100" s="1">
        <v>0.48</v>
      </c>
    </row>
    <row r="101" spans="1:14" x14ac:dyDescent="0.3">
      <c r="A101" t="s">
        <v>560</v>
      </c>
      <c r="B101" t="s">
        <v>590</v>
      </c>
      <c r="C101" t="s">
        <v>37</v>
      </c>
      <c r="D101" s="1">
        <v>0.15</v>
      </c>
      <c r="E101" t="s">
        <v>304</v>
      </c>
      <c r="F101" s="1">
        <v>0.25</v>
      </c>
      <c r="G101" t="s">
        <v>40</v>
      </c>
      <c r="H101" s="1">
        <v>0.7</v>
      </c>
      <c r="I101" s="1"/>
      <c r="J101" s="1">
        <v>0.62</v>
      </c>
      <c r="K101" s="1">
        <v>0.62</v>
      </c>
      <c r="L101" s="1">
        <v>0.59</v>
      </c>
      <c r="M101" s="1">
        <v>0.54</v>
      </c>
      <c r="N101" s="1">
        <v>0.48</v>
      </c>
    </row>
    <row r="102" spans="1:14" x14ac:dyDescent="0.3">
      <c r="A102" t="s">
        <v>560</v>
      </c>
      <c r="B102" t="s">
        <v>590</v>
      </c>
      <c r="C102" t="s">
        <v>37</v>
      </c>
      <c r="D102" s="1">
        <v>0.15</v>
      </c>
      <c r="E102" t="s">
        <v>41</v>
      </c>
      <c r="F102" s="1">
        <v>0.25</v>
      </c>
      <c r="G102" t="s">
        <v>28</v>
      </c>
      <c r="H102" s="1">
        <v>0.7</v>
      </c>
      <c r="I102" s="1"/>
      <c r="J102" s="1">
        <v>0.62</v>
      </c>
      <c r="K102" s="1">
        <v>0.62</v>
      </c>
      <c r="L102" s="1">
        <v>0.59</v>
      </c>
      <c r="M102" s="1">
        <v>0.54</v>
      </c>
      <c r="N102" s="1">
        <v>0.48</v>
      </c>
    </row>
    <row r="103" spans="1:14" x14ac:dyDescent="0.3">
      <c r="A103" t="s">
        <v>560</v>
      </c>
      <c r="B103" t="s">
        <v>590</v>
      </c>
      <c r="C103" t="s">
        <v>37</v>
      </c>
      <c r="D103" s="1">
        <v>0.15</v>
      </c>
      <c r="E103" t="s">
        <v>42</v>
      </c>
      <c r="F103" s="1">
        <v>0.2</v>
      </c>
      <c r="G103" t="s">
        <v>24</v>
      </c>
      <c r="H103" s="1">
        <v>0.95</v>
      </c>
      <c r="I103" s="1"/>
      <c r="J103" s="1">
        <v>0.62</v>
      </c>
      <c r="K103" s="1">
        <v>0.62</v>
      </c>
      <c r="L103" s="1">
        <v>0.59</v>
      </c>
      <c r="M103" s="1">
        <v>0.54</v>
      </c>
      <c r="N103" s="1">
        <v>0.48</v>
      </c>
    </row>
    <row r="104" spans="1:14" x14ac:dyDescent="0.3">
      <c r="A104" t="s">
        <v>560</v>
      </c>
      <c r="B104" t="s">
        <v>590</v>
      </c>
      <c r="C104" t="s">
        <v>563</v>
      </c>
      <c r="D104" s="1">
        <v>0.15</v>
      </c>
      <c r="E104" t="s">
        <v>572</v>
      </c>
      <c r="F104" s="1">
        <v>0.25</v>
      </c>
      <c r="G104" t="s">
        <v>40</v>
      </c>
      <c r="H104" s="1">
        <v>0.7</v>
      </c>
      <c r="I104" s="1">
        <f>SUMPRODUCT(H104:H107,F104:F107)*D104</f>
        <v>8.8124999999999981E-2</v>
      </c>
      <c r="J104" s="1">
        <v>0.4</v>
      </c>
      <c r="K104" s="1">
        <v>0.4</v>
      </c>
      <c r="L104" s="1">
        <v>0.37</v>
      </c>
      <c r="M104" s="1">
        <v>0.32</v>
      </c>
      <c r="N104" s="1">
        <v>0.27</v>
      </c>
    </row>
    <row r="105" spans="1:14" x14ac:dyDescent="0.3">
      <c r="A105" t="s">
        <v>560</v>
      </c>
      <c r="B105" t="s">
        <v>590</v>
      </c>
      <c r="C105" t="s">
        <v>563</v>
      </c>
      <c r="D105" s="1">
        <v>0.15</v>
      </c>
      <c r="E105" t="s">
        <v>50</v>
      </c>
      <c r="F105" s="1">
        <v>0.25</v>
      </c>
      <c r="G105" t="s">
        <v>20</v>
      </c>
      <c r="H105" s="1">
        <v>0.6</v>
      </c>
      <c r="I105" s="1"/>
      <c r="J105" s="1">
        <v>0.4</v>
      </c>
      <c r="K105" s="1">
        <v>0.4</v>
      </c>
      <c r="L105" s="1">
        <v>0.37</v>
      </c>
      <c r="M105" s="1">
        <v>0.32</v>
      </c>
      <c r="N105" s="1">
        <v>0.27</v>
      </c>
    </row>
    <row r="106" spans="1:14" x14ac:dyDescent="0.3">
      <c r="A106" t="s">
        <v>560</v>
      </c>
      <c r="B106" t="s">
        <v>590</v>
      </c>
      <c r="C106" t="s">
        <v>563</v>
      </c>
      <c r="D106" s="1">
        <v>0.15</v>
      </c>
      <c r="E106" t="s">
        <v>573</v>
      </c>
      <c r="F106" s="1">
        <v>0.25</v>
      </c>
      <c r="G106" t="s">
        <v>30</v>
      </c>
      <c r="H106" s="1">
        <v>0.1</v>
      </c>
      <c r="I106" s="1"/>
      <c r="J106" s="1">
        <v>0.4</v>
      </c>
      <c r="K106" s="1">
        <v>0.4</v>
      </c>
      <c r="L106" s="1">
        <v>0.37</v>
      </c>
      <c r="M106" s="1">
        <v>0.32</v>
      </c>
      <c r="N106" s="1">
        <v>0.27</v>
      </c>
    </row>
    <row r="107" spans="1:14" x14ac:dyDescent="0.3">
      <c r="A107" t="s">
        <v>560</v>
      </c>
      <c r="B107" t="s">
        <v>590</v>
      </c>
      <c r="C107" t="s">
        <v>563</v>
      </c>
      <c r="D107" s="1">
        <v>0.15</v>
      </c>
      <c r="E107" t="s">
        <v>574</v>
      </c>
      <c r="F107" s="1">
        <v>0.25</v>
      </c>
      <c r="G107" t="s">
        <v>24</v>
      </c>
      <c r="H107" s="1">
        <v>0.95</v>
      </c>
      <c r="I107" s="1"/>
      <c r="J107" s="1">
        <v>0.4</v>
      </c>
      <c r="K107" s="1">
        <v>0.4</v>
      </c>
      <c r="L107" s="1">
        <v>0.37</v>
      </c>
      <c r="M107" s="1">
        <v>0.32</v>
      </c>
      <c r="N107" s="1">
        <v>0.27</v>
      </c>
    </row>
    <row r="108" spans="1:14" x14ac:dyDescent="0.3">
      <c r="A108" t="s">
        <v>560</v>
      </c>
      <c r="B108" t="s">
        <v>590</v>
      </c>
      <c r="C108" t="s">
        <v>43</v>
      </c>
      <c r="D108" s="1">
        <v>0.2</v>
      </c>
      <c r="E108" t="s">
        <v>308</v>
      </c>
      <c r="F108" s="1">
        <v>0.25</v>
      </c>
      <c r="G108" t="s">
        <v>18</v>
      </c>
      <c r="H108" s="1">
        <v>0.9</v>
      </c>
      <c r="I108" s="1">
        <f>SUMPRODUCT(H108:H111,F108:F111)*D108</f>
        <v>0.11899999999999999</v>
      </c>
      <c r="J108" s="1">
        <v>0.42</v>
      </c>
      <c r="K108" s="1">
        <v>0.42</v>
      </c>
      <c r="L108" s="1">
        <v>0.39</v>
      </c>
      <c r="M108" s="1">
        <v>0.34</v>
      </c>
      <c r="N108" s="1">
        <v>0.28999999999999998</v>
      </c>
    </row>
    <row r="109" spans="1:14" x14ac:dyDescent="0.3">
      <c r="A109" t="s">
        <v>560</v>
      </c>
      <c r="B109" t="s">
        <v>590</v>
      </c>
      <c r="C109" t="s">
        <v>43</v>
      </c>
      <c r="D109" s="1">
        <v>0.2</v>
      </c>
      <c r="E109" t="s">
        <v>592</v>
      </c>
      <c r="F109" s="1">
        <v>0.25</v>
      </c>
      <c r="G109" t="s">
        <v>20</v>
      </c>
      <c r="H109" s="1">
        <v>0.6</v>
      </c>
      <c r="I109" s="1"/>
      <c r="J109" s="1">
        <v>0.42</v>
      </c>
      <c r="K109" s="1">
        <v>0.42</v>
      </c>
      <c r="L109" s="1">
        <v>0.39</v>
      </c>
      <c r="M109" s="1">
        <v>0.34</v>
      </c>
      <c r="N109" s="1">
        <v>0.28999999999999998</v>
      </c>
    </row>
    <row r="110" spans="1:14" x14ac:dyDescent="0.3">
      <c r="A110" t="s">
        <v>560</v>
      </c>
      <c r="B110" t="s">
        <v>590</v>
      </c>
      <c r="C110" t="s">
        <v>43</v>
      </c>
      <c r="D110" s="1">
        <v>0.2</v>
      </c>
      <c r="E110" t="s">
        <v>115</v>
      </c>
      <c r="F110" s="1">
        <v>0.3</v>
      </c>
      <c r="G110" t="s">
        <v>30</v>
      </c>
      <c r="H110" s="1">
        <v>0.1</v>
      </c>
      <c r="I110" s="1"/>
      <c r="J110" s="1">
        <v>0.42</v>
      </c>
      <c r="K110" s="1">
        <v>0.42</v>
      </c>
      <c r="L110" s="1">
        <v>0.39</v>
      </c>
      <c r="M110" s="1">
        <v>0.34</v>
      </c>
      <c r="N110" s="1">
        <v>0.28999999999999998</v>
      </c>
    </row>
    <row r="111" spans="1:14" x14ac:dyDescent="0.3">
      <c r="A111" t="s">
        <v>560</v>
      </c>
      <c r="B111" t="s">
        <v>590</v>
      </c>
      <c r="C111" t="s">
        <v>43</v>
      </c>
      <c r="D111" s="1">
        <v>0.2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0.42</v>
      </c>
      <c r="K111" s="1">
        <v>0.42</v>
      </c>
      <c r="L111" s="1">
        <v>0.39</v>
      </c>
      <c r="M111" s="1">
        <v>0.34</v>
      </c>
      <c r="N111" s="1">
        <v>0.28999999999999998</v>
      </c>
    </row>
    <row r="112" spans="1:14" x14ac:dyDescent="0.3">
      <c r="A112" t="s">
        <v>560</v>
      </c>
      <c r="B112" t="s">
        <v>590</v>
      </c>
      <c r="C112" t="s">
        <v>271</v>
      </c>
      <c r="D112" s="1">
        <v>0.1</v>
      </c>
      <c r="E112" t="s">
        <v>593</v>
      </c>
      <c r="F112" s="1">
        <v>0.3</v>
      </c>
      <c r="G112" t="s">
        <v>56</v>
      </c>
      <c r="H112" s="1">
        <v>0.3</v>
      </c>
      <c r="I112" s="1">
        <f>SUMPRODUCT(H112:H115,F112:F115)*D112</f>
        <v>4.5500000000000006E-2</v>
      </c>
      <c r="J112" s="1">
        <v>0.3</v>
      </c>
      <c r="K112" s="1">
        <v>0.3</v>
      </c>
      <c r="L112" s="1">
        <v>0.27</v>
      </c>
      <c r="M112" s="1">
        <v>0.23</v>
      </c>
      <c r="N112" s="1">
        <v>0.19</v>
      </c>
    </row>
    <row r="113" spans="1:14" x14ac:dyDescent="0.3">
      <c r="A113" t="s">
        <v>560</v>
      </c>
      <c r="B113" t="s">
        <v>590</v>
      </c>
      <c r="C113" t="s">
        <v>271</v>
      </c>
      <c r="D113" s="1">
        <v>0.1</v>
      </c>
      <c r="E113" t="s">
        <v>588</v>
      </c>
      <c r="F113" s="1">
        <v>0.25</v>
      </c>
      <c r="G113" t="s">
        <v>20</v>
      </c>
      <c r="H113" s="1">
        <v>0.6</v>
      </c>
      <c r="I113" s="1"/>
      <c r="J113" s="1">
        <v>0.3</v>
      </c>
      <c r="K113" s="1">
        <v>0.3</v>
      </c>
      <c r="L113" s="1">
        <v>0.27</v>
      </c>
      <c r="M113" s="1">
        <v>0.23</v>
      </c>
      <c r="N113" s="1">
        <v>0.19</v>
      </c>
    </row>
    <row r="114" spans="1:14" x14ac:dyDescent="0.3">
      <c r="A114" t="s">
        <v>560</v>
      </c>
      <c r="B114" t="s">
        <v>590</v>
      </c>
      <c r="C114" t="s">
        <v>271</v>
      </c>
      <c r="D114" s="1">
        <v>0.1</v>
      </c>
      <c r="E114" t="s">
        <v>567</v>
      </c>
      <c r="F114" s="1">
        <v>0.25</v>
      </c>
      <c r="G114" t="s">
        <v>30</v>
      </c>
      <c r="H114" s="1">
        <v>0.1</v>
      </c>
      <c r="I114" s="1"/>
      <c r="J114" s="1">
        <v>0.3</v>
      </c>
      <c r="K114" s="1">
        <v>0.3</v>
      </c>
      <c r="L114" s="1">
        <v>0.27</v>
      </c>
      <c r="M114" s="1">
        <v>0.23</v>
      </c>
      <c r="N114" s="1">
        <v>0.19</v>
      </c>
    </row>
    <row r="115" spans="1:14" x14ac:dyDescent="0.3">
      <c r="A115" t="s">
        <v>560</v>
      </c>
      <c r="B115" t="s">
        <v>590</v>
      </c>
      <c r="C115" t="s">
        <v>271</v>
      </c>
      <c r="D115" s="1">
        <v>0.1</v>
      </c>
      <c r="E115" t="s">
        <v>59</v>
      </c>
      <c r="F115" s="1">
        <v>0.2</v>
      </c>
      <c r="G115" t="s">
        <v>24</v>
      </c>
      <c r="H115" s="1">
        <v>0.95</v>
      </c>
      <c r="I115" s="1"/>
      <c r="J115" s="1">
        <v>0.3</v>
      </c>
      <c r="K115" s="1">
        <v>0.3</v>
      </c>
      <c r="L115" s="1">
        <v>0.27</v>
      </c>
      <c r="M115" s="1">
        <v>0.23</v>
      </c>
      <c r="N115" s="1">
        <v>0.19</v>
      </c>
    </row>
    <row r="116" spans="1:14" x14ac:dyDescent="0.3">
      <c r="I116" s="2">
        <f>SUM(I88:I112)</f>
        <v>0.73662500000000009</v>
      </c>
      <c r="J116" s="2">
        <f>+J96*$D96+J100*$D100+J104*$D104+J108*$D108+J112*$D112+$D92*J92+$D88*J88</f>
        <v>0.53400000000000003</v>
      </c>
      <c r="K116" s="2">
        <f t="shared" ref="K116:N116" si="3">+K96*$D96+K100*$D100+K104*$D104+K108*$D108+K112*$D112+$D92*K92+$D88*K88</f>
        <v>0.53400000000000003</v>
      </c>
      <c r="L116" s="2">
        <f t="shared" si="3"/>
        <v>0.4995</v>
      </c>
      <c r="M116" s="2">
        <f t="shared" si="3"/>
        <v>0.44500000000000001</v>
      </c>
      <c r="N116" s="2">
        <f t="shared" si="3"/>
        <v>0.38299999999999995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0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594</v>
      </c>
      <c r="B2" t="s">
        <v>595</v>
      </c>
      <c r="C2" t="s">
        <v>553</v>
      </c>
      <c r="D2" s="1">
        <v>0.2</v>
      </c>
      <c r="E2" t="s">
        <v>596</v>
      </c>
      <c r="F2" s="1">
        <v>0.25</v>
      </c>
      <c r="G2" t="s">
        <v>28</v>
      </c>
      <c r="H2" s="1">
        <v>0.7</v>
      </c>
      <c r="I2" s="1">
        <f>SUMPRODUCT(H2:H5,F2:F5)*D2</f>
        <v>0.10400000000000001</v>
      </c>
      <c r="J2" s="1">
        <v>0.43</v>
      </c>
      <c r="K2" s="1">
        <v>0.43</v>
      </c>
      <c r="L2" s="1">
        <v>0.4</v>
      </c>
      <c r="M2" s="1">
        <v>0.37</v>
      </c>
      <c r="N2" s="1">
        <v>0.36</v>
      </c>
    </row>
    <row r="3" spans="1:14" x14ac:dyDescent="0.3">
      <c r="A3" t="s">
        <v>594</v>
      </c>
      <c r="B3" t="s">
        <v>595</v>
      </c>
      <c r="C3" t="s">
        <v>553</v>
      </c>
      <c r="D3" s="1">
        <v>0.2</v>
      </c>
      <c r="E3" t="s">
        <v>597</v>
      </c>
      <c r="F3" s="1">
        <v>0.35</v>
      </c>
      <c r="G3" t="s">
        <v>30</v>
      </c>
      <c r="H3" s="1">
        <v>0.1</v>
      </c>
      <c r="I3" s="1"/>
      <c r="J3" s="1">
        <v>0.43</v>
      </c>
      <c r="K3" s="1">
        <v>0.43</v>
      </c>
      <c r="L3" s="1">
        <v>0.4</v>
      </c>
      <c r="M3" s="1">
        <v>0.37</v>
      </c>
      <c r="N3" s="1">
        <v>0.36</v>
      </c>
    </row>
    <row r="4" spans="1:14" x14ac:dyDescent="0.3">
      <c r="A4" t="s">
        <v>594</v>
      </c>
      <c r="B4" t="s">
        <v>595</v>
      </c>
      <c r="C4" t="s">
        <v>553</v>
      </c>
      <c r="D4" s="1">
        <v>0.2</v>
      </c>
      <c r="E4" t="s">
        <v>144</v>
      </c>
      <c r="F4" s="1">
        <v>0.2</v>
      </c>
      <c r="G4" t="s">
        <v>20</v>
      </c>
      <c r="H4" s="1">
        <v>0.6</v>
      </c>
      <c r="I4" s="1"/>
      <c r="J4" s="1">
        <v>0.43</v>
      </c>
      <c r="K4" s="1">
        <v>0.43</v>
      </c>
      <c r="L4" s="1">
        <v>0.4</v>
      </c>
      <c r="M4" s="1">
        <v>0.37</v>
      </c>
      <c r="N4" s="1">
        <v>0.36</v>
      </c>
    </row>
    <row r="5" spans="1:14" x14ac:dyDescent="0.3">
      <c r="A5" t="s">
        <v>594</v>
      </c>
      <c r="B5" t="s">
        <v>595</v>
      </c>
      <c r="C5" t="s">
        <v>553</v>
      </c>
      <c r="D5" s="1">
        <v>0.2</v>
      </c>
      <c r="E5" t="s">
        <v>598</v>
      </c>
      <c r="F5" s="1">
        <v>0.2</v>
      </c>
      <c r="G5" t="s">
        <v>24</v>
      </c>
      <c r="H5" s="1">
        <v>0.95</v>
      </c>
      <c r="I5" s="1"/>
      <c r="J5" s="1">
        <v>0.43</v>
      </c>
      <c r="K5" s="1">
        <v>0.43</v>
      </c>
      <c r="L5" s="1">
        <v>0.4</v>
      </c>
      <c r="M5" s="1">
        <v>0.37</v>
      </c>
      <c r="N5" s="1">
        <v>0.36</v>
      </c>
    </row>
    <row r="6" spans="1:14" x14ac:dyDescent="0.3">
      <c r="A6" t="s">
        <v>594</v>
      </c>
      <c r="B6" t="s">
        <v>595</v>
      </c>
      <c r="C6" t="s">
        <v>16</v>
      </c>
      <c r="D6" s="1">
        <v>0.2</v>
      </c>
      <c r="E6" t="s">
        <v>17</v>
      </c>
      <c r="F6" s="1">
        <v>0.3</v>
      </c>
      <c r="G6" t="s">
        <v>18</v>
      </c>
      <c r="H6" s="1">
        <v>0.9</v>
      </c>
      <c r="I6" s="1">
        <f>SUMPRODUCT(H6:H9,F6:F9)*D6</f>
        <v>0.24710000000000001</v>
      </c>
      <c r="J6" s="1">
        <v>0.68</v>
      </c>
      <c r="K6" s="1">
        <v>0.68</v>
      </c>
      <c r="L6" s="1">
        <v>0.65</v>
      </c>
      <c r="M6" s="1">
        <v>0.61</v>
      </c>
      <c r="N6" s="1">
        <v>0.59</v>
      </c>
    </row>
    <row r="7" spans="1:14" x14ac:dyDescent="0.3">
      <c r="A7" t="s">
        <v>594</v>
      </c>
      <c r="B7" t="s">
        <v>595</v>
      </c>
      <c r="C7" t="s">
        <v>16</v>
      </c>
      <c r="D7" s="1">
        <v>0.2</v>
      </c>
      <c r="E7" t="s">
        <v>19</v>
      </c>
      <c r="F7" s="1">
        <v>0.25</v>
      </c>
      <c r="G7" t="s">
        <v>20</v>
      </c>
      <c r="H7" s="1">
        <v>0.6</v>
      </c>
      <c r="I7" s="1"/>
      <c r="J7" s="1">
        <v>0.68</v>
      </c>
      <c r="K7" s="1">
        <v>0.68</v>
      </c>
      <c r="L7" s="1">
        <v>0.65</v>
      </c>
      <c r="M7" s="1">
        <v>0.61</v>
      </c>
      <c r="N7" s="1">
        <v>0.59</v>
      </c>
    </row>
    <row r="8" spans="1:14" x14ac:dyDescent="0.3">
      <c r="A8" t="s">
        <v>594</v>
      </c>
      <c r="B8" t="s">
        <v>595</v>
      </c>
      <c r="C8" t="s">
        <v>599</v>
      </c>
      <c r="D8" s="1">
        <v>0.2</v>
      </c>
      <c r="E8" t="s">
        <v>22</v>
      </c>
      <c r="F8" s="1">
        <v>0.85</v>
      </c>
      <c r="G8" s="1">
        <v>0.83</v>
      </c>
      <c r="H8" s="1">
        <v>0.68</v>
      </c>
      <c r="I8" s="1"/>
      <c r="J8" s="1">
        <v>0.65</v>
      </c>
      <c r="K8" s="1">
        <v>0.61</v>
      </c>
      <c r="L8" s="1">
        <v>0.59</v>
      </c>
    </row>
    <row r="9" spans="1:14" x14ac:dyDescent="0.3">
      <c r="A9" t="s">
        <v>594</v>
      </c>
      <c r="B9" t="s">
        <v>595</v>
      </c>
      <c r="C9" t="s">
        <v>16</v>
      </c>
      <c r="D9" s="1">
        <v>0.2</v>
      </c>
      <c r="E9" t="s">
        <v>23</v>
      </c>
      <c r="F9" s="1">
        <v>0.25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0.65</v>
      </c>
      <c r="M9" s="1">
        <v>0.61</v>
      </c>
      <c r="N9" s="1">
        <v>0.59</v>
      </c>
    </row>
    <row r="10" spans="1:14" x14ac:dyDescent="0.3">
      <c r="A10" t="s">
        <v>594</v>
      </c>
      <c r="B10" t="s">
        <v>595</v>
      </c>
      <c r="C10" t="s">
        <v>25</v>
      </c>
      <c r="D10" s="1">
        <v>0.15</v>
      </c>
      <c r="E10" t="s">
        <v>26</v>
      </c>
      <c r="F10" s="1">
        <v>0.25</v>
      </c>
      <c r="G10" t="s">
        <v>18</v>
      </c>
      <c r="H10" s="1">
        <v>0.9</v>
      </c>
      <c r="I10" s="1">
        <f>SUMPRODUCT(H10:H13,F10:F13)*D10</f>
        <v>9.3000000000000013E-2</v>
      </c>
      <c r="J10" s="1">
        <v>0.48</v>
      </c>
      <c r="K10" s="1">
        <v>0.48</v>
      </c>
      <c r="L10" s="1">
        <v>0.45</v>
      </c>
      <c r="M10" s="1">
        <v>0.41</v>
      </c>
      <c r="N10" s="1">
        <v>0.39</v>
      </c>
    </row>
    <row r="11" spans="1:14" x14ac:dyDescent="0.3">
      <c r="A11" t="s">
        <v>594</v>
      </c>
      <c r="B11" t="s">
        <v>595</v>
      </c>
      <c r="C11" t="s">
        <v>25</v>
      </c>
      <c r="D11" s="1">
        <v>0.15</v>
      </c>
      <c r="E11" t="s">
        <v>600</v>
      </c>
      <c r="F11" s="1">
        <v>0.25</v>
      </c>
      <c r="G11" t="s">
        <v>28</v>
      </c>
      <c r="H11" s="1">
        <v>0.7</v>
      </c>
      <c r="I11" s="1"/>
      <c r="J11" s="1">
        <v>0.48</v>
      </c>
      <c r="K11" s="1">
        <v>0.48</v>
      </c>
      <c r="L11" s="1">
        <v>0.45</v>
      </c>
      <c r="M11" s="1">
        <v>0.41</v>
      </c>
      <c r="N11" s="1">
        <v>0.39</v>
      </c>
    </row>
    <row r="12" spans="1:14" x14ac:dyDescent="0.3">
      <c r="A12" t="s">
        <v>594</v>
      </c>
      <c r="B12" t="s">
        <v>595</v>
      </c>
      <c r="C12" t="s">
        <v>25</v>
      </c>
      <c r="D12" s="1">
        <v>0.15</v>
      </c>
      <c r="E12" t="s">
        <v>29</v>
      </c>
      <c r="F12" s="1">
        <v>0.3</v>
      </c>
      <c r="G12" t="s">
        <v>30</v>
      </c>
      <c r="H12" s="1">
        <v>0.1</v>
      </c>
      <c r="I12" s="1"/>
      <c r="J12" s="1">
        <v>0.48</v>
      </c>
      <c r="K12" s="1">
        <v>0.48</v>
      </c>
      <c r="L12" s="1">
        <v>0.45</v>
      </c>
      <c r="M12" s="1">
        <v>0.41</v>
      </c>
      <c r="N12" s="1">
        <v>0.39</v>
      </c>
    </row>
    <row r="13" spans="1:14" x14ac:dyDescent="0.3">
      <c r="A13" t="s">
        <v>594</v>
      </c>
      <c r="B13" t="s">
        <v>595</v>
      </c>
      <c r="C13" t="s">
        <v>25</v>
      </c>
      <c r="D13" s="1">
        <v>0.15</v>
      </c>
      <c r="E13" t="s">
        <v>31</v>
      </c>
      <c r="F13" s="1">
        <v>0.2</v>
      </c>
      <c r="G13" t="s">
        <v>24</v>
      </c>
      <c r="H13" s="1">
        <v>0.95</v>
      </c>
      <c r="I13" s="1"/>
      <c r="J13" s="1">
        <v>0.48</v>
      </c>
      <c r="K13" s="1">
        <v>0.48</v>
      </c>
      <c r="L13" s="1">
        <v>0.45</v>
      </c>
      <c r="M13" s="1">
        <v>0.41</v>
      </c>
      <c r="N13" s="1">
        <v>0.39</v>
      </c>
    </row>
    <row r="14" spans="1:14" x14ac:dyDescent="0.3">
      <c r="A14" t="s">
        <v>594</v>
      </c>
      <c r="B14" t="s">
        <v>595</v>
      </c>
      <c r="C14" t="s">
        <v>37</v>
      </c>
      <c r="D14" s="1">
        <v>0.15</v>
      </c>
      <c r="E14" t="s">
        <v>601</v>
      </c>
      <c r="F14" s="1">
        <v>0.3</v>
      </c>
      <c r="G14" t="s">
        <v>18</v>
      </c>
      <c r="H14" s="1">
        <v>0.9</v>
      </c>
      <c r="I14" s="1">
        <f>SUMPRODUCT(H14:H17,F14:F17)*D14</f>
        <v>0.1215</v>
      </c>
      <c r="J14" s="1">
        <v>0.69</v>
      </c>
      <c r="K14" s="1">
        <v>0.69</v>
      </c>
      <c r="L14" s="1">
        <v>0.66</v>
      </c>
      <c r="M14" s="1">
        <v>0.62</v>
      </c>
      <c r="N14" s="1">
        <v>0.6</v>
      </c>
    </row>
    <row r="15" spans="1:14" x14ac:dyDescent="0.3">
      <c r="A15" t="s">
        <v>594</v>
      </c>
      <c r="B15" t="s">
        <v>595</v>
      </c>
      <c r="C15" t="s">
        <v>37</v>
      </c>
      <c r="D15" s="1">
        <v>0.15</v>
      </c>
      <c r="E15" t="s">
        <v>602</v>
      </c>
      <c r="F15" s="1">
        <v>0.25</v>
      </c>
      <c r="G15" t="s">
        <v>40</v>
      </c>
      <c r="H15" s="1">
        <v>0.7</v>
      </c>
      <c r="I15" s="1"/>
      <c r="J15" s="1">
        <v>0.69</v>
      </c>
      <c r="K15" s="1">
        <v>0.69</v>
      </c>
      <c r="L15" s="1">
        <v>0.66</v>
      </c>
      <c r="M15" s="1">
        <v>0.62</v>
      </c>
      <c r="N15" s="1">
        <v>0.6</v>
      </c>
    </row>
    <row r="16" spans="1:14" x14ac:dyDescent="0.3">
      <c r="A16" t="s">
        <v>594</v>
      </c>
      <c r="B16" t="s">
        <v>595</v>
      </c>
      <c r="C16" t="s">
        <v>37</v>
      </c>
      <c r="D16" s="1">
        <v>0.15</v>
      </c>
      <c r="E16" t="s">
        <v>41</v>
      </c>
      <c r="F16" s="1">
        <v>0.25</v>
      </c>
      <c r="G16" t="s">
        <v>28</v>
      </c>
      <c r="H16" s="1">
        <v>0.7</v>
      </c>
      <c r="I16" s="1"/>
      <c r="J16" s="1">
        <v>0.69</v>
      </c>
      <c r="K16" s="1">
        <v>0.69</v>
      </c>
      <c r="L16" s="1">
        <v>0.66</v>
      </c>
      <c r="M16" s="1">
        <v>0.62</v>
      </c>
      <c r="N16" s="1">
        <v>0.6</v>
      </c>
    </row>
    <row r="17" spans="1:14" x14ac:dyDescent="0.3">
      <c r="A17" t="s">
        <v>594</v>
      </c>
      <c r="B17" t="s">
        <v>595</v>
      </c>
      <c r="C17" t="s">
        <v>37</v>
      </c>
      <c r="D17" s="1">
        <v>0.15</v>
      </c>
      <c r="E17" t="s">
        <v>42</v>
      </c>
      <c r="F17" s="1">
        <v>0.2</v>
      </c>
      <c r="G17" t="s">
        <v>24</v>
      </c>
      <c r="H17" s="1">
        <v>0.95</v>
      </c>
      <c r="I17" s="1"/>
      <c r="J17" s="1">
        <v>0.69</v>
      </c>
      <c r="K17" s="1">
        <v>0.69</v>
      </c>
      <c r="L17" s="1">
        <v>0.66</v>
      </c>
      <c r="M17" s="1">
        <v>0.62</v>
      </c>
      <c r="N17" s="1">
        <v>0.6</v>
      </c>
    </row>
    <row r="18" spans="1:14" x14ac:dyDescent="0.3">
      <c r="A18" t="s">
        <v>594</v>
      </c>
      <c r="B18" t="s">
        <v>595</v>
      </c>
      <c r="C18" t="s">
        <v>603</v>
      </c>
      <c r="D18" s="1">
        <v>0.2</v>
      </c>
      <c r="E18" t="s">
        <v>500</v>
      </c>
      <c r="F18" s="1">
        <v>0.25</v>
      </c>
      <c r="G18" t="s">
        <v>40</v>
      </c>
      <c r="H18" s="1">
        <v>0.7</v>
      </c>
      <c r="I18" s="1">
        <f>SUMPRODUCT(H18:H21,F18:F21)*D18</f>
        <v>0.11749999999999999</v>
      </c>
      <c r="J18" s="1">
        <v>0.46</v>
      </c>
      <c r="K18" s="1">
        <v>0.46</v>
      </c>
      <c r="L18" s="1">
        <v>0.43</v>
      </c>
      <c r="M18" s="1">
        <v>0.39</v>
      </c>
      <c r="N18" s="1">
        <v>0.36</v>
      </c>
    </row>
    <row r="19" spans="1:14" x14ac:dyDescent="0.3">
      <c r="A19" t="s">
        <v>594</v>
      </c>
      <c r="B19" t="s">
        <v>595</v>
      </c>
      <c r="C19" t="s">
        <v>603</v>
      </c>
      <c r="D19" s="1">
        <v>0.2</v>
      </c>
      <c r="E19" t="s">
        <v>195</v>
      </c>
      <c r="F19" s="1">
        <v>0.25</v>
      </c>
      <c r="G19" t="s">
        <v>20</v>
      </c>
      <c r="H19" s="1">
        <v>0.6</v>
      </c>
      <c r="I19" s="1"/>
      <c r="J19" s="1">
        <v>0.46</v>
      </c>
      <c r="K19" s="1">
        <v>0.46</v>
      </c>
      <c r="L19" s="1">
        <v>0.43</v>
      </c>
      <c r="M19" s="1">
        <v>0.39</v>
      </c>
      <c r="N19" s="1">
        <v>0.36</v>
      </c>
    </row>
    <row r="20" spans="1:14" x14ac:dyDescent="0.3">
      <c r="A20" t="s">
        <v>594</v>
      </c>
      <c r="B20" t="s">
        <v>595</v>
      </c>
      <c r="C20" t="s">
        <v>603</v>
      </c>
      <c r="D20" s="1">
        <v>0.2</v>
      </c>
      <c r="E20" t="s">
        <v>210</v>
      </c>
      <c r="F20" s="1">
        <v>0.25</v>
      </c>
      <c r="G20" t="s">
        <v>30</v>
      </c>
      <c r="H20" s="1">
        <v>0.1</v>
      </c>
      <c r="I20" s="1"/>
      <c r="J20" s="1">
        <v>0.46</v>
      </c>
      <c r="K20" s="1">
        <v>0.46</v>
      </c>
      <c r="L20" s="1">
        <v>0.43</v>
      </c>
      <c r="M20" s="1">
        <v>0.39</v>
      </c>
      <c r="N20" s="1">
        <v>0.36</v>
      </c>
    </row>
    <row r="21" spans="1:14" x14ac:dyDescent="0.3">
      <c r="A21" t="s">
        <v>594</v>
      </c>
      <c r="B21" t="s">
        <v>595</v>
      </c>
      <c r="C21" t="s">
        <v>603</v>
      </c>
      <c r="D21" s="1">
        <v>0.2</v>
      </c>
      <c r="E21" t="s">
        <v>604</v>
      </c>
      <c r="F21" s="1">
        <v>0.25</v>
      </c>
      <c r="G21" t="s">
        <v>24</v>
      </c>
      <c r="H21" s="1">
        <v>0.95</v>
      </c>
      <c r="I21" s="1"/>
      <c r="J21" s="1">
        <v>0.46</v>
      </c>
      <c r="K21" s="1">
        <v>0.46</v>
      </c>
      <c r="L21" s="1">
        <v>0.43</v>
      </c>
      <c r="M21" s="1">
        <v>0.39</v>
      </c>
      <c r="N21" s="1">
        <v>0.36</v>
      </c>
    </row>
    <row r="22" spans="1:14" x14ac:dyDescent="0.3">
      <c r="A22" t="s">
        <v>594</v>
      </c>
      <c r="B22" t="s">
        <v>595</v>
      </c>
      <c r="C22" t="s">
        <v>271</v>
      </c>
      <c r="D22" s="1">
        <v>0.1</v>
      </c>
      <c r="E22" t="s">
        <v>605</v>
      </c>
      <c r="F22" s="1">
        <v>0.3</v>
      </c>
      <c r="G22" t="s">
        <v>56</v>
      </c>
      <c r="H22" s="1">
        <v>0.3</v>
      </c>
      <c r="I22" s="1">
        <f>SUMPRODUCT(H22:H25,F22:F25)*D22</f>
        <v>4.5500000000000006E-2</v>
      </c>
      <c r="J22" s="1">
        <v>0.36</v>
      </c>
      <c r="K22" s="1">
        <v>0.36</v>
      </c>
      <c r="L22" s="1">
        <v>0.33</v>
      </c>
      <c r="M22" s="1">
        <v>0.3</v>
      </c>
      <c r="N22" s="1">
        <v>0.28999999999999998</v>
      </c>
    </row>
    <row r="23" spans="1:14" x14ac:dyDescent="0.3">
      <c r="A23" t="s">
        <v>594</v>
      </c>
      <c r="B23" t="s">
        <v>595</v>
      </c>
      <c r="C23" t="s">
        <v>271</v>
      </c>
      <c r="D23" s="1">
        <v>0.1</v>
      </c>
      <c r="E23" t="s">
        <v>606</v>
      </c>
      <c r="F23" s="1">
        <v>0.25</v>
      </c>
      <c r="G23" t="s">
        <v>20</v>
      </c>
      <c r="H23" s="1">
        <v>0.6</v>
      </c>
      <c r="I23" s="1"/>
      <c r="J23" s="1">
        <v>0.36</v>
      </c>
      <c r="K23" s="1">
        <v>0.36</v>
      </c>
      <c r="L23" s="1">
        <v>0.33</v>
      </c>
      <c r="M23" s="1">
        <v>0.3</v>
      </c>
      <c r="N23" s="1">
        <v>0.28999999999999998</v>
      </c>
    </row>
    <row r="24" spans="1:14" x14ac:dyDescent="0.3">
      <c r="A24" t="s">
        <v>594</v>
      </c>
      <c r="B24" t="s">
        <v>595</v>
      </c>
      <c r="C24" t="s">
        <v>271</v>
      </c>
      <c r="D24" s="1">
        <v>0.1</v>
      </c>
      <c r="E24" t="s">
        <v>514</v>
      </c>
      <c r="F24" s="1">
        <v>0.25</v>
      </c>
      <c r="G24" t="s">
        <v>30</v>
      </c>
      <c r="H24" s="1">
        <v>0.1</v>
      </c>
      <c r="I24" s="1"/>
      <c r="J24" s="1">
        <v>0.36</v>
      </c>
      <c r="K24" s="1">
        <v>0.36</v>
      </c>
      <c r="L24" s="1">
        <v>0.33</v>
      </c>
      <c r="M24" s="1">
        <v>0.3</v>
      </c>
      <c r="N24" s="1">
        <v>0.28999999999999998</v>
      </c>
    </row>
    <row r="25" spans="1:14" x14ac:dyDescent="0.3">
      <c r="A25" t="s">
        <v>594</v>
      </c>
      <c r="B25" t="s">
        <v>595</v>
      </c>
      <c r="C25" t="s">
        <v>271</v>
      </c>
      <c r="D25" s="1">
        <v>0.1</v>
      </c>
      <c r="E25" t="s">
        <v>59</v>
      </c>
      <c r="F25" s="1">
        <v>0.2</v>
      </c>
      <c r="G25" t="s">
        <v>24</v>
      </c>
      <c r="H25" s="1">
        <v>0.95</v>
      </c>
      <c r="I25" s="1"/>
      <c r="J25" s="1">
        <v>0.36</v>
      </c>
      <c r="K25" s="1">
        <v>0.36</v>
      </c>
      <c r="L25" s="1">
        <v>0.33</v>
      </c>
      <c r="M25" s="1">
        <v>0.3</v>
      </c>
      <c r="N25" s="1">
        <v>0.28999999999999998</v>
      </c>
    </row>
    <row r="26" spans="1:14" x14ac:dyDescent="0.3">
      <c r="A26" t="s">
        <v>594</v>
      </c>
      <c r="B26" t="s">
        <v>595</v>
      </c>
      <c r="C26" t="s">
        <v>607</v>
      </c>
      <c r="D26" s="1">
        <v>0.15</v>
      </c>
      <c r="E26" t="s">
        <v>608</v>
      </c>
      <c r="F26" s="1">
        <v>0.25</v>
      </c>
      <c r="G26" t="s">
        <v>18</v>
      </c>
      <c r="H26" s="1">
        <v>0.9</v>
      </c>
      <c r="I26" s="1">
        <f>SUMPRODUCT(H26:H29,F26:F29)*D26</f>
        <v>8.9249999999999996E-2</v>
      </c>
      <c r="J26" s="1">
        <v>0.48</v>
      </c>
      <c r="K26" s="1">
        <v>0.48</v>
      </c>
      <c r="L26" s="1">
        <v>0.45</v>
      </c>
      <c r="M26" s="1">
        <v>0.41</v>
      </c>
      <c r="N26" s="1">
        <v>0.39</v>
      </c>
    </row>
    <row r="27" spans="1:14" x14ac:dyDescent="0.3">
      <c r="A27" t="s">
        <v>594</v>
      </c>
      <c r="B27" t="s">
        <v>595</v>
      </c>
      <c r="C27" t="s">
        <v>607</v>
      </c>
      <c r="D27" s="1">
        <v>0.15</v>
      </c>
      <c r="E27" t="s">
        <v>609</v>
      </c>
      <c r="F27" s="1">
        <v>0.25</v>
      </c>
      <c r="G27" t="s">
        <v>20</v>
      </c>
      <c r="H27" s="1">
        <v>0.6</v>
      </c>
      <c r="I27" s="1"/>
      <c r="J27" s="1">
        <v>0.48</v>
      </c>
      <c r="K27" s="1">
        <v>0.48</v>
      </c>
      <c r="L27" s="1">
        <v>0.45</v>
      </c>
      <c r="M27" s="1">
        <v>0.41</v>
      </c>
      <c r="N27" s="1">
        <v>0.39</v>
      </c>
    </row>
    <row r="28" spans="1:14" x14ac:dyDescent="0.3">
      <c r="A28" t="s">
        <v>594</v>
      </c>
      <c r="B28" t="s">
        <v>595</v>
      </c>
      <c r="C28" t="s">
        <v>607</v>
      </c>
      <c r="D28" s="1">
        <v>0.15</v>
      </c>
      <c r="E28" t="s">
        <v>610</v>
      </c>
      <c r="F28" s="1">
        <v>0.3</v>
      </c>
      <c r="G28" t="s">
        <v>30</v>
      </c>
      <c r="H28" s="1">
        <v>0.1</v>
      </c>
      <c r="I28" s="1"/>
      <c r="J28" s="1">
        <v>0.48</v>
      </c>
      <c r="K28" s="1">
        <v>0.48</v>
      </c>
      <c r="L28" s="1">
        <v>0.45</v>
      </c>
      <c r="M28" s="1">
        <v>0.41</v>
      </c>
      <c r="N28" s="1">
        <v>0.39</v>
      </c>
    </row>
    <row r="29" spans="1:14" x14ac:dyDescent="0.3">
      <c r="A29" t="s">
        <v>594</v>
      </c>
      <c r="B29" t="s">
        <v>595</v>
      </c>
      <c r="C29" t="s">
        <v>607</v>
      </c>
      <c r="D29" s="1">
        <v>0.15</v>
      </c>
      <c r="E29" t="s">
        <v>116</v>
      </c>
      <c r="F29" s="1">
        <v>0.2</v>
      </c>
      <c r="G29" t="s">
        <v>24</v>
      </c>
      <c r="H29" s="1">
        <v>0.95</v>
      </c>
      <c r="I29" s="1"/>
      <c r="J29" s="1">
        <v>0.48</v>
      </c>
      <c r="K29" s="1">
        <v>0.48</v>
      </c>
      <c r="L29" s="1">
        <v>0.45</v>
      </c>
      <c r="M29" s="1">
        <v>0.41</v>
      </c>
      <c r="N29" s="1">
        <v>0.39</v>
      </c>
    </row>
    <row r="30" spans="1:14" x14ac:dyDescent="0.3">
      <c r="D30" s="1"/>
      <c r="F30" s="1"/>
      <c r="H30" s="1"/>
      <c r="I30" s="2">
        <f>SUM(I2:I26)</f>
        <v>0.81784999999999997</v>
      </c>
      <c r="J30" s="2">
        <f>+J10*$D10+J14*$D14+J18*$D18+J22*$D22+J26*$D26+$D6*J6+$D2*J2</f>
        <v>0.59750000000000003</v>
      </c>
      <c r="K30" s="2">
        <f t="shared" ref="K30:N30" si="0">+K10*$D10+K14*$D14+K18*$D18+K22*$D22+K26*$D26+$D6*K6+$D2*K2</f>
        <v>0.59750000000000003</v>
      </c>
      <c r="L30" s="2">
        <f t="shared" si="0"/>
        <v>0.56299999999999994</v>
      </c>
      <c r="M30" s="2">
        <f t="shared" si="0"/>
        <v>0.52</v>
      </c>
      <c r="N30" s="2">
        <f t="shared" si="0"/>
        <v>0.49799999999999994</v>
      </c>
    </row>
    <row r="31" spans="1:14" x14ac:dyDescent="0.3">
      <c r="D31" s="1"/>
      <c r="F31" s="1"/>
      <c r="H31" s="1"/>
      <c r="I31" s="1"/>
      <c r="J31" s="1"/>
      <c r="K31" s="1"/>
      <c r="L31" s="1"/>
      <c r="M31" s="1"/>
      <c r="N31" s="1"/>
    </row>
    <row r="32" spans="1:14" x14ac:dyDescent="0.3">
      <c r="A32" t="s">
        <v>594</v>
      </c>
      <c r="B32" t="s">
        <v>611</v>
      </c>
      <c r="C32" t="s">
        <v>141</v>
      </c>
      <c r="D32" s="1">
        <v>0.25</v>
      </c>
      <c r="E32" t="s">
        <v>251</v>
      </c>
      <c r="F32" s="1">
        <v>0.25</v>
      </c>
      <c r="G32" t="s">
        <v>28</v>
      </c>
      <c r="H32" s="1">
        <v>0.7</v>
      </c>
      <c r="I32" s="1">
        <f>SUMPRODUCT(H32:H35,F32:F35)*D32</f>
        <v>0.13</v>
      </c>
      <c r="J32" s="1">
        <v>0.42</v>
      </c>
      <c r="K32" s="1">
        <v>0.42</v>
      </c>
      <c r="L32" s="1">
        <v>0.39</v>
      </c>
      <c r="M32" s="1">
        <v>0.35</v>
      </c>
      <c r="N32" s="1">
        <v>0.31</v>
      </c>
    </row>
    <row r="33" spans="1:14" x14ac:dyDescent="0.3">
      <c r="A33" t="s">
        <v>594</v>
      </c>
      <c r="B33" t="s">
        <v>611</v>
      </c>
      <c r="C33" t="s">
        <v>141</v>
      </c>
      <c r="D33" s="1">
        <v>0.25</v>
      </c>
      <c r="E33" t="s">
        <v>239</v>
      </c>
      <c r="F33" s="1">
        <v>0.35</v>
      </c>
      <c r="G33" t="s">
        <v>30</v>
      </c>
      <c r="H33" s="1">
        <v>0.1</v>
      </c>
      <c r="I33" s="1"/>
      <c r="J33" s="1">
        <v>0.42</v>
      </c>
      <c r="K33" s="1">
        <v>0.42</v>
      </c>
      <c r="L33" s="1">
        <v>0.39</v>
      </c>
      <c r="M33" s="1">
        <v>0.35</v>
      </c>
      <c r="N33" s="1">
        <v>0.31</v>
      </c>
    </row>
    <row r="34" spans="1:14" x14ac:dyDescent="0.3">
      <c r="A34" t="s">
        <v>594</v>
      </c>
      <c r="B34" t="s">
        <v>611</v>
      </c>
      <c r="C34" t="s">
        <v>141</v>
      </c>
      <c r="D34" s="1">
        <v>0.25</v>
      </c>
      <c r="E34" t="s">
        <v>144</v>
      </c>
      <c r="F34" s="1">
        <v>0.2</v>
      </c>
      <c r="G34" t="s">
        <v>20</v>
      </c>
      <c r="H34" s="1">
        <v>0.6</v>
      </c>
      <c r="I34" s="1"/>
      <c r="J34" s="1">
        <v>0.42</v>
      </c>
      <c r="K34" s="1">
        <v>0.42</v>
      </c>
      <c r="L34" s="1">
        <v>0.39</v>
      </c>
      <c r="M34" s="1">
        <v>0.35</v>
      </c>
      <c r="N34" s="1">
        <v>0.31</v>
      </c>
    </row>
    <row r="35" spans="1:14" x14ac:dyDescent="0.3">
      <c r="A35" t="s">
        <v>594</v>
      </c>
      <c r="B35" t="s">
        <v>611</v>
      </c>
      <c r="C35" t="s">
        <v>141</v>
      </c>
      <c r="D35" s="1">
        <v>0.25</v>
      </c>
      <c r="E35" t="s">
        <v>108</v>
      </c>
      <c r="F35" s="1">
        <v>0.2</v>
      </c>
      <c r="G35" t="s">
        <v>24</v>
      </c>
      <c r="H35" s="1">
        <v>0.95</v>
      </c>
      <c r="I35" s="1"/>
      <c r="J35" s="1">
        <v>0.42</v>
      </c>
      <c r="K35" s="1">
        <v>0.42</v>
      </c>
      <c r="L35" s="1">
        <v>0.39</v>
      </c>
      <c r="M35" s="1">
        <v>0.35</v>
      </c>
      <c r="N35" s="1">
        <v>0.31</v>
      </c>
    </row>
    <row r="36" spans="1:14" x14ac:dyDescent="0.3">
      <c r="A36" t="s">
        <v>594</v>
      </c>
      <c r="B36" t="s">
        <v>611</v>
      </c>
      <c r="C36" t="s">
        <v>16</v>
      </c>
      <c r="D36" s="1">
        <v>0.2</v>
      </c>
      <c r="E36" t="s">
        <v>17</v>
      </c>
      <c r="F36" s="1">
        <v>0.3</v>
      </c>
      <c r="G36" t="s">
        <v>18</v>
      </c>
      <c r="H36" s="1">
        <v>0.9</v>
      </c>
      <c r="I36" s="1">
        <f>SUMPRODUCT(H36:H39,F36:F39)*D36</f>
        <v>0.24540000000000003</v>
      </c>
      <c r="J36" s="1">
        <v>0.67</v>
      </c>
      <c r="K36" s="1">
        <v>0.67</v>
      </c>
      <c r="L36" s="1">
        <v>0.64</v>
      </c>
      <c r="M36" s="1">
        <v>0.59</v>
      </c>
      <c r="N36" s="1">
        <v>0.55000000000000004</v>
      </c>
    </row>
    <row r="37" spans="1:14" x14ac:dyDescent="0.3">
      <c r="A37" t="s">
        <v>594</v>
      </c>
      <c r="B37" t="s">
        <v>611</v>
      </c>
      <c r="C37" t="s">
        <v>16</v>
      </c>
      <c r="D37" s="1">
        <v>0.2</v>
      </c>
      <c r="E37" t="s">
        <v>19</v>
      </c>
      <c r="F37" s="1">
        <v>0.25</v>
      </c>
      <c r="G37" t="s">
        <v>20</v>
      </c>
      <c r="H37" s="1">
        <v>0.6</v>
      </c>
      <c r="I37" s="1"/>
      <c r="J37" s="1">
        <v>0.67</v>
      </c>
      <c r="K37" s="1">
        <v>0.67</v>
      </c>
      <c r="L37" s="1">
        <v>0.64</v>
      </c>
      <c r="M37" s="1">
        <v>0.59</v>
      </c>
      <c r="N37" s="1">
        <v>0.55000000000000004</v>
      </c>
    </row>
    <row r="38" spans="1:14" x14ac:dyDescent="0.3">
      <c r="A38" t="s">
        <v>594</v>
      </c>
      <c r="B38" t="s">
        <v>611</v>
      </c>
      <c r="C38" t="s">
        <v>612</v>
      </c>
      <c r="D38" s="1">
        <v>0.2</v>
      </c>
      <c r="E38" t="s">
        <v>22</v>
      </c>
      <c r="F38" s="1">
        <v>0.85</v>
      </c>
      <c r="G38" s="1">
        <v>0.83</v>
      </c>
      <c r="H38" s="1">
        <v>0.67</v>
      </c>
      <c r="I38" s="1"/>
      <c r="J38" s="1">
        <v>0.64</v>
      </c>
      <c r="K38" s="1">
        <v>0.59</v>
      </c>
      <c r="L38" s="1">
        <v>0.55000000000000004</v>
      </c>
    </row>
    <row r="39" spans="1:14" x14ac:dyDescent="0.3">
      <c r="A39" t="s">
        <v>594</v>
      </c>
      <c r="B39" t="s">
        <v>611</v>
      </c>
      <c r="C39" t="s">
        <v>16</v>
      </c>
      <c r="D39" s="1">
        <v>0.2</v>
      </c>
      <c r="E39" t="s">
        <v>23</v>
      </c>
      <c r="F39" s="1">
        <v>0.25</v>
      </c>
      <c r="G39" t="s">
        <v>24</v>
      </c>
      <c r="H39" s="1">
        <v>0.95</v>
      </c>
      <c r="I39" s="1"/>
      <c r="J39" s="1">
        <v>0.67</v>
      </c>
      <c r="K39" s="1">
        <v>0.67</v>
      </c>
      <c r="L39" s="1">
        <v>0.64</v>
      </c>
      <c r="M39" s="1">
        <v>0.59</v>
      </c>
      <c r="N39" s="1">
        <v>0.55000000000000004</v>
      </c>
    </row>
    <row r="40" spans="1:14" x14ac:dyDescent="0.3">
      <c r="A40" t="s">
        <v>594</v>
      </c>
      <c r="B40" t="s">
        <v>611</v>
      </c>
      <c r="C40" t="s">
        <v>25</v>
      </c>
      <c r="D40" s="1">
        <v>0.15</v>
      </c>
      <c r="E40" t="s">
        <v>26</v>
      </c>
      <c r="F40" s="1">
        <v>0.25</v>
      </c>
      <c r="G40" t="s">
        <v>18</v>
      </c>
      <c r="H40" s="1">
        <v>0.9</v>
      </c>
      <c r="I40" s="1">
        <f>SUMPRODUCT(H40:H43,F40:F43)*D40</f>
        <v>9.3000000000000013E-2</v>
      </c>
      <c r="J40" s="1">
        <v>0.47</v>
      </c>
      <c r="K40" s="1">
        <v>0.47</v>
      </c>
      <c r="L40" s="1">
        <v>0.44</v>
      </c>
      <c r="M40" s="1">
        <v>0.39</v>
      </c>
      <c r="N40" s="1">
        <v>0.35</v>
      </c>
    </row>
    <row r="41" spans="1:14" x14ac:dyDescent="0.3">
      <c r="A41" t="s">
        <v>594</v>
      </c>
      <c r="B41" t="s">
        <v>611</v>
      </c>
      <c r="C41" t="s">
        <v>25</v>
      </c>
      <c r="D41" s="1">
        <v>0.15</v>
      </c>
      <c r="E41" t="s">
        <v>27</v>
      </c>
      <c r="F41" s="1">
        <v>0.25</v>
      </c>
      <c r="G41" t="s">
        <v>28</v>
      </c>
      <c r="H41" s="1">
        <v>0.7</v>
      </c>
      <c r="I41" s="1"/>
      <c r="J41" s="1">
        <v>0.47</v>
      </c>
      <c r="K41" s="1">
        <v>0.47</v>
      </c>
      <c r="L41" s="1">
        <v>0.44</v>
      </c>
      <c r="M41" s="1">
        <v>0.39</v>
      </c>
      <c r="N41" s="1">
        <v>0.35</v>
      </c>
    </row>
    <row r="42" spans="1:14" x14ac:dyDescent="0.3">
      <c r="A42" t="s">
        <v>594</v>
      </c>
      <c r="B42" t="s">
        <v>611</v>
      </c>
      <c r="C42" t="s">
        <v>25</v>
      </c>
      <c r="D42" s="1">
        <v>0.15</v>
      </c>
      <c r="E42" t="s">
        <v>29</v>
      </c>
      <c r="F42" s="1">
        <v>0.3</v>
      </c>
      <c r="G42" t="s">
        <v>30</v>
      </c>
      <c r="H42" s="1">
        <v>0.1</v>
      </c>
      <c r="I42" s="1"/>
      <c r="J42" s="1">
        <v>0.47</v>
      </c>
      <c r="K42" s="1">
        <v>0.47</v>
      </c>
      <c r="L42" s="1">
        <v>0.44</v>
      </c>
      <c r="M42" s="1">
        <v>0.39</v>
      </c>
      <c r="N42" s="1">
        <v>0.35</v>
      </c>
    </row>
    <row r="43" spans="1:14" x14ac:dyDescent="0.3">
      <c r="A43" t="s">
        <v>594</v>
      </c>
      <c r="B43" t="s">
        <v>611</v>
      </c>
      <c r="C43" t="s">
        <v>25</v>
      </c>
      <c r="D43" s="1">
        <v>0.15</v>
      </c>
      <c r="E43" t="s">
        <v>31</v>
      </c>
      <c r="F43" s="1">
        <v>0.2</v>
      </c>
      <c r="G43" t="s">
        <v>24</v>
      </c>
      <c r="H43" s="1">
        <v>0.95</v>
      </c>
      <c r="I43" s="1"/>
      <c r="J43" s="1">
        <v>0.47</v>
      </c>
      <c r="K43" s="1">
        <v>0.47</v>
      </c>
      <c r="L43" s="1">
        <v>0.44</v>
      </c>
      <c r="M43" s="1">
        <v>0.39</v>
      </c>
      <c r="N43" s="1">
        <v>0.35</v>
      </c>
    </row>
    <row r="44" spans="1:14" x14ac:dyDescent="0.3">
      <c r="A44" t="s">
        <v>594</v>
      </c>
      <c r="B44" t="s">
        <v>611</v>
      </c>
      <c r="C44" t="s">
        <v>37</v>
      </c>
      <c r="D44" s="1">
        <v>0.15</v>
      </c>
      <c r="E44" t="s">
        <v>38</v>
      </c>
      <c r="F44" s="1">
        <v>0.3</v>
      </c>
      <c r="G44" t="s">
        <v>18</v>
      </c>
      <c r="H44" s="1">
        <v>0.9</v>
      </c>
      <c r="I44" s="1">
        <f>SUMPRODUCT(H44:H47,F44:F47)*D44</f>
        <v>0.1215</v>
      </c>
      <c r="J44" s="1">
        <v>0.67</v>
      </c>
      <c r="K44" s="1">
        <v>0.67</v>
      </c>
      <c r="L44" s="1">
        <v>0.64</v>
      </c>
      <c r="M44" s="1">
        <v>0.59</v>
      </c>
      <c r="N44" s="1">
        <v>0.55000000000000004</v>
      </c>
    </row>
    <row r="45" spans="1:14" x14ac:dyDescent="0.3">
      <c r="A45" t="s">
        <v>594</v>
      </c>
      <c r="B45" t="s">
        <v>611</v>
      </c>
      <c r="C45" t="s">
        <v>37</v>
      </c>
      <c r="D45" s="1">
        <v>0.15</v>
      </c>
      <c r="E45" t="s">
        <v>39</v>
      </c>
      <c r="F45" s="1">
        <v>0.25</v>
      </c>
      <c r="G45" t="s">
        <v>40</v>
      </c>
      <c r="H45" s="1">
        <v>0.7</v>
      </c>
      <c r="I45" s="1"/>
      <c r="J45" s="1">
        <v>0.67</v>
      </c>
      <c r="K45" s="1">
        <v>0.67</v>
      </c>
      <c r="L45" s="1">
        <v>0.64</v>
      </c>
      <c r="M45" s="1">
        <v>0.59</v>
      </c>
      <c r="N45" s="1">
        <v>0.55000000000000004</v>
      </c>
    </row>
    <row r="46" spans="1:14" x14ac:dyDescent="0.3">
      <c r="A46" t="s">
        <v>594</v>
      </c>
      <c r="B46" t="s">
        <v>611</v>
      </c>
      <c r="C46" t="s">
        <v>37</v>
      </c>
      <c r="D46" s="1">
        <v>0.15</v>
      </c>
      <c r="E46" t="s">
        <v>41</v>
      </c>
      <c r="F46" s="1">
        <v>0.25</v>
      </c>
      <c r="G46" t="s">
        <v>28</v>
      </c>
      <c r="H46" s="1">
        <v>0.7</v>
      </c>
      <c r="I46" s="1"/>
      <c r="J46" s="1">
        <v>0.67</v>
      </c>
      <c r="K46" s="1">
        <v>0.67</v>
      </c>
      <c r="L46" s="1">
        <v>0.64</v>
      </c>
      <c r="M46" s="1">
        <v>0.59</v>
      </c>
      <c r="N46" s="1">
        <v>0.55000000000000004</v>
      </c>
    </row>
    <row r="47" spans="1:14" x14ac:dyDescent="0.3">
      <c r="A47" t="s">
        <v>594</v>
      </c>
      <c r="B47" t="s">
        <v>611</v>
      </c>
      <c r="C47" t="s">
        <v>37</v>
      </c>
      <c r="D47" s="1">
        <v>0.15</v>
      </c>
      <c r="E47" t="s">
        <v>42</v>
      </c>
      <c r="F47" s="1">
        <v>0.2</v>
      </c>
      <c r="G47" t="s">
        <v>24</v>
      </c>
      <c r="H47" s="1">
        <v>0.95</v>
      </c>
      <c r="I47" s="1"/>
      <c r="J47" s="1">
        <v>0.67</v>
      </c>
      <c r="K47" s="1">
        <v>0.67</v>
      </c>
      <c r="L47" s="1">
        <v>0.64</v>
      </c>
      <c r="M47" s="1">
        <v>0.59</v>
      </c>
      <c r="N47" s="1">
        <v>0.55000000000000004</v>
      </c>
    </row>
    <row r="48" spans="1:14" x14ac:dyDescent="0.3">
      <c r="A48" t="s">
        <v>594</v>
      </c>
      <c r="B48" t="s">
        <v>611</v>
      </c>
      <c r="C48" t="s">
        <v>93</v>
      </c>
      <c r="D48" s="1">
        <v>0.15</v>
      </c>
      <c r="E48" t="s">
        <v>123</v>
      </c>
      <c r="F48" s="1">
        <v>0.25</v>
      </c>
      <c r="G48" t="s">
        <v>40</v>
      </c>
      <c r="H48" s="1">
        <v>0.7</v>
      </c>
      <c r="I48" s="1">
        <f>SUMPRODUCT(H48:H51,F48:F51)*D48</f>
        <v>8.8124999999999981E-2</v>
      </c>
      <c r="J48" s="1">
        <v>0.44</v>
      </c>
      <c r="K48" s="1">
        <v>0.44</v>
      </c>
      <c r="L48" s="1">
        <v>0.41</v>
      </c>
      <c r="M48" s="1">
        <v>0.36</v>
      </c>
      <c r="N48" s="1">
        <v>0.32</v>
      </c>
    </row>
    <row r="49" spans="1:14" x14ac:dyDescent="0.3">
      <c r="A49" t="s">
        <v>594</v>
      </c>
      <c r="B49" t="s">
        <v>611</v>
      </c>
      <c r="C49" t="s">
        <v>93</v>
      </c>
      <c r="D49" s="1">
        <v>0.15</v>
      </c>
      <c r="E49" t="s">
        <v>249</v>
      </c>
      <c r="F49" s="1">
        <v>0.25</v>
      </c>
      <c r="G49" t="s">
        <v>20</v>
      </c>
      <c r="H49" s="1">
        <v>0.6</v>
      </c>
      <c r="I49" s="1"/>
      <c r="J49" s="1">
        <v>0.44</v>
      </c>
      <c r="K49" s="1">
        <v>0.44</v>
      </c>
      <c r="L49" s="1">
        <v>0.41</v>
      </c>
      <c r="M49" s="1">
        <v>0.36</v>
      </c>
      <c r="N49" s="1">
        <v>0.32</v>
      </c>
    </row>
    <row r="50" spans="1:14" x14ac:dyDescent="0.3">
      <c r="A50" t="s">
        <v>594</v>
      </c>
      <c r="B50" t="s">
        <v>611</v>
      </c>
      <c r="C50" t="s">
        <v>93</v>
      </c>
      <c r="D50" s="1">
        <v>0.15</v>
      </c>
      <c r="E50" t="s">
        <v>210</v>
      </c>
      <c r="F50" s="1">
        <v>0.25</v>
      </c>
      <c r="G50" t="s">
        <v>30</v>
      </c>
      <c r="H50" s="1">
        <v>0.1</v>
      </c>
      <c r="I50" s="1"/>
      <c r="J50" s="1">
        <v>0.44</v>
      </c>
      <c r="K50" s="1">
        <v>0.44</v>
      </c>
      <c r="L50" s="1">
        <v>0.41</v>
      </c>
      <c r="M50" s="1">
        <v>0.36</v>
      </c>
      <c r="N50" s="1">
        <v>0.32</v>
      </c>
    </row>
    <row r="51" spans="1:14" x14ac:dyDescent="0.3">
      <c r="A51" t="s">
        <v>594</v>
      </c>
      <c r="B51" t="s">
        <v>611</v>
      </c>
      <c r="C51" t="s">
        <v>93</v>
      </c>
      <c r="D51" s="1">
        <v>0.15</v>
      </c>
      <c r="E51" t="s">
        <v>53</v>
      </c>
      <c r="F51" s="1">
        <v>0.25</v>
      </c>
      <c r="G51" t="s">
        <v>24</v>
      </c>
      <c r="H51" s="1">
        <v>0.95</v>
      </c>
      <c r="I51" s="1"/>
      <c r="J51" s="1">
        <v>0.44</v>
      </c>
      <c r="K51" s="1">
        <v>0.44</v>
      </c>
      <c r="L51" s="1">
        <v>0.41</v>
      </c>
      <c r="M51" s="1">
        <v>0.36</v>
      </c>
      <c r="N51" s="1">
        <v>0.32</v>
      </c>
    </row>
    <row r="52" spans="1:14" x14ac:dyDescent="0.3">
      <c r="A52" t="s">
        <v>594</v>
      </c>
      <c r="B52" t="s">
        <v>611</v>
      </c>
      <c r="C52" t="s">
        <v>43</v>
      </c>
      <c r="D52" s="1">
        <v>0.15</v>
      </c>
      <c r="E52" t="s">
        <v>308</v>
      </c>
      <c r="F52" s="1">
        <v>0.25</v>
      </c>
      <c r="G52" t="s">
        <v>18</v>
      </c>
      <c r="H52" s="1">
        <v>0.9</v>
      </c>
      <c r="I52" s="1">
        <f>SUMPRODUCT(H52:H55,F52:F55)*D52</f>
        <v>8.9249999999999996E-2</v>
      </c>
      <c r="J52" s="1">
        <v>0.47</v>
      </c>
      <c r="K52" s="1">
        <v>0.47</v>
      </c>
      <c r="L52" s="1">
        <v>0.44</v>
      </c>
      <c r="M52" s="1">
        <v>0.39</v>
      </c>
      <c r="N52" s="1">
        <v>0.35</v>
      </c>
    </row>
    <row r="53" spans="1:14" x14ac:dyDescent="0.3">
      <c r="A53" t="s">
        <v>594</v>
      </c>
      <c r="B53" t="s">
        <v>611</v>
      </c>
      <c r="C53" t="s">
        <v>43</v>
      </c>
      <c r="D53" s="1">
        <v>0.15</v>
      </c>
      <c r="E53" t="s">
        <v>309</v>
      </c>
      <c r="F53" s="1">
        <v>0.25</v>
      </c>
      <c r="G53" t="s">
        <v>20</v>
      </c>
      <c r="H53" s="1">
        <v>0.6</v>
      </c>
      <c r="I53" s="1"/>
      <c r="J53" s="1">
        <v>0.47</v>
      </c>
      <c r="K53" s="1">
        <v>0.47</v>
      </c>
      <c r="L53" s="1">
        <v>0.44</v>
      </c>
      <c r="M53" s="1">
        <v>0.39</v>
      </c>
      <c r="N53" s="1">
        <v>0.35</v>
      </c>
    </row>
    <row r="54" spans="1:14" x14ac:dyDescent="0.3">
      <c r="A54" t="s">
        <v>594</v>
      </c>
      <c r="B54" t="s">
        <v>611</v>
      </c>
      <c r="C54" t="s">
        <v>43</v>
      </c>
      <c r="D54" s="1">
        <v>0.15</v>
      </c>
      <c r="E54" t="s">
        <v>115</v>
      </c>
      <c r="F54" s="1">
        <v>0.3</v>
      </c>
      <c r="G54" t="s">
        <v>30</v>
      </c>
      <c r="H54" s="1">
        <v>0.1</v>
      </c>
      <c r="I54" s="1"/>
      <c r="J54" s="1">
        <v>0.47</v>
      </c>
      <c r="K54" s="1">
        <v>0.47</v>
      </c>
      <c r="L54" s="1">
        <v>0.44</v>
      </c>
      <c r="M54" s="1">
        <v>0.39</v>
      </c>
      <c r="N54" s="1">
        <v>0.35</v>
      </c>
    </row>
    <row r="55" spans="1:14" x14ac:dyDescent="0.3">
      <c r="A55" t="s">
        <v>594</v>
      </c>
      <c r="B55" t="s">
        <v>611</v>
      </c>
      <c r="C55" t="s">
        <v>43</v>
      </c>
      <c r="D55" s="1">
        <v>0.15</v>
      </c>
      <c r="E55" t="s">
        <v>116</v>
      </c>
      <c r="F55" s="1">
        <v>0.2</v>
      </c>
      <c r="G55" t="s">
        <v>24</v>
      </c>
      <c r="H55" s="1">
        <v>0.95</v>
      </c>
      <c r="I55" s="1"/>
      <c r="J55" s="1">
        <v>0.47</v>
      </c>
      <c r="K55" s="1">
        <v>0.47</v>
      </c>
      <c r="L55" s="1">
        <v>0.44</v>
      </c>
      <c r="M55" s="1">
        <v>0.39</v>
      </c>
      <c r="N55" s="1">
        <v>0.35</v>
      </c>
    </row>
    <row r="56" spans="1:14" x14ac:dyDescent="0.3">
      <c r="A56" t="s">
        <v>594</v>
      </c>
      <c r="B56" t="s">
        <v>611</v>
      </c>
      <c r="C56" t="s">
        <v>271</v>
      </c>
      <c r="D56" s="1">
        <v>0.1</v>
      </c>
      <c r="E56" t="s">
        <v>605</v>
      </c>
      <c r="F56" s="1">
        <v>0.3</v>
      </c>
      <c r="G56" t="s">
        <v>56</v>
      </c>
      <c r="H56" s="1">
        <v>0.3</v>
      </c>
      <c r="I56" s="1">
        <f>SUMPRODUCT(H56:H59,F56:F59)*D56</f>
        <v>4.5500000000000006E-2</v>
      </c>
      <c r="J56" s="1">
        <v>0.35</v>
      </c>
      <c r="K56" s="1">
        <v>0.35</v>
      </c>
      <c r="L56" s="1">
        <v>0.32</v>
      </c>
      <c r="M56" s="1">
        <v>0.28000000000000003</v>
      </c>
      <c r="N56" s="1">
        <v>0.25</v>
      </c>
    </row>
    <row r="57" spans="1:14" x14ac:dyDescent="0.3">
      <c r="A57" t="s">
        <v>594</v>
      </c>
      <c r="B57" t="s">
        <v>611</v>
      </c>
      <c r="C57" t="s">
        <v>271</v>
      </c>
      <c r="D57" s="1">
        <v>0.1</v>
      </c>
      <c r="E57" t="s">
        <v>458</v>
      </c>
      <c r="F57" s="1">
        <v>0.25</v>
      </c>
      <c r="G57" t="s">
        <v>20</v>
      </c>
      <c r="H57" s="1">
        <v>0.6</v>
      </c>
      <c r="I57" s="1"/>
      <c r="J57" s="1">
        <v>0.35</v>
      </c>
      <c r="K57" s="1">
        <v>0.35</v>
      </c>
      <c r="L57" s="1">
        <v>0.32</v>
      </c>
      <c r="M57" s="1">
        <v>0.28000000000000003</v>
      </c>
      <c r="N57" s="1">
        <v>0.25</v>
      </c>
    </row>
    <row r="58" spans="1:14" x14ac:dyDescent="0.3">
      <c r="A58" t="s">
        <v>594</v>
      </c>
      <c r="B58" t="s">
        <v>611</v>
      </c>
      <c r="C58" t="s">
        <v>271</v>
      </c>
      <c r="D58" s="1">
        <v>0.1</v>
      </c>
      <c r="E58" t="s">
        <v>514</v>
      </c>
      <c r="F58" s="1">
        <v>0.25</v>
      </c>
      <c r="G58" t="s">
        <v>30</v>
      </c>
      <c r="H58" s="1">
        <v>0.1</v>
      </c>
      <c r="I58" s="1"/>
      <c r="J58" s="1">
        <v>0.35</v>
      </c>
      <c r="K58" s="1">
        <v>0.35</v>
      </c>
      <c r="L58" s="1">
        <v>0.32</v>
      </c>
      <c r="M58" s="1">
        <v>0.28000000000000003</v>
      </c>
      <c r="N58" s="1">
        <v>0.25</v>
      </c>
    </row>
    <row r="59" spans="1:14" x14ac:dyDescent="0.3">
      <c r="A59" t="s">
        <v>594</v>
      </c>
      <c r="B59" t="s">
        <v>611</v>
      </c>
      <c r="C59" t="s">
        <v>271</v>
      </c>
      <c r="D59" s="1">
        <v>0.1</v>
      </c>
      <c r="E59" t="s">
        <v>59</v>
      </c>
      <c r="F59" s="1">
        <v>0.2</v>
      </c>
      <c r="G59" t="s">
        <v>24</v>
      </c>
      <c r="H59" s="1">
        <v>0.95</v>
      </c>
      <c r="I59" s="1"/>
      <c r="J59" s="1">
        <v>0.35</v>
      </c>
      <c r="K59" s="1">
        <v>0.35</v>
      </c>
      <c r="L59" s="1">
        <v>0.32</v>
      </c>
      <c r="M59" s="1">
        <v>0.28000000000000003</v>
      </c>
      <c r="N59" s="1">
        <v>0.25</v>
      </c>
    </row>
    <row r="60" spans="1:14" x14ac:dyDescent="0.3">
      <c r="D60" s="1"/>
      <c r="F60" s="1"/>
      <c r="H60" s="1"/>
      <c r="I60" s="2">
        <f>SUM(I32:I56)</f>
        <v>0.81277500000000014</v>
      </c>
      <c r="J60" s="2">
        <f>+J40*$D40+J44*$D44+J48*$D48+J52*$D52+J56*$D56+$D36*J36+$D32*J32</f>
        <v>0.58150000000000002</v>
      </c>
      <c r="K60" s="2">
        <f t="shared" ref="K60:N60" si="1">+K40*$D40+K44*$D44+K48*$D48+K52*$D52+K56*$D56+$D36*K36+$D32*K32</f>
        <v>0.58150000000000002</v>
      </c>
      <c r="L60" s="2">
        <f t="shared" si="1"/>
        <v>0.54700000000000004</v>
      </c>
      <c r="M60" s="2">
        <f t="shared" si="1"/>
        <v>0.49299999999999999</v>
      </c>
      <c r="N60" s="2">
        <f t="shared" si="1"/>
        <v>0.44800000000000006</v>
      </c>
    </row>
    <row r="61" spans="1:14" x14ac:dyDescent="0.3">
      <c r="D61" s="1"/>
      <c r="F61" s="1"/>
      <c r="H61" s="1"/>
      <c r="I61" s="1"/>
      <c r="J61" s="1"/>
      <c r="K61" s="1"/>
      <c r="L61" s="1"/>
      <c r="M61" s="1"/>
      <c r="N61" s="1"/>
    </row>
    <row r="62" spans="1:14" x14ac:dyDescent="0.3">
      <c r="A62" t="s">
        <v>594</v>
      </c>
      <c r="B62" t="s">
        <v>613</v>
      </c>
      <c r="C62" t="s">
        <v>105</v>
      </c>
      <c r="D62" s="1">
        <v>0.2</v>
      </c>
      <c r="E62" t="s">
        <v>614</v>
      </c>
      <c r="F62" s="1">
        <v>0.25</v>
      </c>
      <c r="G62" t="s">
        <v>28</v>
      </c>
      <c r="H62" s="1">
        <v>0.7</v>
      </c>
      <c r="I62" s="1">
        <f>SUMPRODUCT(H62:H65,F62:F65)*D62</f>
        <v>8.0000000000000016E-2</v>
      </c>
      <c r="J62" s="1">
        <v>0.4</v>
      </c>
      <c r="K62" s="1">
        <v>0.4</v>
      </c>
      <c r="L62" s="1">
        <v>0.37</v>
      </c>
      <c r="M62" s="1">
        <v>0.33</v>
      </c>
      <c r="N62" s="1">
        <v>0.28999999999999998</v>
      </c>
    </row>
    <row r="63" spans="1:14" x14ac:dyDescent="0.3">
      <c r="A63" t="s">
        <v>594</v>
      </c>
      <c r="B63" t="s">
        <v>613</v>
      </c>
      <c r="C63" t="s">
        <v>105</v>
      </c>
      <c r="D63" s="1">
        <v>0.2</v>
      </c>
      <c r="E63" t="s">
        <v>505</v>
      </c>
      <c r="F63" s="1">
        <v>0.35</v>
      </c>
      <c r="G63" t="s">
        <v>30</v>
      </c>
      <c r="H63" s="1">
        <v>0.1</v>
      </c>
      <c r="I63" s="1"/>
      <c r="J63" s="1">
        <v>0.4</v>
      </c>
      <c r="K63" s="1">
        <v>0.4</v>
      </c>
      <c r="L63" s="1">
        <v>0.37</v>
      </c>
      <c r="M63" s="1">
        <v>0.33</v>
      </c>
      <c r="N63" s="1">
        <v>0.28999999999999998</v>
      </c>
    </row>
    <row r="64" spans="1:14" x14ac:dyDescent="0.3">
      <c r="A64" t="s">
        <v>594</v>
      </c>
      <c r="B64" t="s">
        <v>613</v>
      </c>
      <c r="C64" t="s">
        <v>105</v>
      </c>
      <c r="D64" s="1">
        <v>0.2</v>
      </c>
      <c r="E64" t="s">
        <v>144</v>
      </c>
      <c r="F64" s="1">
        <v>0.2</v>
      </c>
      <c r="G64" t="s">
        <v>20</v>
      </c>
      <c r="H64" s="1" t="s">
        <v>615</v>
      </c>
      <c r="I64" s="1"/>
      <c r="J64" s="1">
        <v>0.4</v>
      </c>
      <c r="K64" s="1">
        <v>0.4</v>
      </c>
      <c r="L64" s="1">
        <v>0.37</v>
      </c>
      <c r="M64" s="1">
        <v>0.33</v>
      </c>
      <c r="N64" s="1">
        <v>0.28999999999999998</v>
      </c>
    </row>
    <row r="65" spans="1:14" x14ac:dyDescent="0.3">
      <c r="A65" t="s">
        <v>594</v>
      </c>
      <c r="B65" t="s">
        <v>613</v>
      </c>
      <c r="C65" t="s">
        <v>105</v>
      </c>
      <c r="D65" s="1">
        <v>0.2</v>
      </c>
      <c r="E65" t="s">
        <v>616</v>
      </c>
      <c r="F65" s="1">
        <v>0.2</v>
      </c>
      <c r="G65" t="s">
        <v>24</v>
      </c>
      <c r="H65" s="1">
        <v>0.95</v>
      </c>
      <c r="I65" s="1"/>
      <c r="J65" s="1">
        <v>0.4</v>
      </c>
      <c r="K65" s="1">
        <v>0.4</v>
      </c>
      <c r="L65" s="1">
        <v>0.37</v>
      </c>
      <c r="M65" s="1">
        <v>0.33</v>
      </c>
      <c r="N65" s="1">
        <v>0.28999999999999998</v>
      </c>
    </row>
    <row r="66" spans="1:14" x14ac:dyDescent="0.3">
      <c r="A66" t="s">
        <v>594</v>
      </c>
      <c r="B66" t="s">
        <v>613</v>
      </c>
      <c r="C66" t="s">
        <v>16</v>
      </c>
      <c r="D66" s="1">
        <v>0.2</v>
      </c>
      <c r="E66" t="s">
        <v>17</v>
      </c>
      <c r="F66" s="1">
        <v>0.3</v>
      </c>
      <c r="G66" t="s">
        <v>18</v>
      </c>
      <c r="H66" s="1">
        <v>0.9</v>
      </c>
      <c r="I66" s="1">
        <f>SUMPRODUCT(H66:H69,F66:F69)*D66</f>
        <v>0.16550000000000004</v>
      </c>
      <c r="J66" s="1">
        <v>0.65</v>
      </c>
      <c r="K66" s="1">
        <v>0.65</v>
      </c>
      <c r="L66" s="1">
        <v>0.62</v>
      </c>
      <c r="M66" s="1">
        <v>0.56999999999999995</v>
      </c>
      <c r="N66" s="1">
        <v>0.52</v>
      </c>
    </row>
    <row r="67" spans="1:14" x14ac:dyDescent="0.3">
      <c r="A67" t="s">
        <v>594</v>
      </c>
      <c r="B67" t="s">
        <v>613</v>
      </c>
      <c r="C67" t="s">
        <v>16</v>
      </c>
      <c r="D67" s="1">
        <v>0.2</v>
      </c>
      <c r="E67" t="s">
        <v>19</v>
      </c>
      <c r="F67" s="1">
        <v>0.25</v>
      </c>
      <c r="G67" t="s">
        <v>20</v>
      </c>
      <c r="H67" s="1">
        <v>0.6</v>
      </c>
      <c r="I67" s="1"/>
      <c r="J67" s="1">
        <v>0.65</v>
      </c>
      <c r="K67" s="1">
        <v>0.65</v>
      </c>
      <c r="L67" s="1">
        <v>0.62</v>
      </c>
      <c r="M67" s="1">
        <v>0.56999999999999995</v>
      </c>
      <c r="N67" s="1">
        <v>0.52</v>
      </c>
    </row>
    <row r="68" spans="1:14" x14ac:dyDescent="0.3">
      <c r="A68" t="s">
        <v>594</v>
      </c>
      <c r="B68" t="s">
        <v>613</v>
      </c>
      <c r="C68" t="s">
        <v>16</v>
      </c>
      <c r="D68" s="1">
        <v>0.2</v>
      </c>
      <c r="E68" t="s">
        <v>21</v>
      </c>
      <c r="F68" s="1">
        <v>0.2</v>
      </c>
      <c r="G68" t="s">
        <v>22</v>
      </c>
      <c r="H68" s="1">
        <v>0.85</v>
      </c>
      <c r="I68" s="1"/>
      <c r="J68" s="1">
        <v>0.65</v>
      </c>
      <c r="K68" s="1">
        <v>0.65</v>
      </c>
      <c r="L68" s="1">
        <v>0.62</v>
      </c>
      <c r="M68" s="1">
        <v>0.56999999999999995</v>
      </c>
      <c r="N68" s="1">
        <v>0.52</v>
      </c>
    </row>
    <row r="69" spans="1:14" x14ac:dyDescent="0.3">
      <c r="A69" t="s">
        <v>594</v>
      </c>
      <c r="B69" t="s">
        <v>613</v>
      </c>
      <c r="C69" t="s">
        <v>16</v>
      </c>
      <c r="D69" s="1">
        <v>0.2</v>
      </c>
      <c r="E69" t="s">
        <v>23</v>
      </c>
      <c r="F69" s="1">
        <v>0.25</v>
      </c>
      <c r="G69" t="s">
        <v>24</v>
      </c>
      <c r="H69" s="1">
        <v>0.95</v>
      </c>
      <c r="I69" s="1"/>
      <c r="J69" s="1">
        <v>0.65</v>
      </c>
      <c r="K69" s="1">
        <v>0.65</v>
      </c>
      <c r="L69" s="1">
        <v>0.62</v>
      </c>
      <c r="M69" s="1">
        <v>0.56999999999999995</v>
      </c>
      <c r="N69" s="1">
        <v>0.52</v>
      </c>
    </row>
    <row r="70" spans="1:14" x14ac:dyDescent="0.3">
      <c r="A70" t="s">
        <v>594</v>
      </c>
      <c r="B70" t="s">
        <v>613</v>
      </c>
      <c r="C70" t="s">
        <v>25</v>
      </c>
      <c r="D70" s="1">
        <v>0.15</v>
      </c>
      <c r="E70" t="s">
        <v>26</v>
      </c>
      <c r="F70" s="1">
        <v>0.25</v>
      </c>
      <c r="G70" t="s">
        <v>18</v>
      </c>
      <c r="H70" s="1">
        <v>0.9</v>
      </c>
      <c r="I70" s="1">
        <f>SUMPRODUCT(H70:H73,F70:F73)*D70</f>
        <v>9.3000000000000013E-2</v>
      </c>
      <c r="J70" s="1">
        <v>0.45</v>
      </c>
      <c r="K70" s="1">
        <v>0.45</v>
      </c>
      <c r="L70" s="1">
        <v>0.42</v>
      </c>
      <c r="M70" s="1">
        <v>0.37</v>
      </c>
      <c r="N70" s="1">
        <v>0.33</v>
      </c>
    </row>
    <row r="71" spans="1:14" x14ac:dyDescent="0.3">
      <c r="A71" t="s">
        <v>594</v>
      </c>
      <c r="B71" t="s">
        <v>613</v>
      </c>
      <c r="C71" t="s">
        <v>25</v>
      </c>
      <c r="D71" s="1">
        <v>0.15</v>
      </c>
      <c r="E71" t="s">
        <v>617</v>
      </c>
      <c r="F71" s="1">
        <v>0.25</v>
      </c>
      <c r="G71" t="s">
        <v>28</v>
      </c>
      <c r="H71" s="1">
        <v>0.7</v>
      </c>
      <c r="I71" s="1"/>
      <c r="J71" s="1">
        <v>0.45</v>
      </c>
      <c r="K71" s="1">
        <v>0.45</v>
      </c>
      <c r="L71" s="1">
        <v>0.42</v>
      </c>
      <c r="M71" s="1">
        <v>0.37</v>
      </c>
      <c r="N71" s="1">
        <v>0.33</v>
      </c>
    </row>
    <row r="72" spans="1:14" x14ac:dyDescent="0.3">
      <c r="A72" t="s">
        <v>594</v>
      </c>
      <c r="B72" t="s">
        <v>613</v>
      </c>
      <c r="C72" t="s">
        <v>25</v>
      </c>
      <c r="D72" s="1">
        <v>0.15</v>
      </c>
      <c r="E72" t="s">
        <v>29</v>
      </c>
      <c r="F72" s="1">
        <v>0.3</v>
      </c>
      <c r="G72" t="s">
        <v>30</v>
      </c>
      <c r="H72" s="1">
        <v>0.1</v>
      </c>
      <c r="I72" s="1"/>
      <c r="J72" s="1">
        <v>0.45</v>
      </c>
      <c r="K72" s="1">
        <v>0.45</v>
      </c>
      <c r="L72" s="1">
        <v>0.42</v>
      </c>
      <c r="M72" s="1">
        <v>0.37</v>
      </c>
      <c r="N72" s="1">
        <v>0.33</v>
      </c>
    </row>
    <row r="73" spans="1:14" x14ac:dyDescent="0.3">
      <c r="A73" t="s">
        <v>594</v>
      </c>
      <c r="B73" t="s">
        <v>613</v>
      </c>
      <c r="C73" t="s">
        <v>25</v>
      </c>
      <c r="D73" s="1">
        <v>0.15</v>
      </c>
      <c r="E73" t="s">
        <v>31</v>
      </c>
      <c r="F73" s="1">
        <v>0.2</v>
      </c>
      <c r="G73" t="s">
        <v>24</v>
      </c>
      <c r="H73" s="1">
        <v>0.95</v>
      </c>
      <c r="I73" s="1"/>
      <c r="J73" s="1">
        <v>0.45</v>
      </c>
      <c r="K73" s="1">
        <v>0.45</v>
      </c>
      <c r="L73" s="1">
        <v>0.42</v>
      </c>
      <c r="M73" s="1">
        <v>0.37</v>
      </c>
      <c r="N73" s="1">
        <v>0.33</v>
      </c>
    </row>
    <row r="74" spans="1:14" x14ac:dyDescent="0.3">
      <c r="A74" t="s">
        <v>594</v>
      </c>
      <c r="B74" t="s">
        <v>613</v>
      </c>
      <c r="C74" t="s">
        <v>37</v>
      </c>
      <c r="D74" s="1">
        <v>0.15</v>
      </c>
      <c r="E74" t="s">
        <v>38</v>
      </c>
      <c r="F74" s="1">
        <v>0.3</v>
      </c>
      <c r="G74" t="s">
        <v>18</v>
      </c>
      <c r="H74" s="1">
        <v>0.9</v>
      </c>
      <c r="I74" s="1">
        <f>SUMPRODUCT(H74:H77,F74:F77)*D74</f>
        <v>0.1215</v>
      </c>
      <c r="J74" s="1">
        <v>0.64</v>
      </c>
      <c r="K74" s="1">
        <v>0.64</v>
      </c>
      <c r="L74" s="1">
        <v>0.61</v>
      </c>
      <c r="M74" s="1">
        <v>0.56000000000000005</v>
      </c>
      <c r="N74" s="1">
        <v>0.51</v>
      </c>
    </row>
    <row r="75" spans="1:14" x14ac:dyDescent="0.3">
      <c r="A75" t="s">
        <v>594</v>
      </c>
      <c r="B75" t="s">
        <v>613</v>
      </c>
      <c r="C75" t="s">
        <v>37</v>
      </c>
      <c r="D75" s="1">
        <v>0.15</v>
      </c>
      <c r="E75" t="s">
        <v>39</v>
      </c>
      <c r="F75" s="1">
        <v>0.25</v>
      </c>
      <c r="G75" t="s">
        <v>40</v>
      </c>
      <c r="H75" s="1">
        <v>0.7</v>
      </c>
      <c r="I75" s="1"/>
      <c r="J75" s="1">
        <v>0.64</v>
      </c>
      <c r="K75" s="1">
        <v>0.64</v>
      </c>
      <c r="L75" s="1">
        <v>0.61</v>
      </c>
      <c r="M75" s="1">
        <v>0.56000000000000005</v>
      </c>
      <c r="N75" s="1">
        <v>0.51</v>
      </c>
    </row>
    <row r="76" spans="1:14" x14ac:dyDescent="0.3">
      <c r="A76" t="s">
        <v>594</v>
      </c>
      <c r="B76" t="s">
        <v>613</v>
      </c>
      <c r="C76" t="s">
        <v>37</v>
      </c>
      <c r="D76" s="1">
        <v>0.15</v>
      </c>
      <c r="E76" t="s">
        <v>41</v>
      </c>
      <c r="F76" s="1">
        <v>0.25</v>
      </c>
      <c r="G76" t="s">
        <v>28</v>
      </c>
      <c r="H76" s="1">
        <v>0.7</v>
      </c>
      <c r="I76" s="1"/>
      <c r="J76" s="1">
        <v>0.64</v>
      </c>
      <c r="K76" s="1">
        <v>0.64</v>
      </c>
      <c r="L76" s="1">
        <v>0.61</v>
      </c>
      <c r="M76" s="1">
        <v>0.56000000000000005</v>
      </c>
      <c r="N76" s="1">
        <v>0.51</v>
      </c>
    </row>
    <row r="77" spans="1:14" x14ac:dyDescent="0.3">
      <c r="A77" t="s">
        <v>594</v>
      </c>
      <c r="B77" t="s">
        <v>613</v>
      </c>
      <c r="C77" t="s">
        <v>37</v>
      </c>
      <c r="D77" s="1">
        <v>0.15</v>
      </c>
      <c r="E77" t="s">
        <v>42</v>
      </c>
      <c r="F77" s="1">
        <v>0.2</v>
      </c>
      <c r="G77" t="s">
        <v>24</v>
      </c>
      <c r="H77" s="1">
        <v>0.95</v>
      </c>
      <c r="I77" s="1"/>
      <c r="J77" s="1">
        <v>0.64</v>
      </c>
      <c r="K77" s="1">
        <v>0.64</v>
      </c>
      <c r="L77" s="1">
        <v>0.61</v>
      </c>
      <c r="M77" s="1">
        <v>0.56000000000000005</v>
      </c>
      <c r="N77" s="1">
        <v>0.51</v>
      </c>
    </row>
    <row r="78" spans="1:14" x14ac:dyDescent="0.3">
      <c r="A78" t="s">
        <v>594</v>
      </c>
      <c r="B78" t="s">
        <v>613</v>
      </c>
      <c r="C78" t="s">
        <v>607</v>
      </c>
      <c r="D78" s="1">
        <v>0.2</v>
      </c>
      <c r="E78" t="s">
        <v>618</v>
      </c>
      <c r="F78" s="1">
        <v>0.25</v>
      </c>
      <c r="G78" t="s">
        <v>18</v>
      </c>
      <c r="H78" s="1">
        <v>0.9</v>
      </c>
      <c r="I78" s="1">
        <f>SUMPRODUCT(H78:H81,F78:F81)*D78</f>
        <v>0.11899999999999999</v>
      </c>
      <c r="J78" s="1">
        <v>0.45</v>
      </c>
      <c r="K78" s="1">
        <v>0.45</v>
      </c>
      <c r="L78" s="1">
        <v>0.42</v>
      </c>
      <c r="M78" s="1">
        <v>0.37</v>
      </c>
      <c r="N78" s="1">
        <v>0.33</v>
      </c>
    </row>
    <row r="79" spans="1:14" x14ac:dyDescent="0.3">
      <c r="A79" t="s">
        <v>594</v>
      </c>
      <c r="B79" t="s">
        <v>613</v>
      </c>
      <c r="C79" t="s">
        <v>607</v>
      </c>
      <c r="D79" s="1">
        <v>0.2</v>
      </c>
      <c r="E79" t="s">
        <v>114</v>
      </c>
      <c r="F79" s="1">
        <v>0.25</v>
      </c>
      <c r="G79" t="s">
        <v>20</v>
      </c>
      <c r="H79" s="1">
        <v>0.6</v>
      </c>
      <c r="I79" s="1"/>
      <c r="J79" s="1">
        <v>0.45</v>
      </c>
      <c r="K79" s="1">
        <v>0.45</v>
      </c>
      <c r="L79" s="1">
        <v>0.42</v>
      </c>
      <c r="M79" s="1">
        <v>0.37</v>
      </c>
      <c r="N79" s="1">
        <v>0.33</v>
      </c>
    </row>
    <row r="80" spans="1:14" x14ac:dyDescent="0.3">
      <c r="A80" t="s">
        <v>594</v>
      </c>
      <c r="B80" t="s">
        <v>613</v>
      </c>
      <c r="C80" t="s">
        <v>607</v>
      </c>
      <c r="D80" s="1">
        <v>0.2</v>
      </c>
      <c r="E80" t="s">
        <v>115</v>
      </c>
      <c r="F80" s="1">
        <v>0.3</v>
      </c>
      <c r="G80" t="s">
        <v>30</v>
      </c>
      <c r="H80" s="1">
        <v>0.1</v>
      </c>
      <c r="I80" s="1"/>
      <c r="J80" s="1">
        <v>0.45</v>
      </c>
      <c r="K80" s="1">
        <v>0.45</v>
      </c>
      <c r="L80" s="1">
        <v>0.42</v>
      </c>
      <c r="M80" s="1">
        <v>0.37</v>
      </c>
      <c r="N80" s="1">
        <v>0.33</v>
      </c>
    </row>
    <row r="81" spans="1:14" x14ac:dyDescent="0.3">
      <c r="A81" t="s">
        <v>594</v>
      </c>
      <c r="B81" t="s">
        <v>613</v>
      </c>
      <c r="C81" t="s">
        <v>607</v>
      </c>
      <c r="D81" s="1">
        <v>0.2</v>
      </c>
      <c r="E81" t="s">
        <v>116</v>
      </c>
      <c r="F81" s="1">
        <v>0.2</v>
      </c>
      <c r="G81" t="s">
        <v>24</v>
      </c>
      <c r="H81" s="1">
        <v>0.95</v>
      </c>
      <c r="I81" s="1"/>
      <c r="J81" s="1">
        <v>0.45</v>
      </c>
      <c r="K81" s="1">
        <v>0.45</v>
      </c>
      <c r="L81" s="1">
        <v>0.42</v>
      </c>
      <c r="M81" s="1">
        <v>0.37</v>
      </c>
      <c r="N81" s="1">
        <v>0.33</v>
      </c>
    </row>
    <row r="82" spans="1:14" x14ac:dyDescent="0.3">
      <c r="A82" t="s">
        <v>594</v>
      </c>
      <c r="B82" t="s">
        <v>613</v>
      </c>
      <c r="C82" t="s">
        <v>619</v>
      </c>
      <c r="D82" s="1">
        <v>0.1</v>
      </c>
      <c r="E82" t="s">
        <v>620</v>
      </c>
      <c r="F82" s="1">
        <v>0.25</v>
      </c>
      <c r="G82" t="s">
        <v>40</v>
      </c>
      <c r="H82" s="1">
        <v>0.7</v>
      </c>
      <c r="I82" s="1">
        <f>SUMPRODUCT(H82:H85,F82:F85)*D82</f>
        <v>5.8749999999999997E-2</v>
      </c>
      <c r="J82" s="1">
        <v>0.42</v>
      </c>
      <c r="K82" s="1">
        <v>0.42</v>
      </c>
      <c r="L82" s="1">
        <v>0.39</v>
      </c>
      <c r="M82" s="1">
        <v>0.34</v>
      </c>
      <c r="N82" s="1">
        <v>0.28999999999999998</v>
      </c>
    </row>
    <row r="83" spans="1:14" x14ac:dyDescent="0.3">
      <c r="A83" t="s">
        <v>594</v>
      </c>
      <c r="B83" t="s">
        <v>613</v>
      </c>
      <c r="C83" t="s">
        <v>619</v>
      </c>
      <c r="D83" s="1">
        <v>0.1</v>
      </c>
      <c r="E83" t="s">
        <v>50</v>
      </c>
      <c r="F83" s="1">
        <v>0.25</v>
      </c>
      <c r="G83" t="s">
        <v>20</v>
      </c>
      <c r="H83" s="1">
        <v>0.6</v>
      </c>
      <c r="I83" s="1"/>
      <c r="J83" s="1">
        <v>0.42</v>
      </c>
      <c r="K83" s="1">
        <v>0.42</v>
      </c>
      <c r="L83" s="1">
        <v>0.39</v>
      </c>
      <c r="M83" s="1">
        <v>0.34</v>
      </c>
      <c r="N83" s="1">
        <v>0.28999999999999998</v>
      </c>
    </row>
    <row r="84" spans="1:14" x14ac:dyDescent="0.3">
      <c r="A84" t="s">
        <v>594</v>
      </c>
      <c r="B84" t="s">
        <v>613</v>
      </c>
      <c r="C84" t="s">
        <v>619</v>
      </c>
      <c r="D84" s="1">
        <v>0.1</v>
      </c>
      <c r="E84" t="s">
        <v>565</v>
      </c>
      <c r="F84" s="1">
        <v>0.25</v>
      </c>
      <c r="G84" t="s">
        <v>30</v>
      </c>
      <c r="H84" s="1">
        <v>0.1</v>
      </c>
      <c r="I84" s="1"/>
      <c r="J84" s="1">
        <v>0.42</v>
      </c>
      <c r="K84" s="1">
        <v>0.42</v>
      </c>
      <c r="L84" s="1">
        <v>0.39</v>
      </c>
      <c r="M84" s="1">
        <v>0.34</v>
      </c>
      <c r="N84" s="1">
        <v>0.28999999999999998</v>
      </c>
    </row>
    <row r="85" spans="1:14" x14ac:dyDescent="0.3">
      <c r="A85" t="s">
        <v>594</v>
      </c>
      <c r="B85" t="s">
        <v>613</v>
      </c>
      <c r="C85" t="s">
        <v>619</v>
      </c>
      <c r="D85" s="1">
        <v>0.1</v>
      </c>
      <c r="E85" t="s">
        <v>53</v>
      </c>
      <c r="F85" s="1">
        <v>0.25</v>
      </c>
      <c r="G85" t="s">
        <v>24</v>
      </c>
      <c r="H85" s="1">
        <v>0.95</v>
      </c>
      <c r="I85" s="1"/>
      <c r="J85" s="1">
        <v>0.42</v>
      </c>
      <c r="K85" s="1">
        <v>0.42</v>
      </c>
      <c r="L85" s="1">
        <v>0.39</v>
      </c>
      <c r="M85" s="1">
        <v>0.34</v>
      </c>
      <c r="N85" s="1">
        <v>0.28999999999999998</v>
      </c>
    </row>
    <row r="86" spans="1:14" x14ac:dyDescent="0.3">
      <c r="A86" t="s">
        <v>594</v>
      </c>
      <c r="B86" t="s">
        <v>613</v>
      </c>
      <c r="C86" t="s">
        <v>271</v>
      </c>
      <c r="D86" s="1">
        <v>0.15</v>
      </c>
      <c r="E86" t="s">
        <v>576</v>
      </c>
      <c r="F86" s="1">
        <v>0.3</v>
      </c>
      <c r="G86" t="s">
        <v>56</v>
      </c>
      <c r="H86" s="1">
        <v>0.3</v>
      </c>
      <c r="I86" s="1">
        <f>SUMPRODUCT(H86:H89,F86:F89)*D86</f>
        <v>6.8250000000000005E-2</v>
      </c>
      <c r="J86" s="1">
        <v>0.33</v>
      </c>
      <c r="K86" s="1">
        <v>0.33</v>
      </c>
      <c r="L86" s="1">
        <v>0.3</v>
      </c>
      <c r="M86" s="1">
        <v>0.26</v>
      </c>
      <c r="N86" s="1">
        <v>0.23</v>
      </c>
    </row>
    <row r="87" spans="1:14" x14ac:dyDescent="0.3">
      <c r="A87" t="s">
        <v>594</v>
      </c>
      <c r="B87" t="s">
        <v>613</v>
      </c>
      <c r="C87" t="s">
        <v>271</v>
      </c>
      <c r="D87" s="1">
        <v>0.15</v>
      </c>
      <c r="E87" t="s">
        <v>458</v>
      </c>
      <c r="F87" s="1">
        <v>0.25</v>
      </c>
      <c r="G87" t="s">
        <v>20</v>
      </c>
      <c r="H87" s="1">
        <v>0.6</v>
      </c>
      <c r="I87" s="1"/>
      <c r="J87" s="1">
        <v>0.33</v>
      </c>
      <c r="K87" s="1">
        <v>0.33</v>
      </c>
      <c r="L87" s="1">
        <v>0.3</v>
      </c>
      <c r="M87" s="1">
        <v>0.26</v>
      </c>
      <c r="N87" s="1">
        <v>0.23</v>
      </c>
    </row>
    <row r="88" spans="1:14" x14ac:dyDescent="0.3">
      <c r="A88" t="s">
        <v>594</v>
      </c>
      <c r="B88" t="s">
        <v>613</v>
      </c>
      <c r="C88" t="s">
        <v>271</v>
      </c>
      <c r="D88" s="1">
        <v>0.15</v>
      </c>
      <c r="E88" t="s">
        <v>298</v>
      </c>
      <c r="F88" s="1">
        <v>0.25</v>
      </c>
      <c r="G88" t="s">
        <v>30</v>
      </c>
      <c r="H88" s="1">
        <v>0.1</v>
      </c>
      <c r="I88" s="1"/>
      <c r="J88" s="1">
        <v>0.33</v>
      </c>
      <c r="K88" s="1">
        <v>0.33</v>
      </c>
      <c r="L88" s="1">
        <v>0.3</v>
      </c>
      <c r="M88" s="1">
        <v>0.26</v>
      </c>
      <c r="N88" s="1">
        <v>0.23</v>
      </c>
    </row>
    <row r="89" spans="1:14" x14ac:dyDescent="0.3">
      <c r="A89" t="s">
        <v>594</v>
      </c>
      <c r="B89" t="s">
        <v>613</v>
      </c>
      <c r="C89" t="s">
        <v>271</v>
      </c>
      <c r="D89" s="1">
        <v>0.15</v>
      </c>
      <c r="E89" t="s">
        <v>59</v>
      </c>
      <c r="F89" s="1">
        <v>0.2</v>
      </c>
      <c r="G89" t="s">
        <v>24</v>
      </c>
      <c r="H89" s="1">
        <v>0.95</v>
      </c>
      <c r="I89" s="1"/>
      <c r="J89" s="1">
        <v>0.33</v>
      </c>
      <c r="K89" s="1">
        <v>0.33</v>
      </c>
      <c r="L89" s="1">
        <v>0.3</v>
      </c>
      <c r="M89" s="1">
        <v>0.26</v>
      </c>
      <c r="N89" s="1">
        <v>0.23</v>
      </c>
    </row>
    <row r="90" spans="1:14" x14ac:dyDescent="0.3">
      <c r="D90" s="1"/>
      <c r="F90" s="1"/>
      <c r="H90" s="1"/>
      <c r="I90" s="2">
        <f>SUM(I62:I86)</f>
        <v>0.70600000000000007</v>
      </c>
      <c r="J90" s="2">
        <f>+J70*$D70+J74*$D74+J78*$D78+J82*$D82+J86*$D86+$D66*J66+$D62*J62</f>
        <v>0.55499999999999994</v>
      </c>
      <c r="K90" s="2">
        <f t="shared" ref="K90:N90" si="2">+K70*$D70+K74*$D74+K78*$D78+K82*$D82+K86*$D86+$D66*K66+$D62*K62</f>
        <v>0.55499999999999994</v>
      </c>
      <c r="L90" s="2">
        <f t="shared" si="2"/>
        <v>0.52049999999999996</v>
      </c>
      <c r="M90" s="2">
        <f t="shared" si="2"/>
        <v>0.46650000000000003</v>
      </c>
      <c r="N90" s="2">
        <f t="shared" si="2"/>
        <v>0.41750000000000004</v>
      </c>
    </row>
    <row r="91" spans="1:14" x14ac:dyDescent="0.3">
      <c r="D91" s="1"/>
      <c r="F91" s="1"/>
      <c r="H91" s="1"/>
      <c r="I91" s="1"/>
      <c r="J91" s="1"/>
      <c r="K91" s="1"/>
      <c r="L91" s="1"/>
      <c r="M91" s="1"/>
      <c r="N91" s="1"/>
    </row>
    <row r="92" spans="1:14" x14ac:dyDescent="0.3">
      <c r="A92" t="s">
        <v>594</v>
      </c>
      <c r="B92" t="s">
        <v>621</v>
      </c>
      <c r="C92" t="s">
        <v>141</v>
      </c>
      <c r="D92" s="1">
        <v>0.25</v>
      </c>
      <c r="E92" t="s">
        <v>251</v>
      </c>
      <c r="F92" s="1">
        <v>0.25</v>
      </c>
      <c r="G92" t="s">
        <v>28</v>
      </c>
      <c r="H92" s="1">
        <v>0.7</v>
      </c>
      <c r="I92" s="1">
        <f>SUMPRODUCT(H92:H95,F92:F95)*D92</f>
        <v>0.13</v>
      </c>
      <c r="J92" s="1">
        <v>0.42</v>
      </c>
      <c r="K92" s="1">
        <v>0.42</v>
      </c>
      <c r="L92" s="1">
        <v>0.39</v>
      </c>
      <c r="M92" s="1">
        <v>0.35</v>
      </c>
      <c r="N92" s="1">
        <v>0.32</v>
      </c>
    </row>
    <row r="93" spans="1:14" x14ac:dyDescent="0.3">
      <c r="A93" t="s">
        <v>594</v>
      </c>
      <c r="B93" t="s">
        <v>621</v>
      </c>
      <c r="C93" t="s">
        <v>141</v>
      </c>
      <c r="D93" s="1">
        <v>0.25</v>
      </c>
      <c r="E93" t="s">
        <v>622</v>
      </c>
      <c r="F93" s="1">
        <v>0.35</v>
      </c>
      <c r="G93" t="s">
        <v>30</v>
      </c>
      <c r="H93" s="1">
        <v>0.1</v>
      </c>
      <c r="I93" s="1"/>
      <c r="J93" s="1">
        <v>0.42</v>
      </c>
      <c r="K93" s="1">
        <v>0.42</v>
      </c>
      <c r="L93" s="1">
        <v>0.39</v>
      </c>
      <c r="M93" s="1">
        <v>0.35</v>
      </c>
      <c r="N93" s="1">
        <v>0.32</v>
      </c>
    </row>
    <row r="94" spans="1:14" x14ac:dyDescent="0.3">
      <c r="A94" t="s">
        <v>594</v>
      </c>
      <c r="B94" t="s">
        <v>621</v>
      </c>
      <c r="C94" t="s">
        <v>141</v>
      </c>
      <c r="D94" s="1">
        <v>0.25</v>
      </c>
      <c r="E94" t="s">
        <v>144</v>
      </c>
      <c r="F94" s="1">
        <v>0.2</v>
      </c>
      <c r="G94" t="s">
        <v>20</v>
      </c>
      <c r="H94" s="1">
        <v>0.6</v>
      </c>
      <c r="I94" s="1"/>
      <c r="J94" s="1">
        <v>0.42</v>
      </c>
      <c r="K94" s="1">
        <v>0.42</v>
      </c>
      <c r="L94" s="1">
        <v>0.39</v>
      </c>
      <c r="M94" s="1">
        <v>0.35</v>
      </c>
      <c r="N94" s="1">
        <v>0.32</v>
      </c>
    </row>
    <row r="95" spans="1:14" x14ac:dyDescent="0.3">
      <c r="A95" t="s">
        <v>594</v>
      </c>
      <c r="B95" t="s">
        <v>621</v>
      </c>
      <c r="C95" t="s">
        <v>141</v>
      </c>
      <c r="D95" s="1">
        <v>0.25</v>
      </c>
      <c r="E95" t="s">
        <v>108</v>
      </c>
      <c r="F95" s="1">
        <v>0.2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0.35</v>
      </c>
      <c r="N95" s="1">
        <v>0.32</v>
      </c>
    </row>
    <row r="96" spans="1:14" x14ac:dyDescent="0.3">
      <c r="A96" t="s">
        <v>594</v>
      </c>
      <c r="B96" t="s">
        <v>621</v>
      </c>
      <c r="C96" t="s">
        <v>16</v>
      </c>
      <c r="D96" s="1">
        <v>0.2</v>
      </c>
      <c r="E96" t="s">
        <v>17</v>
      </c>
      <c r="F96" s="1">
        <v>0.3</v>
      </c>
      <c r="G96" t="s">
        <v>18</v>
      </c>
      <c r="H96" s="1">
        <v>0.9</v>
      </c>
      <c r="I96" s="1">
        <f>SUMPRODUCT(H96:H99,F96:F99)*D96</f>
        <v>0.16550000000000004</v>
      </c>
      <c r="J96" s="1">
        <v>0.66</v>
      </c>
      <c r="K96" s="1">
        <v>0.66</v>
      </c>
      <c r="L96" s="1">
        <v>0.63</v>
      </c>
      <c r="M96" s="1">
        <v>0.57999999999999996</v>
      </c>
      <c r="N96" s="1">
        <v>0.54</v>
      </c>
    </row>
    <row r="97" spans="1:14" x14ac:dyDescent="0.3">
      <c r="A97" t="s">
        <v>594</v>
      </c>
      <c r="B97" t="s">
        <v>621</v>
      </c>
      <c r="C97" t="s">
        <v>16</v>
      </c>
      <c r="D97" s="1">
        <v>0.2</v>
      </c>
      <c r="E97" t="s">
        <v>19</v>
      </c>
      <c r="F97" s="1">
        <v>0.25</v>
      </c>
      <c r="G97" t="s">
        <v>20</v>
      </c>
      <c r="H97" s="1">
        <v>0.6</v>
      </c>
      <c r="I97" s="1"/>
      <c r="J97" s="1">
        <v>0.66</v>
      </c>
      <c r="K97" s="1">
        <v>0.66</v>
      </c>
      <c r="L97" s="1">
        <v>0.63</v>
      </c>
      <c r="M97" s="1">
        <v>0.57999999999999996</v>
      </c>
      <c r="N97" s="1">
        <v>0.54</v>
      </c>
    </row>
    <row r="98" spans="1:14" x14ac:dyDescent="0.3">
      <c r="A98" t="s">
        <v>594</v>
      </c>
      <c r="B98" t="s">
        <v>621</v>
      </c>
      <c r="C98" t="s">
        <v>16</v>
      </c>
      <c r="D98" s="1">
        <v>0.2</v>
      </c>
      <c r="E98" t="s">
        <v>21</v>
      </c>
      <c r="F98" s="1">
        <v>0.2</v>
      </c>
      <c r="G98" t="s">
        <v>22</v>
      </c>
      <c r="H98" s="1">
        <v>0.85</v>
      </c>
      <c r="I98" s="1"/>
      <c r="J98" s="1">
        <v>0.66</v>
      </c>
      <c r="K98" s="1">
        <v>0.66</v>
      </c>
      <c r="L98" s="1">
        <v>0.63</v>
      </c>
      <c r="M98" s="1">
        <v>0.57999999999999996</v>
      </c>
      <c r="N98" s="1">
        <v>0.54</v>
      </c>
    </row>
    <row r="99" spans="1:14" x14ac:dyDescent="0.3">
      <c r="A99" t="s">
        <v>594</v>
      </c>
      <c r="B99" t="s">
        <v>621</v>
      </c>
      <c r="C99" t="s">
        <v>16</v>
      </c>
      <c r="D99" s="1">
        <v>0.2</v>
      </c>
      <c r="E99" t="s">
        <v>23</v>
      </c>
      <c r="F99" s="1">
        <v>0.25</v>
      </c>
      <c r="G99" t="s">
        <v>24</v>
      </c>
      <c r="H99" s="1">
        <v>0.95</v>
      </c>
      <c r="I99" s="1"/>
      <c r="J99" s="1">
        <v>0.66</v>
      </c>
      <c r="K99" s="1">
        <v>0.66</v>
      </c>
      <c r="L99" s="1">
        <v>0.63</v>
      </c>
      <c r="M99" s="1">
        <v>0.57999999999999996</v>
      </c>
      <c r="N99" s="1">
        <v>0.54</v>
      </c>
    </row>
    <row r="100" spans="1:14" x14ac:dyDescent="0.3">
      <c r="A100" t="s">
        <v>594</v>
      </c>
      <c r="B100" t="s">
        <v>621</v>
      </c>
      <c r="C100" t="s">
        <v>25</v>
      </c>
      <c r="D100" s="1">
        <v>0.15</v>
      </c>
      <c r="E100" t="s">
        <v>26</v>
      </c>
      <c r="F100" s="1">
        <v>0.25</v>
      </c>
      <c r="G100" t="s">
        <v>18</v>
      </c>
      <c r="H100" s="1">
        <v>0.9</v>
      </c>
      <c r="I100" s="1">
        <f>SUMPRODUCT(H100:H103,F100:F103)*D100</f>
        <v>9.3000000000000013E-2</v>
      </c>
      <c r="J100" s="1">
        <v>0.46</v>
      </c>
      <c r="K100" s="1">
        <v>0.46</v>
      </c>
      <c r="L100" s="1">
        <v>0.43</v>
      </c>
      <c r="M100" s="1">
        <v>0.38</v>
      </c>
      <c r="N100" s="1">
        <v>0.34</v>
      </c>
    </row>
    <row r="101" spans="1:14" x14ac:dyDescent="0.3">
      <c r="A101" t="s">
        <v>594</v>
      </c>
      <c r="B101" t="s">
        <v>621</v>
      </c>
      <c r="C101" t="s">
        <v>25</v>
      </c>
      <c r="D101" s="1">
        <v>0.15</v>
      </c>
      <c r="E101" t="s">
        <v>27</v>
      </c>
      <c r="F101" s="1">
        <v>0.25</v>
      </c>
      <c r="G101" t="s">
        <v>28</v>
      </c>
      <c r="H101" s="1">
        <v>0.7</v>
      </c>
      <c r="I101" s="1"/>
      <c r="J101" s="1">
        <v>0.46</v>
      </c>
      <c r="K101" s="1">
        <v>0.46</v>
      </c>
      <c r="L101" s="1">
        <v>0.43</v>
      </c>
      <c r="M101" s="1">
        <v>0.38</v>
      </c>
      <c r="N101" s="1">
        <v>0.34</v>
      </c>
    </row>
    <row r="102" spans="1:14" x14ac:dyDescent="0.3">
      <c r="A102" t="s">
        <v>594</v>
      </c>
      <c r="B102" t="s">
        <v>621</v>
      </c>
      <c r="C102" t="s">
        <v>25</v>
      </c>
      <c r="D102" s="1">
        <v>0.15</v>
      </c>
      <c r="E102" t="s">
        <v>29</v>
      </c>
      <c r="F102" s="1">
        <v>0.3</v>
      </c>
      <c r="G102" t="s">
        <v>30</v>
      </c>
      <c r="H102" s="1">
        <v>0.1</v>
      </c>
      <c r="I102" s="1"/>
      <c r="J102" s="1">
        <v>0.46</v>
      </c>
      <c r="K102" s="1">
        <v>0.46</v>
      </c>
      <c r="L102" s="1">
        <v>0.43</v>
      </c>
      <c r="M102" s="1">
        <v>0.38</v>
      </c>
      <c r="N102" s="1">
        <v>0.34</v>
      </c>
    </row>
    <row r="103" spans="1:14" x14ac:dyDescent="0.3">
      <c r="A103" t="s">
        <v>594</v>
      </c>
      <c r="B103" t="s">
        <v>621</v>
      </c>
      <c r="C103" t="s">
        <v>25</v>
      </c>
      <c r="D103" s="1">
        <v>0.15</v>
      </c>
      <c r="E103" t="s">
        <v>31</v>
      </c>
      <c r="F103" s="1">
        <v>0.2</v>
      </c>
      <c r="G103" t="s">
        <v>24</v>
      </c>
      <c r="H103" s="1">
        <v>0.95</v>
      </c>
      <c r="I103" s="1"/>
      <c r="J103" s="1">
        <v>0.46</v>
      </c>
      <c r="K103" s="1">
        <v>0.46</v>
      </c>
      <c r="L103" s="1">
        <v>0.43</v>
      </c>
      <c r="M103" s="1">
        <v>0.38</v>
      </c>
      <c r="N103" s="1">
        <v>0.34</v>
      </c>
    </row>
    <row r="104" spans="1:14" x14ac:dyDescent="0.3">
      <c r="A104" t="s">
        <v>594</v>
      </c>
      <c r="B104" t="s">
        <v>621</v>
      </c>
      <c r="C104" t="s">
        <v>37</v>
      </c>
      <c r="D104" s="1">
        <v>0.15</v>
      </c>
      <c r="E104" t="s">
        <v>38</v>
      </c>
      <c r="F104" s="1">
        <v>0.3</v>
      </c>
      <c r="G104" t="s">
        <v>18</v>
      </c>
      <c r="H104" s="1">
        <v>0.9</v>
      </c>
      <c r="I104" s="1">
        <f>SUMPRODUCT(H104:H107,F104:F107)*D104</f>
        <v>0.1215</v>
      </c>
      <c r="J104" s="1">
        <v>0.66</v>
      </c>
      <c r="K104" s="1">
        <v>0.66</v>
      </c>
      <c r="L104" s="1">
        <v>0.63</v>
      </c>
      <c r="M104" s="1">
        <v>0.57999999999999996</v>
      </c>
      <c r="N104" s="1">
        <v>0.54</v>
      </c>
    </row>
    <row r="105" spans="1:14" x14ac:dyDescent="0.3">
      <c r="A105" t="s">
        <v>594</v>
      </c>
      <c r="B105" t="s">
        <v>621</v>
      </c>
      <c r="C105" t="s">
        <v>37</v>
      </c>
      <c r="D105" s="1">
        <v>0.15</v>
      </c>
      <c r="E105" t="s">
        <v>39</v>
      </c>
      <c r="F105" s="1">
        <v>0.25</v>
      </c>
      <c r="G105" t="s">
        <v>40</v>
      </c>
      <c r="H105" s="1">
        <v>0.7</v>
      </c>
      <c r="I105" s="1"/>
      <c r="J105" s="1">
        <v>0.66</v>
      </c>
      <c r="K105" s="1">
        <v>0.66</v>
      </c>
      <c r="L105" s="1">
        <v>0.63</v>
      </c>
      <c r="M105" s="1">
        <v>0.57999999999999996</v>
      </c>
      <c r="N105" s="1">
        <v>0.54</v>
      </c>
    </row>
    <row r="106" spans="1:14" x14ac:dyDescent="0.3">
      <c r="A106" t="s">
        <v>594</v>
      </c>
      <c r="B106" t="s">
        <v>621</v>
      </c>
      <c r="C106" t="s">
        <v>37</v>
      </c>
      <c r="D106" s="1">
        <v>0.15</v>
      </c>
      <c r="E106" t="s">
        <v>41</v>
      </c>
      <c r="F106" s="1">
        <v>0.25</v>
      </c>
      <c r="G106" t="s">
        <v>28</v>
      </c>
      <c r="H106" s="1">
        <v>0.7</v>
      </c>
      <c r="I106" s="1"/>
      <c r="J106" s="1">
        <v>0.66</v>
      </c>
      <c r="K106" s="1">
        <v>0.66</v>
      </c>
      <c r="L106" s="1">
        <v>0.63</v>
      </c>
      <c r="M106" s="1">
        <v>0.57999999999999996</v>
      </c>
      <c r="N106" s="1">
        <v>0.54</v>
      </c>
    </row>
    <row r="107" spans="1:14" x14ac:dyDescent="0.3">
      <c r="A107" t="s">
        <v>594</v>
      </c>
      <c r="B107" t="s">
        <v>621</v>
      </c>
      <c r="C107" t="s">
        <v>37</v>
      </c>
      <c r="D107" s="1">
        <v>0.15</v>
      </c>
      <c r="E107" t="s">
        <v>42</v>
      </c>
      <c r="F107" s="1">
        <v>0.2</v>
      </c>
      <c r="G107" t="s">
        <v>24</v>
      </c>
      <c r="H107" s="1">
        <v>0.95</v>
      </c>
      <c r="I107" s="1"/>
      <c r="J107" s="1">
        <v>0.66</v>
      </c>
      <c r="K107" s="1">
        <v>0.66</v>
      </c>
      <c r="L107" s="1">
        <v>0.63</v>
      </c>
      <c r="M107" s="1">
        <v>0.57999999999999996</v>
      </c>
      <c r="N107" s="1">
        <v>0.54</v>
      </c>
    </row>
    <row r="108" spans="1:14" x14ac:dyDescent="0.3">
      <c r="A108" t="s">
        <v>594</v>
      </c>
      <c r="B108" t="s">
        <v>621</v>
      </c>
      <c r="C108" t="s">
        <v>43</v>
      </c>
      <c r="D108" s="1">
        <v>0.15</v>
      </c>
      <c r="E108" t="s">
        <v>623</v>
      </c>
      <c r="F108" s="1">
        <v>0.25</v>
      </c>
      <c r="G108" t="s">
        <v>18</v>
      </c>
      <c r="H108" s="1">
        <v>0.9</v>
      </c>
      <c r="I108" s="1">
        <f>SUMPRODUCT(H108:H111,F108:F111)*D108</f>
        <v>8.9249999999999996E-2</v>
      </c>
      <c r="J108" s="1">
        <v>0.46</v>
      </c>
      <c r="K108" s="1">
        <v>0.46</v>
      </c>
      <c r="L108" s="1">
        <v>0.43</v>
      </c>
      <c r="M108" s="1">
        <v>0.38</v>
      </c>
      <c r="N108" s="1">
        <v>0.34</v>
      </c>
    </row>
    <row r="109" spans="1:14" x14ac:dyDescent="0.3">
      <c r="A109" t="s">
        <v>594</v>
      </c>
      <c r="B109" t="s">
        <v>621</v>
      </c>
      <c r="C109" t="s">
        <v>43</v>
      </c>
      <c r="D109" s="1">
        <v>0.15</v>
      </c>
      <c r="E109" t="s">
        <v>403</v>
      </c>
      <c r="F109" s="1">
        <v>0.25</v>
      </c>
      <c r="G109" t="s">
        <v>20</v>
      </c>
      <c r="H109" s="1">
        <v>0.6</v>
      </c>
      <c r="I109" s="1"/>
      <c r="J109" s="1">
        <v>0.46</v>
      </c>
      <c r="K109" s="1">
        <v>0.46</v>
      </c>
      <c r="L109" s="1">
        <v>0.43</v>
      </c>
      <c r="M109" s="1">
        <v>0.38</v>
      </c>
      <c r="N109" s="1">
        <v>0.34</v>
      </c>
    </row>
    <row r="110" spans="1:14" x14ac:dyDescent="0.3">
      <c r="A110" t="s">
        <v>594</v>
      </c>
      <c r="B110" t="s">
        <v>621</v>
      </c>
      <c r="C110" t="s">
        <v>43</v>
      </c>
      <c r="D110" s="1">
        <v>0.15</v>
      </c>
      <c r="E110" t="s">
        <v>46</v>
      </c>
      <c r="F110" s="1">
        <v>0.3</v>
      </c>
      <c r="G110" t="s">
        <v>30</v>
      </c>
      <c r="H110" s="1">
        <v>0.1</v>
      </c>
      <c r="I110" s="1"/>
      <c r="J110" s="1">
        <v>0.46</v>
      </c>
      <c r="K110" s="1">
        <v>0.46</v>
      </c>
      <c r="L110" s="1">
        <v>0.43</v>
      </c>
      <c r="M110" s="1">
        <v>0.38</v>
      </c>
      <c r="N110" s="1">
        <v>0.34</v>
      </c>
    </row>
    <row r="111" spans="1:14" x14ac:dyDescent="0.3">
      <c r="A111" t="s">
        <v>594</v>
      </c>
      <c r="B111" t="s">
        <v>621</v>
      </c>
      <c r="C111" t="s">
        <v>43</v>
      </c>
      <c r="D111" s="1">
        <v>0.15</v>
      </c>
      <c r="E111" t="s">
        <v>116</v>
      </c>
      <c r="F111" s="1">
        <v>0.2</v>
      </c>
      <c r="G111" t="s">
        <v>24</v>
      </c>
      <c r="H111" s="1">
        <v>0.95</v>
      </c>
      <c r="I111" s="1"/>
      <c r="J111" s="1">
        <v>0.46</v>
      </c>
      <c r="K111" s="1">
        <v>0.46</v>
      </c>
      <c r="L111" s="1">
        <v>0.43</v>
      </c>
      <c r="M111" s="1">
        <v>0.38</v>
      </c>
      <c r="N111" s="1">
        <v>0.34</v>
      </c>
    </row>
    <row r="112" spans="1:14" x14ac:dyDescent="0.3">
      <c r="A112" t="s">
        <v>594</v>
      </c>
      <c r="B112" t="s">
        <v>621</v>
      </c>
      <c r="C112" t="s">
        <v>136</v>
      </c>
      <c r="D112" s="1">
        <v>0.1</v>
      </c>
      <c r="E112" t="s">
        <v>123</v>
      </c>
      <c r="F112" s="1">
        <v>0.25</v>
      </c>
      <c r="G112" t="s">
        <v>40</v>
      </c>
      <c r="H112" s="1">
        <v>0.7</v>
      </c>
      <c r="I112" s="1">
        <f>SUMPRODUCT(H112:H115,F112:F115)*D112</f>
        <v>5.8749999999999997E-2</v>
      </c>
      <c r="J112" s="1">
        <v>0.43</v>
      </c>
      <c r="K112" s="1">
        <v>0.43</v>
      </c>
      <c r="L112" s="1">
        <v>0.4</v>
      </c>
      <c r="M112" s="1">
        <v>0.35</v>
      </c>
      <c r="N112" s="1">
        <v>0.31</v>
      </c>
    </row>
    <row r="113" spans="1:14" x14ac:dyDescent="0.3">
      <c r="A113" t="s">
        <v>594</v>
      </c>
      <c r="B113" t="s">
        <v>621</v>
      </c>
      <c r="C113" t="s">
        <v>136</v>
      </c>
      <c r="D113" s="1">
        <v>0.1</v>
      </c>
      <c r="E113" t="s">
        <v>50</v>
      </c>
      <c r="F113" s="1">
        <v>0.25</v>
      </c>
      <c r="G113" t="s">
        <v>20</v>
      </c>
      <c r="H113" s="1">
        <v>0.6</v>
      </c>
      <c r="I113" s="1"/>
      <c r="J113" s="1">
        <v>0.43</v>
      </c>
      <c r="K113" s="1">
        <v>0.43</v>
      </c>
      <c r="L113" s="1">
        <v>0.4</v>
      </c>
      <c r="M113" s="1">
        <v>0.35</v>
      </c>
      <c r="N113" s="1">
        <v>0.31</v>
      </c>
    </row>
    <row r="114" spans="1:14" x14ac:dyDescent="0.3">
      <c r="A114" t="s">
        <v>594</v>
      </c>
      <c r="B114" t="s">
        <v>621</v>
      </c>
      <c r="C114" t="s">
        <v>136</v>
      </c>
      <c r="D114" s="1">
        <v>0.1</v>
      </c>
      <c r="E114" t="s">
        <v>624</v>
      </c>
      <c r="F114" s="1">
        <v>0.25</v>
      </c>
      <c r="G114" t="s">
        <v>30</v>
      </c>
      <c r="H114" s="1">
        <v>0.1</v>
      </c>
      <c r="I114" s="1"/>
      <c r="J114" s="1">
        <v>0.43</v>
      </c>
      <c r="K114" s="1">
        <v>0.43</v>
      </c>
      <c r="L114" s="1">
        <v>0.4</v>
      </c>
      <c r="M114" s="1">
        <v>0.35</v>
      </c>
      <c r="N114" s="1">
        <v>0.31</v>
      </c>
    </row>
    <row r="115" spans="1:14" x14ac:dyDescent="0.3">
      <c r="A115" t="s">
        <v>594</v>
      </c>
      <c r="B115" t="s">
        <v>621</v>
      </c>
      <c r="C115" t="s">
        <v>136</v>
      </c>
      <c r="D115" s="1">
        <v>0.1</v>
      </c>
      <c r="E115" t="s">
        <v>53</v>
      </c>
      <c r="F115" s="1">
        <v>0.25</v>
      </c>
      <c r="G115" t="s">
        <v>24</v>
      </c>
      <c r="H115" s="1">
        <v>0.95</v>
      </c>
      <c r="I115" s="1"/>
      <c r="J115" s="1">
        <v>0.43</v>
      </c>
      <c r="K115" s="1">
        <v>0.43</v>
      </c>
      <c r="L115" s="1">
        <v>0.4</v>
      </c>
      <c r="M115" s="1">
        <v>0.35</v>
      </c>
      <c r="N115" s="1">
        <v>0.31</v>
      </c>
    </row>
    <row r="116" spans="1:14" x14ac:dyDescent="0.3">
      <c r="A116" t="s">
        <v>594</v>
      </c>
      <c r="B116" t="s">
        <v>621</v>
      </c>
      <c r="C116" t="s">
        <v>271</v>
      </c>
      <c r="D116" s="1">
        <v>0.15</v>
      </c>
      <c r="E116" t="s">
        <v>625</v>
      </c>
      <c r="F116" s="1">
        <v>0.3</v>
      </c>
      <c r="G116" t="s">
        <v>56</v>
      </c>
      <c r="H116" s="1">
        <v>0.3</v>
      </c>
      <c r="I116" s="1">
        <f>SUMPRODUCT(H116:H119,F116:F119)*D116</f>
        <v>6.8250000000000005E-2</v>
      </c>
      <c r="J116" s="1">
        <v>0.34</v>
      </c>
      <c r="K116" s="1">
        <v>0.34</v>
      </c>
      <c r="L116" s="1">
        <v>0.31</v>
      </c>
      <c r="M116" s="1">
        <v>0.27</v>
      </c>
      <c r="N116" s="1">
        <v>0.24</v>
      </c>
    </row>
    <row r="117" spans="1:14" x14ac:dyDescent="0.3">
      <c r="A117" t="s">
        <v>594</v>
      </c>
      <c r="B117" t="s">
        <v>621</v>
      </c>
      <c r="C117" t="s">
        <v>271</v>
      </c>
      <c r="D117" s="1">
        <v>0.15</v>
      </c>
      <c r="E117" t="s">
        <v>545</v>
      </c>
      <c r="F117" s="1">
        <v>0.25</v>
      </c>
      <c r="G117" t="s">
        <v>20</v>
      </c>
      <c r="H117" s="1">
        <v>0.6</v>
      </c>
      <c r="I117" s="1"/>
      <c r="J117" s="1">
        <v>0.34</v>
      </c>
      <c r="K117" s="1">
        <v>0.34</v>
      </c>
      <c r="L117" s="1">
        <v>0.31</v>
      </c>
      <c r="M117" s="1">
        <v>0.27</v>
      </c>
      <c r="N117" s="1">
        <v>0.24</v>
      </c>
    </row>
    <row r="118" spans="1:14" x14ac:dyDescent="0.3">
      <c r="A118" t="s">
        <v>594</v>
      </c>
      <c r="B118" t="s">
        <v>621</v>
      </c>
      <c r="C118" t="s">
        <v>271</v>
      </c>
      <c r="D118" s="1">
        <v>0.15</v>
      </c>
      <c r="E118" t="s">
        <v>535</v>
      </c>
      <c r="F118" s="1">
        <v>0.25</v>
      </c>
      <c r="G118" t="s">
        <v>30</v>
      </c>
      <c r="H118" s="1">
        <v>0.1</v>
      </c>
      <c r="I118" s="1"/>
      <c r="J118" s="1">
        <v>0.34</v>
      </c>
      <c r="K118" s="1">
        <v>0.34</v>
      </c>
      <c r="L118" s="1">
        <v>0.31</v>
      </c>
      <c r="M118" s="1">
        <v>0.27</v>
      </c>
      <c r="N118" s="1">
        <v>0.24</v>
      </c>
    </row>
    <row r="119" spans="1:14" x14ac:dyDescent="0.3">
      <c r="A119" t="s">
        <v>594</v>
      </c>
      <c r="B119" t="s">
        <v>621</v>
      </c>
      <c r="C119" t="s">
        <v>271</v>
      </c>
      <c r="D119" s="1">
        <v>0.15</v>
      </c>
      <c r="E119" t="s">
        <v>59</v>
      </c>
      <c r="F119" s="1">
        <v>0.2</v>
      </c>
      <c r="G119" t="s">
        <v>24</v>
      </c>
      <c r="H119" s="1">
        <v>0.95</v>
      </c>
      <c r="I119" s="1"/>
      <c r="J119" s="1">
        <v>0.34</v>
      </c>
      <c r="K119" s="1">
        <v>0.34</v>
      </c>
      <c r="L119" s="1">
        <v>0.31</v>
      </c>
      <c r="M119" s="1">
        <v>0.27</v>
      </c>
      <c r="N119" s="1">
        <v>0.24</v>
      </c>
    </row>
    <row r="120" spans="1:14" x14ac:dyDescent="0.3">
      <c r="I120" s="2">
        <f>SUM(I92:I116)</f>
        <v>0.72625000000000006</v>
      </c>
      <c r="J120" s="2">
        <f>+J100*$D100+J104*$D104+J108*$D108+J112*$D112+J116*$D116+$D96*J96+$D92*J92</f>
        <v>0.56800000000000006</v>
      </c>
      <c r="K120" s="2">
        <f t="shared" ref="K120:N120" si="3">+K100*$D100+K104*$D104+K108*$D108+K112*$D112+K116*$D116+$D96*K96+$D92*K92</f>
        <v>0.56800000000000006</v>
      </c>
      <c r="L120" s="2">
        <f t="shared" si="3"/>
        <v>0.53349999999999997</v>
      </c>
      <c r="M120" s="2">
        <f t="shared" si="3"/>
        <v>0.48</v>
      </c>
      <c r="N120" s="2">
        <f t="shared" si="3"/>
        <v>0.438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13"/>
  <sheetViews>
    <sheetView tabSelected="1" topLeftCell="A82" workbookViewId="0">
      <selection activeCell="D137" sqref="D137"/>
    </sheetView>
  </sheetViews>
  <sheetFormatPr defaultRowHeight="14.4" x14ac:dyDescent="0.3"/>
  <cols>
    <col min="1" max="1" width="18.33203125" customWidth="1"/>
    <col min="2" max="2" width="35" customWidth="1"/>
    <col min="3" max="3" width="30.33203125" customWidth="1"/>
    <col min="4" max="4" width="9.6640625" customWidth="1"/>
    <col min="5" max="5" width="46.33203125" customWidth="1"/>
    <col min="6" max="6" width="7.6640625" customWidth="1"/>
    <col min="7" max="7" width="32.5546875" customWidth="1"/>
    <col min="8" max="8" width="12.88671875" customWidth="1"/>
    <col min="9" max="9" width="20.33203125" customWidth="1"/>
    <col min="10" max="10" width="25.21875" customWidth="1"/>
    <col min="11" max="12" width="4.44140625" customWidth="1"/>
    <col min="13" max="13" width="12.109375" customWidth="1"/>
    <col min="14" max="14" width="5" customWidth="1"/>
  </cols>
  <sheetData>
    <row r="1" spans="1:14" x14ac:dyDescent="0.3">
      <c r="A1" t="s">
        <v>626</v>
      </c>
      <c r="B1" t="s">
        <v>627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628</v>
      </c>
      <c r="B2" t="s">
        <v>629</v>
      </c>
      <c r="C2" t="s">
        <v>630</v>
      </c>
      <c r="D2" s="1">
        <v>0.25</v>
      </c>
      <c r="E2" t="s">
        <v>631</v>
      </c>
      <c r="F2" s="1">
        <v>0.2</v>
      </c>
      <c r="G2" t="s">
        <v>20</v>
      </c>
      <c r="H2" s="1">
        <v>0.6</v>
      </c>
      <c r="I2" s="1"/>
      <c r="J2" s="1">
        <v>0.57999999999999996</v>
      </c>
      <c r="K2" s="1">
        <v>0.57999999999999996</v>
      </c>
      <c r="L2" s="1">
        <v>0.55000000000000004</v>
      </c>
      <c r="M2" s="1">
        <v>0.53</v>
      </c>
      <c r="N2" s="1">
        <v>0.55000000000000004</v>
      </c>
    </row>
    <row r="3" spans="1:14" x14ac:dyDescent="0.3">
      <c r="A3" t="s">
        <v>628</v>
      </c>
      <c r="B3" t="s">
        <v>629</v>
      </c>
      <c r="C3" t="s">
        <v>630</v>
      </c>
      <c r="D3" s="1">
        <v>0.25</v>
      </c>
      <c r="E3" t="s">
        <v>632</v>
      </c>
      <c r="F3" s="1">
        <v>0.4</v>
      </c>
      <c r="G3" t="s">
        <v>73</v>
      </c>
      <c r="H3" s="1">
        <v>0.8</v>
      </c>
      <c r="I3" s="1"/>
      <c r="J3" s="1">
        <v>0.57999999999999996</v>
      </c>
      <c r="K3" s="1">
        <v>0.57999999999999996</v>
      </c>
      <c r="L3" s="1">
        <v>0.55000000000000004</v>
      </c>
      <c r="M3" s="1">
        <v>0.53</v>
      </c>
      <c r="N3" s="1">
        <v>0.55000000000000004</v>
      </c>
    </row>
    <row r="4" spans="1:14" x14ac:dyDescent="0.3">
      <c r="A4" t="s">
        <v>628</v>
      </c>
      <c r="B4" t="s">
        <v>629</v>
      </c>
      <c r="C4" t="s">
        <v>630</v>
      </c>
      <c r="D4" s="1">
        <v>0.25</v>
      </c>
      <c r="E4" t="s">
        <v>633</v>
      </c>
      <c r="F4" s="1">
        <v>0.25</v>
      </c>
      <c r="G4" t="s">
        <v>20</v>
      </c>
      <c r="H4" s="1">
        <v>0.75</v>
      </c>
      <c r="I4" s="1"/>
      <c r="J4" s="1">
        <v>0.57999999999999996</v>
      </c>
      <c r="K4" s="1">
        <v>0.57999999999999996</v>
      </c>
      <c r="L4" s="1">
        <v>0.55000000000000004</v>
      </c>
      <c r="M4" s="1">
        <v>0.53</v>
      </c>
      <c r="N4" s="1">
        <v>0.55000000000000004</v>
      </c>
    </row>
    <row r="5" spans="1:14" x14ac:dyDescent="0.3">
      <c r="A5" t="s">
        <v>628</v>
      </c>
      <c r="B5" t="s">
        <v>629</v>
      </c>
      <c r="C5" t="s">
        <v>630</v>
      </c>
      <c r="D5" s="1">
        <v>0.25</v>
      </c>
      <c r="E5" t="s">
        <v>634</v>
      </c>
      <c r="F5" s="1">
        <v>0.15</v>
      </c>
      <c r="G5" t="s">
        <v>24</v>
      </c>
      <c r="H5" s="1">
        <v>0.95</v>
      </c>
      <c r="I5" s="1"/>
      <c r="J5" s="1">
        <v>0.57999999999999996</v>
      </c>
      <c r="K5" s="1">
        <v>0.57999999999999996</v>
      </c>
      <c r="L5" s="1">
        <v>0.55000000000000004</v>
      </c>
      <c r="M5" s="1">
        <v>0.53</v>
      </c>
      <c r="N5" s="1">
        <v>0.55000000000000004</v>
      </c>
    </row>
    <row r="6" spans="1:14" x14ac:dyDescent="0.3">
      <c r="A6" t="s">
        <v>628</v>
      </c>
      <c r="B6" t="s">
        <v>629</v>
      </c>
      <c r="C6" t="s">
        <v>635</v>
      </c>
      <c r="D6" s="1">
        <v>0.25</v>
      </c>
      <c r="E6" t="s">
        <v>636</v>
      </c>
      <c r="F6" s="1">
        <v>0.3</v>
      </c>
      <c r="G6" t="s">
        <v>18</v>
      </c>
      <c r="H6" s="1">
        <v>0.9</v>
      </c>
      <c r="I6" s="1"/>
      <c r="J6" s="1">
        <v>0.68</v>
      </c>
      <c r="K6" s="1">
        <v>0.68</v>
      </c>
      <c r="L6" s="1">
        <v>0.65</v>
      </c>
      <c r="M6" s="1">
        <v>0.62</v>
      </c>
      <c r="N6" s="1">
        <v>0.64</v>
      </c>
    </row>
    <row r="7" spans="1:14" x14ac:dyDescent="0.3">
      <c r="A7" t="s">
        <v>628</v>
      </c>
      <c r="B7" t="s">
        <v>629</v>
      </c>
      <c r="C7" t="s">
        <v>635</v>
      </c>
      <c r="D7" s="1">
        <v>0.25</v>
      </c>
      <c r="E7" t="s">
        <v>637</v>
      </c>
      <c r="F7" s="1">
        <v>0.3</v>
      </c>
      <c r="G7" t="s">
        <v>20</v>
      </c>
      <c r="H7" s="1">
        <v>0.75</v>
      </c>
      <c r="I7" s="1"/>
      <c r="J7" s="1">
        <v>0.68</v>
      </c>
      <c r="K7" s="1">
        <v>0.68</v>
      </c>
      <c r="L7" s="1">
        <v>0.65</v>
      </c>
      <c r="M7" s="1">
        <v>0.62</v>
      </c>
      <c r="N7" s="1">
        <v>0.64</v>
      </c>
    </row>
    <row r="8" spans="1:14" x14ac:dyDescent="0.3">
      <c r="A8" t="s">
        <v>628</v>
      </c>
      <c r="B8" t="s">
        <v>629</v>
      </c>
      <c r="C8" t="s">
        <v>635</v>
      </c>
      <c r="D8" s="1">
        <v>0.25</v>
      </c>
      <c r="E8" t="s">
        <v>638</v>
      </c>
      <c r="F8" s="1">
        <v>0.25</v>
      </c>
      <c r="G8" t="s">
        <v>18</v>
      </c>
      <c r="H8" s="1">
        <v>0.85</v>
      </c>
      <c r="I8" s="1"/>
      <c r="J8" s="1">
        <v>0.68</v>
      </c>
      <c r="K8" s="1">
        <v>0.68</v>
      </c>
      <c r="L8" s="1">
        <v>0.65</v>
      </c>
      <c r="M8" s="1">
        <v>0.62</v>
      </c>
      <c r="N8" s="1">
        <v>0.64</v>
      </c>
    </row>
    <row r="9" spans="1:14" x14ac:dyDescent="0.3">
      <c r="A9" t="s">
        <v>628</v>
      </c>
      <c r="B9" t="s">
        <v>629</v>
      </c>
      <c r="C9" t="s">
        <v>635</v>
      </c>
      <c r="D9" s="1">
        <v>0.25</v>
      </c>
      <c r="E9" t="s">
        <v>639</v>
      </c>
      <c r="F9" s="1">
        <v>0.15</v>
      </c>
      <c r="G9" t="s">
        <v>24</v>
      </c>
      <c r="H9" s="1">
        <v>0.95</v>
      </c>
      <c r="I9" s="1"/>
      <c r="J9" s="1">
        <v>0.68</v>
      </c>
      <c r="K9" s="1">
        <v>0.68</v>
      </c>
      <c r="L9" s="1">
        <v>0.65</v>
      </c>
      <c r="M9" s="1">
        <v>0.62</v>
      </c>
      <c r="N9" s="1">
        <v>0.64</v>
      </c>
    </row>
    <row r="10" spans="1:14" x14ac:dyDescent="0.3">
      <c r="A10" t="s">
        <v>628</v>
      </c>
      <c r="B10" t="s">
        <v>629</v>
      </c>
      <c r="C10" t="s">
        <v>640</v>
      </c>
      <c r="D10" s="1">
        <v>0.2</v>
      </c>
      <c r="E10" t="s">
        <v>641</v>
      </c>
      <c r="F10" s="1">
        <v>0.25</v>
      </c>
      <c r="G10" t="s">
        <v>73</v>
      </c>
      <c r="H10" s="1">
        <v>0.85</v>
      </c>
      <c r="I10" s="1"/>
      <c r="J10" s="1">
        <v>0.69</v>
      </c>
      <c r="K10" s="1">
        <v>0.69</v>
      </c>
      <c r="L10" s="1">
        <v>0.66</v>
      </c>
      <c r="M10" s="1">
        <v>0.63</v>
      </c>
      <c r="N10" s="1">
        <v>0.65</v>
      </c>
    </row>
    <row r="11" spans="1:14" x14ac:dyDescent="0.3">
      <c r="A11" t="s">
        <v>628</v>
      </c>
      <c r="B11" t="s">
        <v>629</v>
      </c>
      <c r="C11" t="s">
        <v>640</v>
      </c>
      <c r="D11" s="1">
        <v>0.2</v>
      </c>
      <c r="E11" t="s">
        <v>642</v>
      </c>
      <c r="F11" s="1">
        <v>0.35</v>
      </c>
      <c r="G11" t="s">
        <v>73</v>
      </c>
      <c r="H11" s="1">
        <v>0.9</v>
      </c>
      <c r="I11" s="1"/>
      <c r="J11" s="1">
        <v>0.69</v>
      </c>
      <c r="K11" s="1">
        <v>0.69</v>
      </c>
      <c r="L11" s="1">
        <v>0.66</v>
      </c>
      <c r="M11" s="1">
        <v>0.63</v>
      </c>
      <c r="N11" s="1">
        <v>0.65</v>
      </c>
    </row>
    <row r="12" spans="1:14" x14ac:dyDescent="0.3">
      <c r="A12" t="s">
        <v>628</v>
      </c>
      <c r="B12" t="s">
        <v>629</v>
      </c>
      <c r="C12" t="s">
        <v>640</v>
      </c>
      <c r="D12" s="1">
        <v>0.2</v>
      </c>
      <c r="E12" t="s">
        <v>643</v>
      </c>
      <c r="F12" s="1">
        <v>0.25</v>
      </c>
      <c r="G12" t="s">
        <v>20</v>
      </c>
      <c r="H12" s="1">
        <v>0.75</v>
      </c>
      <c r="I12" s="1"/>
      <c r="J12" s="1">
        <v>0.69</v>
      </c>
      <c r="K12" s="1">
        <v>0.69</v>
      </c>
      <c r="L12" s="1">
        <v>0.66</v>
      </c>
      <c r="M12" s="1">
        <v>0.63</v>
      </c>
      <c r="N12" s="1">
        <v>0.65</v>
      </c>
    </row>
    <row r="13" spans="1:14" x14ac:dyDescent="0.3">
      <c r="A13" t="s">
        <v>628</v>
      </c>
      <c r="B13" t="s">
        <v>629</v>
      </c>
      <c r="C13" t="s">
        <v>640</v>
      </c>
      <c r="D13" s="1">
        <v>0.2</v>
      </c>
      <c r="E13" t="s">
        <v>644</v>
      </c>
      <c r="F13" s="1">
        <v>0.15</v>
      </c>
      <c r="G13" t="s">
        <v>24</v>
      </c>
      <c r="H13" s="1">
        <v>0.95</v>
      </c>
      <c r="I13" s="1"/>
      <c r="J13" s="1">
        <v>0.69</v>
      </c>
      <c r="K13" s="1">
        <v>0.69</v>
      </c>
      <c r="L13" s="1">
        <v>0.66</v>
      </c>
      <c r="M13" s="1">
        <v>0.63</v>
      </c>
      <c r="N13" s="1">
        <v>0.65</v>
      </c>
    </row>
    <row r="14" spans="1:14" x14ac:dyDescent="0.3">
      <c r="A14" t="s">
        <v>628</v>
      </c>
      <c r="B14" t="s">
        <v>629</v>
      </c>
      <c r="C14" t="s">
        <v>645</v>
      </c>
      <c r="D14" s="1">
        <v>0.15</v>
      </c>
      <c r="E14" t="s">
        <v>646</v>
      </c>
      <c r="F14" s="1">
        <v>0.3</v>
      </c>
      <c r="G14" t="s">
        <v>20</v>
      </c>
      <c r="H14" s="1">
        <v>0.7</v>
      </c>
      <c r="I14" s="1"/>
      <c r="J14" s="1">
        <v>0.49</v>
      </c>
      <c r="K14" s="1">
        <v>0.49</v>
      </c>
      <c r="L14" s="1">
        <v>0.46</v>
      </c>
      <c r="M14" s="1">
        <v>0.44</v>
      </c>
      <c r="N14" s="1">
        <v>0.45</v>
      </c>
    </row>
    <row r="15" spans="1:14" x14ac:dyDescent="0.3">
      <c r="A15" t="s">
        <v>628</v>
      </c>
      <c r="B15" t="s">
        <v>629</v>
      </c>
      <c r="C15" t="s">
        <v>645</v>
      </c>
      <c r="D15" s="1">
        <v>0.15</v>
      </c>
      <c r="E15" t="s">
        <v>647</v>
      </c>
      <c r="F15" s="1">
        <v>0.25</v>
      </c>
      <c r="G15" t="s">
        <v>56</v>
      </c>
      <c r="H15" s="1">
        <v>0.4</v>
      </c>
      <c r="I15" s="1"/>
      <c r="J15" s="1">
        <v>0.49</v>
      </c>
      <c r="K15" s="1">
        <v>0.49</v>
      </c>
      <c r="L15" s="1">
        <v>0.46</v>
      </c>
      <c r="M15" s="1">
        <v>0.44</v>
      </c>
      <c r="N15" s="1">
        <v>0.45</v>
      </c>
    </row>
    <row r="16" spans="1:14" x14ac:dyDescent="0.3">
      <c r="A16" t="s">
        <v>628</v>
      </c>
      <c r="B16" t="s">
        <v>629</v>
      </c>
      <c r="C16" t="s">
        <v>648</v>
      </c>
      <c r="D16" s="1">
        <v>0.25</v>
      </c>
      <c r="E16" t="s">
        <v>73</v>
      </c>
      <c r="F16" s="1">
        <v>0.8</v>
      </c>
      <c r="G16" s="1">
        <v>0.63</v>
      </c>
      <c r="H16" s="1">
        <v>0.49</v>
      </c>
      <c r="I16" s="1"/>
      <c r="J16" s="1">
        <v>0.46</v>
      </c>
      <c r="K16" s="1">
        <v>0.44</v>
      </c>
      <c r="L16" s="1">
        <v>0.45</v>
      </c>
    </row>
    <row r="17" spans="1:14" x14ac:dyDescent="0.3">
      <c r="A17" t="s">
        <v>628</v>
      </c>
      <c r="B17" t="s">
        <v>629</v>
      </c>
      <c r="C17" t="s">
        <v>645</v>
      </c>
      <c r="D17" s="1">
        <v>0.15</v>
      </c>
      <c r="E17" t="s">
        <v>649</v>
      </c>
      <c r="F17" s="1">
        <v>0.15</v>
      </c>
      <c r="G17" t="s">
        <v>24</v>
      </c>
      <c r="H17" s="1">
        <v>0.95</v>
      </c>
      <c r="I17" s="1"/>
      <c r="J17" s="1">
        <v>0.49</v>
      </c>
      <c r="K17" s="1">
        <v>0.49</v>
      </c>
      <c r="L17" s="1">
        <v>0.46</v>
      </c>
      <c r="M17" s="1">
        <v>0.44</v>
      </c>
      <c r="N17" s="1">
        <v>0.45</v>
      </c>
    </row>
    <row r="18" spans="1:14" x14ac:dyDescent="0.3">
      <c r="A18" t="s">
        <v>628</v>
      </c>
      <c r="B18" t="s">
        <v>629</v>
      </c>
      <c r="C18" t="s">
        <v>650</v>
      </c>
      <c r="D18" s="1">
        <v>0.15</v>
      </c>
      <c r="E18" t="s">
        <v>651</v>
      </c>
      <c r="F18" s="1">
        <v>0.3</v>
      </c>
      <c r="G18" t="s">
        <v>18</v>
      </c>
      <c r="H18" s="1">
        <v>0.9</v>
      </c>
      <c r="I18" s="1"/>
      <c r="J18" s="1">
        <v>0.66</v>
      </c>
      <c r="K18" s="1">
        <v>0.66</v>
      </c>
      <c r="L18" s="1">
        <v>0.63</v>
      </c>
      <c r="M18" s="1">
        <v>0.6</v>
      </c>
      <c r="N18" s="1">
        <v>0.62</v>
      </c>
    </row>
    <row r="19" spans="1:14" x14ac:dyDescent="0.3">
      <c r="A19" t="s">
        <v>628</v>
      </c>
      <c r="B19" t="s">
        <v>629</v>
      </c>
      <c r="C19" t="s">
        <v>650</v>
      </c>
      <c r="D19" s="1">
        <v>0.15</v>
      </c>
      <c r="E19" t="s">
        <v>652</v>
      </c>
      <c r="F19" s="1">
        <v>0.25</v>
      </c>
      <c r="G19" t="s">
        <v>28</v>
      </c>
      <c r="H19" s="1">
        <v>0.7</v>
      </c>
      <c r="I19" s="1"/>
      <c r="J19" s="1">
        <v>0.66</v>
      </c>
      <c r="K19" s="1">
        <v>0.66</v>
      </c>
      <c r="L19" s="1">
        <v>0.63</v>
      </c>
      <c r="M19" s="1">
        <v>0.6</v>
      </c>
      <c r="N19" s="1">
        <v>0.62</v>
      </c>
    </row>
    <row r="20" spans="1:14" x14ac:dyDescent="0.3">
      <c r="A20" t="s">
        <v>628</v>
      </c>
      <c r="B20" t="s">
        <v>629</v>
      </c>
      <c r="C20" t="s">
        <v>650</v>
      </c>
      <c r="D20" s="1">
        <v>0.15</v>
      </c>
      <c r="E20" t="s">
        <v>653</v>
      </c>
      <c r="F20" s="1">
        <v>0.25</v>
      </c>
      <c r="G20" t="s">
        <v>40</v>
      </c>
      <c r="H20" s="1">
        <v>0.8</v>
      </c>
      <c r="I20" s="1"/>
      <c r="J20" s="1">
        <v>0.66</v>
      </c>
      <c r="K20" s="1">
        <v>0.66</v>
      </c>
      <c r="L20" s="1">
        <v>0.63</v>
      </c>
      <c r="M20" s="1">
        <v>0.6</v>
      </c>
      <c r="N20" s="1">
        <v>0.62</v>
      </c>
    </row>
    <row r="21" spans="1:14" x14ac:dyDescent="0.3">
      <c r="A21" t="s">
        <v>628</v>
      </c>
      <c r="B21" t="s">
        <v>629</v>
      </c>
      <c r="C21" t="s">
        <v>650</v>
      </c>
      <c r="D21" s="1">
        <v>0.15</v>
      </c>
      <c r="E21" t="s">
        <v>654</v>
      </c>
      <c r="F21" s="1">
        <v>0.2</v>
      </c>
      <c r="G21" t="s">
        <v>24</v>
      </c>
      <c r="H21" s="1">
        <v>0.95</v>
      </c>
      <c r="I21" s="1"/>
      <c r="J21" s="1">
        <v>0.66</v>
      </c>
      <c r="K21" s="1">
        <v>0.66</v>
      </c>
      <c r="L21" s="1">
        <v>0.63</v>
      </c>
      <c r="M21" s="1">
        <v>0.6</v>
      </c>
      <c r="N21" s="1">
        <v>0.62</v>
      </c>
    </row>
    <row r="22" spans="1:14" x14ac:dyDescent="0.3">
      <c r="A22" t="s">
        <v>628</v>
      </c>
      <c r="B22" t="s">
        <v>655</v>
      </c>
      <c r="C22" t="s">
        <v>656</v>
      </c>
      <c r="D22" s="1">
        <v>0.15</v>
      </c>
      <c r="E22" t="s">
        <v>657</v>
      </c>
      <c r="F22" s="1">
        <v>0.3</v>
      </c>
      <c r="G22" t="s">
        <v>18</v>
      </c>
      <c r="H22" s="1">
        <v>0.9</v>
      </c>
      <c r="I22" s="1"/>
      <c r="J22" s="1">
        <v>0.65</v>
      </c>
      <c r="K22" s="1">
        <v>0.65</v>
      </c>
      <c r="L22" s="1">
        <v>0.62</v>
      </c>
      <c r="M22" s="1">
        <v>0.59</v>
      </c>
      <c r="N22" s="1">
        <v>0.61</v>
      </c>
    </row>
    <row r="23" spans="1:14" x14ac:dyDescent="0.3">
      <c r="A23" t="s">
        <v>628</v>
      </c>
      <c r="B23" t="s">
        <v>655</v>
      </c>
      <c r="C23" t="s">
        <v>656</v>
      </c>
      <c r="D23" s="1">
        <v>0.15</v>
      </c>
      <c r="E23" t="s">
        <v>658</v>
      </c>
      <c r="F23" s="1">
        <v>0.25</v>
      </c>
      <c r="G23" t="s">
        <v>28</v>
      </c>
      <c r="H23" s="1">
        <v>0.7</v>
      </c>
      <c r="I23" s="1"/>
      <c r="J23" s="1">
        <v>0.65</v>
      </c>
      <c r="K23" s="1">
        <v>0.65</v>
      </c>
      <c r="L23" s="1">
        <v>0.62</v>
      </c>
      <c r="M23" s="1">
        <v>0.59</v>
      </c>
      <c r="N23" s="1">
        <v>0.61</v>
      </c>
    </row>
    <row r="24" spans="1:14" x14ac:dyDescent="0.3">
      <c r="A24" t="s">
        <v>628</v>
      </c>
      <c r="B24" t="s">
        <v>655</v>
      </c>
      <c r="C24" t="s">
        <v>656</v>
      </c>
      <c r="D24" s="1">
        <v>0.15</v>
      </c>
      <c r="E24" t="s">
        <v>659</v>
      </c>
      <c r="F24" s="1">
        <v>0.25</v>
      </c>
      <c r="G24" t="s">
        <v>20</v>
      </c>
      <c r="H24" s="1">
        <v>0.7</v>
      </c>
      <c r="I24" s="1"/>
      <c r="J24" s="1">
        <v>0.65</v>
      </c>
      <c r="K24" s="1">
        <v>0.65</v>
      </c>
      <c r="L24" s="1">
        <v>0.62</v>
      </c>
      <c r="M24" s="1">
        <v>0.59</v>
      </c>
      <c r="N24" s="1">
        <v>0.61</v>
      </c>
    </row>
    <row r="25" spans="1:14" x14ac:dyDescent="0.3">
      <c r="A25" t="s">
        <v>628</v>
      </c>
      <c r="B25" t="s">
        <v>655</v>
      </c>
      <c r="C25" t="s">
        <v>656</v>
      </c>
      <c r="D25" s="1">
        <v>0.15</v>
      </c>
      <c r="E25" t="s">
        <v>660</v>
      </c>
      <c r="F25" s="1">
        <v>0.2</v>
      </c>
      <c r="G25" t="s">
        <v>24</v>
      </c>
      <c r="H25" s="1">
        <v>0.95</v>
      </c>
      <c r="I25" s="1"/>
      <c r="J25" s="1">
        <v>0.65</v>
      </c>
      <c r="K25" s="1">
        <v>0.65</v>
      </c>
      <c r="L25" s="1">
        <v>0.62</v>
      </c>
      <c r="M25" s="1">
        <v>0.59</v>
      </c>
      <c r="N25" s="1">
        <v>0.61</v>
      </c>
    </row>
    <row r="26" spans="1:14" x14ac:dyDescent="0.3">
      <c r="A26" t="s">
        <v>628</v>
      </c>
      <c r="B26" t="s">
        <v>655</v>
      </c>
      <c r="C26" t="s">
        <v>661</v>
      </c>
      <c r="D26" s="1">
        <v>0.2</v>
      </c>
      <c r="E26" t="s">
        <v>662</v>
      </c>
      <c r="F26" s="1">
        <v>0.35</v>
      </c>
      <c r="G26" t="s">
        <v>18</v>
      </c>
      <c r="H26" s="1">
        <v>0.9</v>
      </c>
      <c r="I26" s="1"/>
      <c r="J26" s="1">
        <v>0.6</v>
      </c>
      <c r="K26" s="1">
        <v>0.6</v>
      </c>
      <c r="L26" s="1">
        <v>0.56999999999999995</v>
      </c>
      <c r="M26" s="1">
        <v>0.54</v>
      </c>
      <c r="N26" s="1">
        <v>0.56000000000000005</v>
      </c>
    </row>
    <row r="27" spans="1:14" x14ac:dyDescent="0.3">
      <c r="A27" t="s">
        <v>628</v>
      </c>
      <c r="B27" t="s">
        <v>655</v>
      </c>
      <c r="C27" t="s">
        <v>661</v>
      </c>
      <c r="D27" s="1">
        <v>0.2</v>
      </c>
      <c r="E27" t="s">
        <v>663</v>
      </c>
      <c r="F27" s="1">
        <v>0.25</v>
      </c>
      <c r="G27" t="s">
        <v>20</v>
      </c>
      <c r="H27" s="1">
        <v>0.7</v>
      </c>
      <c r="I27" s="1"/>
      <c r="J27" s="1">
        <v>0.6</v>
      </c>
      <c r="K27" s="1">
        <v>0.6</v>
      </c>
      <c r="L27" s="1">
        <v>0.56999999999999995</v>
      </c>
      <c r="M27" s="1">
        <v>0.54</v>
      </c>
      <c r="N27" s="1">
        <v>0.56000000000000005</v>
      </c>
    </row>
    <row r="28" spans="1:14" x14ac:dyDescent="0.3">
      <c r="A28" t="s">
        <v>628</v>
      </c>
      <c r="B28" t="s">
        <v>655</v>
      </c>
      <c r="C28" t="s">
        <v>661</v>
      </c>
      <c r="D28" s="1">
        <v>0.2</v>
      </c>
      <c r="E28" t="s">
        <v>664</v>
      </c>
      <c r="F28" s="1">
        <v>0.25</v>
      </c>
      <c r="G28" t="s">
        <v>30</v>
      </c>
      <c r="H28" s="1">
        <v>0.1</v>
      </c>
      <c r="I28" s="1"/>
      <c r="J28" s="1">
        <v>0.6</v>
      </c>
      <c r="K28" s="1">
        <v>0.6</v>
      </c>
      <c r="L28" s="1">
        <v>0.56999999999999995</v>
      </c>
      <c r="M28" s="1">
        <v>0.54</v>
      </c>
      <c r="N28" s="1">
        <v>0.56000000000000005</v>
      </c>
    </row>
    <row r="29" spans="1:14" x14ac:dyDescent="0.3">
      <c r="A29" t="s">
        <v>628</v>
      </c>
      <c r="B29" t="s">
        <v>655</v>
      </c>
      <c r="C29" t="s">
        <v>661</v>
      </c>
      <c r="D29" s="1">
        <v>0.2</v>
      </c>
      <c r="E29" t="s">
        <v>665</v>
      </c>
      <c r="F29" s="1">
        <v>0.15</v>
      </c>
      <c r="G29" t="s">
        <v>24</v>
      </c>
      <c r="H29" s="1">
        <v>0.95</v>
      </c>
      <c r="I29" s="1"/>
      <c r="J29" s="1">
        <v>0.6</v>
      </c>
      <c r="K29" s="1">
        <v>0.6</v>
      </c>
      <c r="L29" s="1">
        <v>0.56999999999999995</v>
      </c>
      <c r="M29" s="1">
        <v>0.54</v>
      </c>
      <c r="N29" s="1">
        <v>0.56000000000000005</v>
      </c>
    </row>
    <row r="30" spans="1:14" x14ac:dyDescent="0.3">
      <c r="A30" t="s">
        <v>628</v>
      </c>
      <c r="B30" t="s">
        <v>655</v>
      </c>
      <c r="C30" t="s">
        <v>666</v>
      </c>
      <c r="D30" s="1">
        <v>0.2</v>
      </c>
      <c r="E30" t="s">
        <v>17</v>
      </c>
      <c r="F30" s="1">
        <v>0.3</v>
      </c>
      <c r="G30" t="s">
        <v>18</v>
      </c>
      <c r="H30" s="1">
        <v>0.9</v>
      </c>
      <c r="I30" s="2"/>
      <c r="J30" s="1">
        <v>0.68</v>
      </c>
      <c r="K30" s="1">
        <v>0.68</v>
      </c>
      <c r="L30" s="1">
        <v>0.65</v>
      </c>
      <c r="M30" s="1">
        <v>0.62</v>
      </c>
      <c r="N30" s="1">
        <v>0.64</v>
      </c>
    </row>
    <row r="31" spans="1:14" x14ac:dyDescent="0.3">
      <c r="A31" t="s">
        <v>628</v>
      </c>
      <c r="B31" t="s">
        <v>655</v>
      </c>
      <c r="C31" t="s">
        <v>666</v>
      </c>
      <c r="D31" s="1">
        <v>0.2</v>
      </c>
      <c r="E31" t="s">
        <v>667</v>
      </c>
      <c r="F31" s="1">
        <v>0.25</v>
      </c>
      <c r="G31" t="s">
        <v>20</v>
      </c>
      <c r="H31" s="1">
        <v>0.7</v>
      </c>
      <c r="I31" s="1"/>
      <c r="J31" s="1">
        <v>0.68</v>
      </c>
      <c r="K31" s="1">
        <v>0.68</v>
      </c>
      <c r="L31" s="1">
        <v>0.65</v>
      </c>
      <c r="M31" s="1">
        <v>0.62</v>
      </c>
      <c r="N31" s="1">
        <v>0.64</v>
      </c>
    </row>
    <row r="32" spans="1:14" x14ac:dyDescent="0.3">
      <c r="A32" t="s">
        <v>628</v>
      </c>
      <c r="B32" t="s">
        <v>655</v>
      </c>
      <c r="C32" t="s">
        <v>666</v>
      </c>
      <c r="D32" s="1">
        <v>0.2</v>
      </c>
      <c r="E32" t="s">
        <v>668</v>
      </c>
      <c r="F32" s="1">
        <v>0.2</v>
      </c>
      <c r="G32" t="s">
        <v>22</v>
      </c>
      <c r="H32" s="1">
        <v>0.85</v>
      </c>
      <c r="I32" s="1"/>
      <c r="J32" s="1">
        <v>0.68</v>
      </c>
      <c r="K32" s="1">
        <v>0.68</v>
      </c>
      <c r="L32" s="1">
        <v>0.65</v>
      </c>
      <c r="M32" s="1">
        <v>0.62</v>
      </c>
      <c r="N32" s="1">
        <v>0.64</v>
      </c>
    </row>
    <row r="33" spans="1:14" x14ac:dyDescent="0.3">
      <c r="A33" t="s">
        <v>628</v>
      </c>
      <c r="B33" t="s">
        <v>655</v>
      </c>
      <c r="C33" t="s">
        <v>666</v>
      </c>
      <c r="D33" s="1">
        <v>0.2</v>
      </c>
      <c r="E33" t="s">
        <v>669</v>
      </c>
      <c r="F33" s="1">
        <v>0.25</v>
      </c>
      <c r="G33" t="s">
        <v>24</v>
      </c>
      <c r="H33" s="1">
        <v>0.95</v>
      </c>
      <c r="I33" s="1"/>
      <c r="J33" s="1">
        <v>0.68</v>
      </c>
      <c r="K33" s="1">
        <v>0.68</v>
      </c>
      <c r="L33" s="1">
        <v>0.65</v>
      </c>
      <c r="M33" s="1">
        <v>0.62</v>
      </c>
      <c r="N33" s="1">
        <v>0.64</v>
      </c>
    </row>
    <row r="34" spans="1:14" x14ac:dyDescent="0.3">
      <c r="A34" t="s">
        <v>628</v>
      </c>
      <c r="B34" t="s">
        <v>655</v>
      </c>
      <c r="C34" t="s">
        <v>25</v>
      </c>
      <c r="D34" s="1">
        <v>0.15</v>
      </c>
      <c r="E34" t="s">
        <v>670</v>
      </c>
      <c r="F34" s="1">
        <v>0.3</v>
      </c>
      <c r="G34" t="s">
        <v>18</v>
      </c>
      <c r="H34" s="1">
        <v>0.9</v>
      </c>
      <c r="I34" s="1"/>
      <c r="J34" s="1">
        <v>0.53</v>
      </c>
      <c r="K34" s="1">
        <v>0.53</v>
      </c>
      <c r="L34" s="1">
        <v>0.5</v>
      </c>
      <c r="M34" s="1">
        <v>0.47</v>
      </c>
      <c r="N34" s="1">
        <v>0.49</v>
      </c>
    </row>
    <row r="35" spans="1:14" x14ac:dyDescent="0.3">
      <c r="A35" t="s">
        <v>628</v>
      </c>
      <c r="B35" t="s">
        <v>655</v>
      </c>
      <c r="C35" t="s">
        <v>25</v>
      </c>
      <c r="D35" s="1">
        <v>0.15</v>
      </c>
      <c r="E35" t="s">
        <v>671</v>
      </c>
      <c r="F35" s="1">
        <v>0.25</v>
      </c>
      <c r="G35" t="s">
        <v>28</v>
      </c>
      <c r="H35" s="1">
        <v>0.7</v>
      </c>
      <c r="I35" s="1"/>
      <c r="J35" s="1">
        <v>0.53</v>
      </c>
      <c r="K35" s="1">
        <v>0.53</v>
      </c>
      <c r="L35" s="1">
        <v>0.5</v>
      </c>
      <c r="M35" s="1">
        <v>0.47</v>
      </c>
      <c r="N35" s="1">
        <v>0.49</v>
      </c>
    </row>
    <row r="36" spans="1:14" x14ac:dyDescent="0.3">
      <c r="A36" t="s">
        <v>628</v>
      </c>
      <c r="B36" t="s">
        <v>655</v>
      </c>
      <c r="C36" t="s">
        <v>25</v>
      </c>
      <c r="D36" s="1">
        <v>0.15</v>
      </c>
      <c r="E36" t="s">
        <v>672</v>
      </c>
      <c r="F36" s="1">
        <v>0.25</v>
      </c>
      <c r="G36" t="s">
        <v>30</v>
      </c>
      <c r="H36" s="1">
        <v>0.1</v>
      </c>
      <c r="I36" s="1"/>
      <c r="J36" s="1">
        <v>0.53</v>
      </c>
      <c r="K36" s="1">
        <v>0.53</v>
      </c>
      <c r="L36" s="1">
        <v>0.5</v>
      </c>
      <c r="M36" s="1">
        <v>0.47</v>
      </c>
      <c r="N36" s="1">
        <v>0.49</v>
      </c>
    </row>
    <row r="37" spans="1:14" x14ac:dyDescent="0.3">
      <c r="A37" t="s">
        <v>628</v>
      </c>
      <c r="B37" t="s">
        <v>655</v>
      </c>
      <c r="C37" t="s">
        <v>25</v>
      </c>
      <c r="D37" s="1">
        <v>0.15</v>
      </c>
      <c r="E37" t="s">
        <v>31</v>
      </c>
      <c r="F37" s="1">
        <v>0.2</v>
      </c>
      <c r="G37" t="s">
        <v>24</v>
      </c>
      <c r="H37" s="1">
        <v>0.95</v>
      </c>
      <c r="I37" s="1"/>
      <c r="J37" s="1">
        <v>0.53</v>
      </c>
      <c r="K37" s="1">
        <v>0.53</v>
      </c>
      <c r="L37" s="1">
        <v>0.5</v>
      </c>
      <c r="M37" s="1">
        <v>0.47</v>
      </c>
      <c r="N37" s="1">
        <v>0.49</v>
      </c>
    </row>
    <row r="38" spans="1:14" x14ac:dyDescent="0.3">
      <c r="A38" t="s">
        <v>628</v>
      </c>
      <c r="B38" t="s">
        <v>655</v>
      </c>
      <c r="C38" t="s">
        <v>673</v>
      </c>
      <c r="D38" s="1">
        <v>0.2</v>
      </c>
      <c r="E38" t="s">
        <v>674</v>
      </c>
      <c r="F38" s="1">
        <v>0.3</v>
      </c>
      <c r="G38" t="s">
        <v>18</v>
      </c>
      <c r="H38" s="1">
        <v>0.9</v>
      </c>
      <c r="I38" s="1"/>
      <c r="J38" s="1">
        <v>0.61</v>
      </c>
      <c r="K38" s="1">
        <v>0.61</v>
      </c>
      <c r="L38" s="1">
        <v>0.57999999999999996</v>
      </c>
      <c r="M38" s="1">
        <v>0.55000000000000004</v>
      </c>
      <c r="N38" s="1">
        <v>0.56999999999999995</v>
      </c>
    </row>
    <row r="39" spans="1:14" x14ac:dyDescent="0.3">
      <c r="A39" t="s">
        <v>628</v>
      </c>
      <c r="B39" t="s">
        <v>655</v>
      </c>
      <c r="C39" t="s">
        <v>673</v>
      </c>
      <c r="D39" s="1">
        <v>0.2</v>
      </c>
      <c r="E39" t="s">
        <v>675</v>
      </c>
      <c r="F39" s="1">
        <v>0.25</v>
      </c>
      <c r="G39" t="s">
        <v>20</v>
      </c>
      <c r="H39" s="1">
        <v>0.7</v>
      </c>
      <c r="I39" s="1"/>
      <c r="J39" s="1">
        <v>0.61</v>
      </c>
      <c r="K39" s="1">
        <v>0.61</v>
      </c>
      <c r="L39" s="1">
        <v>0.57999999999999996</v>
      </c>
      <c r="M39" s="1">
        <v>0.55000000000000004</v>
      </c>
      <c r="N39" s="1">
        <v>0.56999999999999995</v>
      </c>
    </row>
    <row r="40" spans="1:14" x14ac:dyDescent="0.3">
      <c r="A40" t="s">
        <v>628</v>
      </c>
      <c r="B40" t="s">
        <v>655</v>
      </c>
      <c r="C40" t="s">
        <v>673</v>
      </c>
      <c r="D40" s="1">
        <v>0.2</v>
      </c>
      <c r="E40" t="s">
        <v>676</v>
      </c>
      <c r="F40" s="1">
        <v>0.25</v>
      </c>
      <c r="G40" t="s">
        <v>28</v>
      </c>
      <c r="H40" s="1">
        <v>0.7</v>
      </c>
      <c r="I40" s="1"/>
      <c r="J40" s="1">
        <v>0.61</v>
      </c>
      <c r="K40" s="1">
        <v>0.61</v>
      </c>
      <c r="L40" s="1">
        <v>0.57999999999999996</v>
      </c>
      <c r="M40" s="1">
        <v>0.55000000000000004</v>
      </c>
      <c r="N40" s="1">
        <v>0.56999999999999995</v>
      </c>
    </row>
    <row r="41" spans="1:14" x14ac:dyDescent="0.3">
      <c r="A41" t="s">
        <v>628</v>
      </c>
      <c r="B41" t="s">
        <v>655</v>
      </c>
      <c r="C41" t="s">
        <v>673</v>
      </c>
      <c r="D41" s="1">
        <v>0.2</v>
      </c>
      <c r="E41" t="s">
        <v>677</v>
      </c>
      <c r="F41" s="1">
        <v>0.2</v>
      </c>
      <c r="G41" t="s">
        <v>24</v>
      </c>
      <c r="H41" s="1">
        <v>0.95</v>
      </c>
      <c r="I41" s="1"/>
      <c r="J41" s="1">
        <v>0.61</v>
      </c>
      <c r="K41" s="1">
        <v>0.61</v>
      </c>
      <c r="L41" s="1">
        <v>0.57999999999999996</v>
      </c>
      <c r="M41" s="1">
        <v>0.55000000000000004</v>
      </c>
      <c r="N41" s="1">
        <v>0.56999999999999995</v>
      </c>
    </row>
    <row r="42" spans="1:14" x14ac:dyDescent="0.3">
      <c r="A42" t="s">
        <v>628</v>
      </c>
      <c r="B42" t="s">
        <v>655</v>
      </c>
      <c r="C42" t="s">
        <v>678</v>
      </c>
      <c r="D42" s="1">
        <v>0.1</v>
      </c>
      <c r="E42" t="s">
        <v>679</v>
      </c>
      <c r="F42" s="1">
        <v>0.3</v>
      </c>
      <c r="G42" t="s">
        <v>18</v>
      </c>
      <c r="H42" s="1">
        <v>0.9</v>
      </c>
      <c r="I42" s="1"/>
      <c r="J42" s="1">
        <v>0.51</v>
      </c>
      <c r="K42" s="1">
        <v>0.51</v>
      </c>
      <c r="L42" s="1">
        <v>0.48</v>
      </c>
      <c r="M42" s="1">
        <v>0.45</v>
      </c>
      <c r="N42" s="1">
        <v>0.47</v>
      </c>
    </row>
    <row r="43" spans="1:14" x14ac:dyDescent="0.3">
      <c r="A43" t="s">
        <v>628</v>
      </c>
      <c r="B43" t="s">
        <v>655</v>
      </c>
      <c r="C43" t="s">
        <v>678</v>
      </c>
      <c r="D43" s="1">
        <v>0.1</v>
      </c>
      <c r="E43" t="s">
        <v>114</v>
      </c>
      <c r="F43" s="1">
        <v>0.25</v>
      </c>
      <c r="G43" t="s">
        <v>20</v>
      </c>
      <c r="H43" s="1">
        <v>0.7</v>
      </c>
      <c r="I43" s="1"/>
      <c r="J43" s="1">
        <v>0.51</v>
      </c>
      <c r="K43" s="1">
        <v>0.51</v>
      </c>
      <c r="L43" s="1">
        <v>0.48</v>
      </c>
      <c r="M43" s="1">
        <v>0.45</v>
      </c>
      <c r="N43" s="1">
        <v>0.47</v>
      </c>
    </row>
    <row r="44" spans="1:14" x14ac:dyDescent="0.3">
      <c r="A44" t="s">
        <v>628</v>
      </c>
      <c r="B44" t="s">
        <v>655</v>
      </c>
      <c r="C44" t="s">
        <v>678</v>
      </c>
      <c r="D44" s="1">
        <v>0.1</v>
      </c>
      <c r="E44" t="s">
        <v>680</v>
      </c>
      <c r="F44" s="1">
        <v>0.25</v>
      </c>
      <c r="G44" t="s">
        <v>30</v>
      </c>
      <c r="H44" s="1">
        <v>0.1</v>
      </c>
      <c r="I44" s="1"/>
      <c r="J44" s="1">
        <v>0.51</v>
      </c>
      <c r="K44" s="1">
        <v>0.51</v>
      </c>
      <c r="L44" s="1">
        <v>0.48</v>
      </c>
      <c r="M44" s="1">
        <v>0.45</v>
      </c>
      <c r="N44" s="1">
        <v>0.47</v>
      </c>
    </row>
    <row r="45" spans="1:14" x14ac:dyDescent="0.3">
      <c r="A45" t="s">
        <v>628</v>
      </c>
      <c r="B45" t="s">
        <v>655</v>
      </c>
      <c r="C45" t="s">
        <v>678</v>
      </c>
      <c r="D45" s="1">
        <v>0.1</v>
      </c>
      <c r="E45" t="s">
        <v>681</v>
      </c>
      <c r="F45" s="1">
        <v>0.2</v>
      </c>
      <c r="G45" t="s">
        <v>24</v>
      </c>
      <c r="H45" s="1">
        <v>0.95</v>
      </c>
      <c r="I45" s="1"/>
      <c r="J45" s="1">
        <v>0.51</v>
      </c>
      <c r="K45" s="1">
        <v>0.51</v>
      </c>
      <c r="L45" s="1">
        <v>0.48</v>
      </c>
      <c r="M45" s="1">
        <v>0.45</v>
      </c>
      <c r="N45" s="1">
        <v>0.47</v>
      </c>
    </row>
    <row r="46" spans="1:14" x14ac:dyDescent="0.3">
      <c r="A46" t="s">
        <v>628</v>
      </c>
      <c r="B46" t="s">
        <v>682</v>
      </c>
      <c r="C46" t="s">
        <v>683</v>
      </c>
      <c r="D46" s="1">
        <v>0.2</v>
      </c>
      <c r="E46" t="s">
        <v>684</v>
      </c>
      <c r="F46" s="1">
        <v>0.25</v>
      </c>
      <c r="G46" t="s">
        <v>20</v>
      </c>
      <c r="H46" s="1">
        <v>0.6</v>
      </c>
      <c r="I46" s="1"/>
      <c r="J46" s="1">
        <v>0.37</v>
      </c>
      <c r="K46" s="1">
        <v>0.37</v>
      </c>
      <c r="L46" s="1">
        <v>0.34</v>
      </c>
      <c r="M46" s="1">
        <v>0.31</v>
      </c>
      <c r="N46" s="1">
        <v>0.32</v>
      </c>
    </row>
    <row r="47" spans="1:14" x14ac:dyDescent="0.3">
      <c r="A47" t="s">
        <v>628</v>
      </c>
      <c r="B47" t="s">
        <v>682</v>
      </c>
      <c r="C47" t="s">
        <v>683</v>
      </c>
      <c r="D47" s="1">
        <v>0.2</v>
      </c>
      <c r="E47" t="s">
        <v>685</v>
      </c>
      <c r="F47" s="1">
        <v>0.3</v>
      </c>
      <c r="G47" t="s">
        <v>56</v>
      </c>
      <c r="H47" s="1">
        <v>0.3</v>
      </c>
      <c r="I47" s="1"/>
      <c r="J47" s="1">
        <v>0.37</v>
      </c>
      <c r="K47" s="1">
        <v>0.37</v>
      </c>
      <c r="L47" s="1">
        <v>0.34</v>
      </c>
      <c r="M47" s="1">
        <v>0.31</v>
      </c>
      <c r="N47" s="1">
        <v>0.32</v>
      </c>
    </row>
    <row r="48" spans="1:14" x14ac:dyDescent="0.3">
      <c r="A48" t="s">
        <v>628</v>
      </c>
      <c r="B48" t="s">
        <v>682</v>
      </c>
      <c r="C48" t="s">
        <v>683</v>
      </c>
      <c r="D48" s="1">
        <v>0.2</v>
      </c>
      <c r="E48" t="s">
        <v>686</v>
      </c>
      <c r="F48" s="1">
        <v>0.25</v>
      </c>
      <c r="G48" t="s">
        <v>20</v>
      </c>
      <c r="H48" s="1">
        <v>0.6</v>
      </c>
      <c r="I48" s="1"/>
      <c r="J48" s="1">
        <v>0.37</v>
      </c>
      <c r="K48" s="1">
        <v>0.37</v>
      </c>
      <c r="L48" s="1">
        <v>0.34</v>
      </c>
      <c r="M48" s="1">
        <v>0.31</v>
      </c>
      <c r="N48" s="1">
        <v>0.32</v>
      </c>
    </row>
    <row r="49" spans="1:14" x14ac:dyDescent="0.3">
      <c r="A49" t="s">
        <v>628</v>
      </c>
      <c r="B49" t="s">
        <v>682</v>
      </c>
      <c r="C49" t="s">
        <v>683</v>
      </c>
      <c r="D49" s="1">
        <v>0.2</v>
      </c>
      <c r="E49" t="s">
        <v>687</v>
      </c>
      <c r="F49" s="1">
        <v>0.2</v>
      </c>
      <c r="G49" t="s">
        <v>24</v>
      </c>
      <c r="H49" s="1">
        <v>0.95</v>
      </c>
      <c r="I49" s="1"/>
      <c r="J49" s="1">
        <v>0.37</v>
      </c>
      <c r="K49" s="1">
        <v>0.37</v>
      </c>
      <c r="L49" s="1">
        <v>0.34</v>
      </c>
      <c r="M49" s="1">
        <v>0.31</v>
      </c>
      <c r="N49" s="1">
        <v>0.32</v>
      </c>
    </row>
    <row r="50" spans="1:14" x14ac:dyDescent="0.3">
      <c r="A50" t="s">
        <v>628</v>
      </c>
      <c r="B50" t="s">
        <v>682</v>
      </c>
      <c r="C50" t="s">
        <v>688</v>
      </c>
      <c r="D50" s="1">
        <v>0.1</v>
      </c>
      <c r="E50" t="s">
        <v>689</v>
      </c>
      <c r="F50" s="1">
        <v>0.3</v>
      </c>
      <c r="G50" t="s">
        <v>20</v>
      </c>
      <c r="H50" s="1">
        <v>0.6</v>
      </c>
      <c r="I50" s="1"/>
      <c r="J50" s="1">
        <v>0.28999999999999998</v>
      </c>
      <c r="K50" s="1">
        <v>0.28999999999999998</v>
      </c>
      <c r="L50" s="1">
        <v>0.27</v>
      </c>
      <c r="M50" s="1">
        <v>0.24</v>
      </c>
      <c r="N50" s="1">
        <v>0.25</v>
      </c>
    </row>
    <row r="51" spans="1:14" x14ac:dyDescent="0.3">
      <c r="A51" t="s">
        <v>628</v>
      </c>
      <c r="B51" t="s">
        <v>682</v>
      </c>
      <c r="C51" t="s">
        <v>688</v>
      </c>
      <c r="D51" s="1">
        <v>0.1</v>
      </c>
      <c r="E51" t="s">
        <v>690</v>
      </c>
      <c r="F51" s="1">
        <v>0.3</v>
      </c>
      <c r="G51" t="s">
        <v>56</v>
      </c>
      <c r="H51" s="1">
        <v>0.3</v>
      </c>
      <c r="I51" s="1"/>
      <c r="J51" s="1">
        <v>0.28999999999999998</v>
      </c>
      <c r="K51" s="1">
        <v>0.28999999999999998</v>
      </c>
      <c r="L51" s="1">
        <v>0.27</v>
      </c>
      <c r="M51" s="1">
        <v>0.24</v>
      </c>
      <c r="N51" s="1">
        <v>0.25</v>
      </c>
    </row>
    <row r="52" spans="1:14" x14ac:dyDescent="0.3">
      <c r="A52" t="s">
        <v>628</v>
      </c>
      <c r="B52" t="s">
        <v>682</v>
      </c>
      <c r="C52" t="s">
        <v>688</v>
      </c>
      <c r="D52" s="1">
        <v>0.1</v>
      </c>
      <c r="E52" t="s">
        <v>691</v>
      </c>
      <c r="F52" s="1">
        <v>0.2</v>
      </c>
      <c r="G52" t="s">
        <v>22</v>
      </c>
      <c r="H52" s="1">
        <v>0.85</v>
      </c>
      <c r="I52" s="1"/>
      <c r="J52" s="1">
        <v>0.28999999999999998</v>
      </c>
      <c r="K52" s="1">
        <v>0.28999999999999998</v>
      </c>
      <c r="L52" s="1">
        <v>0.27</v>
      </c>
      <c r="M52" s="1">
        <v>0.24</v>
      </c>
      <c r="N52" s="1">
        <v>0.25</v>
      </c>
    </row>
    <row r="53" spans="1:14" x14ac:dyDescent="0.3">
      <c r="A53" t="s">
        <v>628</v>
      </c>
      <c r="B53" t="s">
        <v>682</v>
      </c>
      <c r="C53" t="s">
        <v>688</v>
      </c>
      <c r="D53" s="1">
        <v>0.1</v>
      </c>
      <c r="E53" t="s">
        <v>692</v>
      </c>
      <c r="F53" s="1">
        <v>0.2</v>
      </c>
      <c r="G53" t="s">
        <v>24</v>
      </c>
      <c r="H53" s="1">
        <v>0.95</v>
      </c>
      <c r="I53" s="1"/>
      <c r="J53" s="1">
        <v>0.28999999999999998</v>
      </c>
      <c r="K53" s="1">
        <v>0.28999999999999998</v>
      </c>
      <c r="L53" s="1">
        <v>0.27</v>
      </c>
      <c r="M53" s="1">
        <v>0.24</v>
      </c>
      <c r="N53" s="1">
        <v>0.25</v>
      </c>
    </row>
    <row r="54" spans="1:14" x14ac:dyDescent="0.3">
      <c r="A54" t="s">
        <v>628</v>
      </c>
      <c r="B54" t="s">
        <v>682</v>
      </c>
      <c r="C54" t="s">
        <v>693</v>
      </c>
      <c r="D54" s="1">
        <v>0.15</v>
      </c>
      <c r="E54" t="s">
        <v>694</v>
      </c>
      <c r="F54" s="1">
        <v>0.3</v>
      </c>
      <c r="G54" t="s">
        <v>20</v>
      </c>
      <c r="H54" s="1">
        <v>0.6</v>
      </c>
      <c r="I54" s="1"/>
      <c r="J54" s="1">
        <v>0.37</v>
      </c>
      <c r="K54" s="1">
        <v>0.37</v>
      </c>
      <c r="L54" s="1">
        <v>0.34</v>
      </c>
      <c r="M54" s="1">
        <v>0.31</v>
      </c>
      <c r="N54" s="1">
        <v>0.32</v>
      </c>
    </row>
    <row r="55" spans="1:14" x14ac:dyDescent="0.3">
      <c r="A55" t="s">
        <v>628</v>
      </c>
      <c r="B55" t="s">
        <v>682</v>
      </c>
      <c r="C55" t="s">
        <v>693</v>
      </c>
      <c r="D55" s="1">
        <v>0.15</v>
      </c>
      <c r="E55" t="s">
        <v>695</v>
      </c>
      <c r="F55" s="1">
        <v>0.25</v>
      </c>
      <c r="G55" t="s">
        <v>56</v>
      </c>
      <c r="H55" s="1">
        <v>0.3</v>
      </c>
      <c r="I55" s="1"/>
      <c r="J55" s="1">
        <v>0.37</v>
      </c>
      <c r="K55" s="1">
        <v>0.37</v>
      </c>
      <c r="L55" s="1">
        <v>0.34</v>
      </c>
      <c r="M55" s="1">
        <v>0.31</v>
      </c>
      <c r="N55" s="1">
        <v>0.32</v>
      </c>
    </row>
    <row r="56" spans="1:14" x14ac:dyDescent="0.3">
      <c r="A56" t="s">
        <v>628</v>
      </c>
      <c r="B56" t="s">
        <v>682</v>
      </c>
      <c r="C56" t="s">
        <v>693</v>
      </c>
      <c r="D56" s="1">
        <v>0.15</v>
      </c>
      <c r="E56" t="s">
        <v>696</v>
      </c>
      <c r="F56" s="1">
        <v>0.25</v>
      </c>
      <c r="G56" t="s">
        <v>28</v>
      </c>
      <c r="H56" s="1">
        <v>0.7</v>
      </c>
      <c r="I56" s="1"/>
      <c r="J56" s="1">
        <v>0.37</v>
      </c>
      <c r="K56" s="1">
        <v>0.37</v>
      </c>
      <c r="L56" s="1">
        <v>0.34</v>
      </c>
      <c r="M56" s="1">
        <v>0.31</v>
      </c>
      <c r="N56" s="1">
        <v>0.32</v>
      </c>
    </row>
    <row r="57" spans="1:14" x14ac:dyDescent="0.3">
      <c r="A57" t="s">
        <v>628</v>
      </c>
      <c r="B57" t="s">
        <v>682</v>
      </c>
      <c r="C57" t="s">
        <v>693</v>
      </c>
      <c r="D57" s="1">
        <v>0.15</v>
      </c>
      <c r="E57" t="s">
        <v>697</v>
      </c>
      <c r="F57" s="1">
        <v>0.2</v>
      </c>
      <c r="G57" t="s">
        <v>24</v>
      </c>
      <c r="H57" s="1">
        <v>0.95</v>
      </c>
      <c r="I57" s="1"/>
      <c r="J57" s="1">
        <v>0.37</v>
      </c>
      <c r="K57" s="1">
        <v>0.37</v>
      </c>
      <c r="L57" s="1">
        <v>0.34</v>
      </c>
      <c r="M57" s="1">
        <v>0.31</v>
      </c>
      <c r="N57" s="1">
        <v>0.32</v>
      </c>
    </row>
    <row r="58" spans="1:14" x14ac:dyDescent="0.3">
      <c r="A58" t="s">
        <v>628</v>
      </c>
      <c r="B58" t="s">
        <v>682</v>
      </c>
      <c r="C58" t="s">
        <v>698</v>
      </c>
      <c r="D58" s="1">
        <v>0.1</v>
      </c>
      <c r="E58" t="s">
        <v>699</v>
      </c>
      <c r="F58" s="1">
        <v>0.3</v>
      </c>
      <c r="G58" t="s">
        <v>20</v>
      </c>
      <c r="H58" s="1">
        <v>0.6</v>
      </c>
      <c r="I58" s="1"/>
      <c r="J58" s="1">
        <v>0.46</v>
      </c>
      <c r="K58" s="1">
        <v>0.46</v>
      </c>
      <c r="L58" s="1">
        <v>0.43</v>
      </c>
      <c r="M58" s="1">
        <v>0.4</v>
      </c>
      <c r="N58" s="1">
        <v>0.41</v>
      </c>
    </row>
    <row r="59" spans="1:14" x14ac:dyDescent="0.3">
      <c r="A59" t="s">
        <v>628</v>
      </c>
      <c r="B59" t="s">
        <v>682</v>
      </c>
      <c r="C59" t="s">
        <v>698</v>
      </c>
      <c r="D59" s="1">
        <v>0.1</v>
      </c>
      <c r="E59" t="s">
        <v>700</v>
      </c>
      <c r="F59" s="1">
        <v>0.25</v>
      </c>
      <c r="G59" t="s">
        <v>40</v>
      </c>
      <c r="H59" s="1">
        <v>0.7</v>
      </c>
      <c r="I59" s="1"/>
      <c r="J59" s="1">
        <v>0.46</v>
      </c>
      <c r="K59" s="1">
        <v>0.46</v>
      </c>
      <c r="L59" s="1">
        <v>0.43</v>
      </c>
      <c r="M59" s="1">
        <v>0.4</v>
      </c>
      <c r="N59" s="1">
        <v>0.41</v>
      </c>
    </row>
    <row r="60" spans="1:14" x14ac:dyDescent="0.3">
      <c r="A60" t="s">
        <v>628</v>
      </c>
      <c r="B60" t="s">
        <v>682</v>
      </c>
      <c r="C60" t="s">
        <v>698</v>
      </c>
      <c r="D60" s="1">
        <v>0.1</v>
      </c>
      <c r="E60" t="s">
        <v>701</v>
      </c>
      <c r="F60" s="1">
        <v>0.2</v>
      </c>
      <c r="G60" t="s">
        <v>22</v>
      </c>
      <c r="H60" s="1">
        <v>0.85</v>
      </c>
      <c r="I60" s="1"/>
      <c r="J60" s="1">
        <v>0.46</v>
      </c>
      <c r="K60" s="1">
        <v>0.46</v>
      </c>
      <c r="L60" s="1">
        <v>0.43</v>
      </c>
      <c r="M60" s="1">
        <v>0.4</v>
      </c>
      <c r="N60" s="1">
        <v>0.41</v>
      </c>
    </row>
    <row r="61" spans="1:14" x14ac:dyDescent="0.3">
      <c r="A61" t="s">
        <v>628</v>
      </c>
      <c r="B61" t="s">
        <v>682</v>
      </c>
      <c r="C61" t="s">
        <v>698</v>
      </c>
      <c r="D61" s="1">
        <v>0.1</v>
      </c>
      <c r="E61" t="s">
        <v>702</v>
      </c>
      <c r="F61" s="1">
        <v>0.25</v>
      </c>
      <c r="G61" t="s">
        <v>24</v>
      </c>
      <c r="H61" s="1">
        <v>0.95</v>
      </c>
      <c r="I61" s="1"/>
      <c r="J61" s="1">
        <v>0.46</v>
      </c>
      <c r="K61" s="1">
        <v>0.46</v>
      </c>
      <c r="L61" s="1">
        <v>0.43</v>
      </c>
      <c r="M61" s="1">
        <v>0.4</v>
      </c>
      <c r="N61" s="1">
        <v>0.41</v>
      </c>
    </row>
    <row r="62" spans="1:14" x14ac:dyDescent="0.3">
      <c r="A62" t="s">
        <v>628</v>
      </c>
      <c r="B62" t="s">
        <v>682</v>
      </c>
      <c r="C62" t="s">
        <v>703</v>
      </c>
      <c r="D62" s="1">
        <v>0.15</v>
      </c>
      <c r="E62" t="s">
        <v>704</v>
      </c>
      <c r="F62" s="1">
        <v>0.3</v>
      </c>
      <c r="G62" t="s">
        <v>20</v>
      </c>
      <c r="H62" s="1">
        <v>0.6</v>
      </c>
      <c r="I62" s="1"/>
      <c r="J62" s="1">
        <v>0.4</v>
      </c>
      <c r="K62" s="1">
        <v>0.4</v>
      </c>
      <c r="L62" s="1">
        <v>0.37</v>
      </c>
      <c r="M62" s="1">
        <v>0.34</v>
      </c>
      <c r="N62" s="1">
        <v>0.36</v>
      </c>
    </row>
    <row r="63" spans="1:14" x14ac:dyDescent="0.3">
      <c r="A63" t="s">
        <v>628</v>
      </c>
      <c r="B63" t="s">
        <v>682</v>
      </c>
      <c r="C63" t="s">
        <v>703</v>
      </c>
      <c r="D63" s="1">
        <v>0.15</v>
      </c>
      <c r="E63" t="s">
        <v>705</v>
      </c>
      <c r="F63" s="1">
        <v>0.3</v>
      </c>
      <c r="G63" t="s">
        <v>56</v>
      </c>
      <c r="H63" s="1">
        <v>0.3</v>
      </c>
      <c r="I63" s="1"/>
      <c r="J63" s="1">
        <v>0.4</v>
      </c>
      <c r="K63" s="1">
        <v>0.4</v>
      </c>
      <c r="L63" s="1">
        <v>0.37</v>
      </c>
      <c r="M63" s="1">
        <v>0.34</v>
      </c>
      <c r="N63" s="1">
        <v>0.36</v>
      </c>
    </row>
    <row r="64" spans="1:14" x14ac:dyDescent="0.3">
      <c r="A64" t="s">
        <v>628</v>
      </c>
      <c r="B64" t="s">
        <v>682</v>
      </c>
      <c r="C64" t="s">
        <v>703</v>
      </c>
      <c r="D64" s="1">
        <v>0.15</v>
      </c>
      <c r="E64" t="s">
        <v>706</v>
      </c>
      <c r="F64" s="1">
        <v>0.25</v>
      </c>
      <c r="G64" t="s">
        <v>20</v>
      </c>
      <c r="H64" s="1">
        <v>0.6</v>
      </c>
      <c r="I64" s="1"/>
      <c r="J64" s="1">
        <v>0.4</v>
      </c>
      <c r="K64" s="1">
        <v>0.4</v>
      </c>
      <c r="L64" s="1">
        <v>0.37</v>
      </c>
      <c r="M64" s="1">
        <v>0.34</v>
      </c>
      <c r="N64" s="1">
        <v>0.36</v>
      </c>
    </row>
    <row r="65" spans="1:14" x14ac:dyDescent="0.3">
      <c r="A65" t="s">
        <v>628</v>
      </c>
      <c r="B65" t="s">
        <v>682</v>
      </c>
      <c r="C65" t="s">
        <v>703</v>
      </c>
      <c r="D65" s="1">
        <v>0.15</v>
      </c>
      <c r="E65" t="s">
        <v>707</v>
      </c>
      <c r="F65" s="1">
        <v>0.15</v>
      </c>
      <c r="G65" t="s">
        <v>24</v>
      </c>
      <c r="H65" s="1">
        <v>0.95</v>
      </c>
      <c r="I65" s="1"/>
      <c r="J65" s="1">
        <v>0.4</v>
      </c>
      <c r="K65" s="1">
        <v>0.4</v>
      </c>
      <c r="L65" s="1">
        <v>0.37</v>
      </c>
      <c r="M65" s="1">
        <v>0.34</v>
      </c>
      <c r="N65" s="1">
        <v>0.36</v>
      </c>
    </row>
    <row r="66" spans="1:14" x14ac:dyDescent="0.3">
      <c r="A66" t="s">
        <v>628</v>
      </c>
      <c r="B66" t="s">
        <v>682</v>
      </c>
      <c r="C66" t="s">
        <v>708</v>
      </c>
      <c r="D66" s="1">
        <v>0.15</v>
      </c>
      <c r="E66" t="s">
        <v>709</v>
      </c>
      <c r="F66" s="1">
        <v>0.3</v>
      </c>
      <c r="G66" t="s">
        <v>20</v>
      </c>
      <c r="H66" s="1">
        <v>0.6</v>
      </c>
      <c r="I66" s="1"/>
      <c r="J66" s="1">
        <v>0.39</v>
      </c>
      <c r="K66" s="1">
        <v>0.39</v>
      </c>
      <c r="L66" s="1">
        <v>0.36</v>
      </c>
      <c r="M66" s="1">
        <v>0.33</v>
      </c>
      <c r="N66" s="1">
        <v>0.35</v>
      </c>
    </row>
    <row r="67" spans="1:14" x14ac:dyDescent="0.3">
      <c r="A67" t="s">
        <v>628</v>
      </c>
      <c r="B67" t="s">
        <v>682</v>
      </c>
      <c r="C67" t="s">
        <v>708</v>
      </c>
      <c r="D67" s="1">
        <v>0.15</v>
      </c>
      <c r="E67" t="s">
        <v>710</v>
      </c>
      <c r="F67" s="1">
        <v>0.3</v>
      </c>
      <c r="G67" t="s">
        <v>56</v>
      </c>
      <c r="H67" s="1">
        <v>0.3</v>
      </c>
      <c r="I67" s="1"/>
      <c r="J67" s="1">
        <v>0.39</v>
      </c>
      <c r="K67" s="1">
        <v>0.39</v>
      </c>
      <c r="L67" s="1">
        <v>0.36</v>
      </c>
      <c r="M67" s="1">
        <v>0.33</v>
      </c>
      <c r="N67" s="1">
        <v>0.35</v>
      </c>
    </row>
    <row r="68" spans="1:14" x14ac:dyDescent="0.3">
      <c r="A68" t="s">
        <v>628</v>
      </c>
      <c r="B68" t="s">
        <v>682</v>
      </c>
      <c r="C68" t="s">
        <v>708</v>
      </c>
      <c r="D68" s="1">
        <v>0.15</v>
      </c>
      <c r="E68" t="s">
        <v>711</v>
      </c>
      <c r="F68" s="1">
        <v>0.25</v>
      </c>
      <c r="G68" t="s">
        <v>22</v>
      </c>
      <c r="H68" s="1">
        <v>0.85</v>
      </c>
      <c r="I68" s="1"/>
      <c r="J68" s="1">
        <v>0.39</v>
      </c>
      <c r="K68" s="1">
        <v>0.39</v>
      </c>
      <c r="L68" s="1">
        <v>0.36</v>
      </c>
      <c r="M68" s="1">
        <v>0.33</v>
      </c>
      <c r="N68" s="1">
        <v>0.35</v>
      </c>
    </row>
    <row r="69" spans="1:14" x14ac:dyDescent="0.3">
      <c r="A69" t="s">
        <v>628</v>
      </c>
      <c r="B69" t="s">
        <v>682</v>
      </c>
      <c r="C69" t="s">
        <v>708</v>
      </c>
      <c r="D69" s="1">
        <v>0.15</v>
      </c>
      <c r="E69" t="s">
        <v>712</v>
      </c>
      <c r="F69" s="1">
        <v>0.15</v>
      </c>
      <c r="G69" t="s">
        <v>24</v>
      </c>
      <c r="H69" s="1">
        <v>0.95</v>
      </c>
      <c r="I69" s="1"/>
      <c r="J69" s="1">
        <v>0.39</v>
      </c>
      <c r="K69" s="1">
        <v>0.39</v>
      </c>
      <c r="L69" s="1">
        <v>0.36</v>
      </c>
      <c r="M69" s="1">
        <v>0.33</v>
      </c>
      <c r="N69" s="1">
        <v>0.35</v>
      </c>
    </row>
    <row r="70" spans="1:14" x14ac:dyDescent="0.3">
      <c r="A70" t="s">
        <v>628</v>
      </c>
      <c r="B70" t="s">
        <v>682</v>
      </c>
      <c r="C70" t="s">
        <v>713</v>
      </c>
      <c r="D70" s="1">
        <v>0.15</v>
      </c>
      <c r="E70" t="s">
        <v>714</v>
      </c>
      <c r="F70" s="1">
        <v>0.25</v>
      </c>
      <c r="G70" t="s">
        <v>20</v>
      </c>
      <c r="H70" s="1">
        <v>0.6</v>
      </c>
      <c r="I70" s="1"/>
      <c r="J70" s="1">
        <v>0.32</v>
      </c>
      <c r="K70" s="1">
        <v>0.32</v>
      </c>
      <c r="L70" s="1">
        <v>0.28999999999999998</v>
      </c>
      <c r="M70" s="1">
        <v>0.26</v>
      </c>
      <c r="N70" s="1">
        <v>0.28000000000000003</v>
      </c>
    </row>
    <row r="71" spans="1:14" x14ac:dyDescent="0.3">
      <c r="A71" t="s">
        <v>628</v>
      </c>
      <c r="B71" t="s">
        <v>682</v>
      </c>
      <c r="C71" t="s">
        <v>713</v>
      </c>
      <c r="D71" s="1">
        <v>0.15</v>
      </c>
      <c r="E71" t="s">
        <v>715</v>
      </c>
      <c r="F71" s="1">
        <v>0.3</v>
      </c>
      <c r="G71" t="s">
        <v>56</v>
      </c>
      <c r="H71" s="1">
        <v>0.3</v>
      </c>
      <c r="I71" s="1"/>
      <c r="J71" s="1">
        <v>0.32</v>
      </c>
      <c r="K71" s="1">
        <v>0.32</v>
      </c>
      <c r="L71" s="1">
        <v>0.28999999999999998</v>
      </c>
      <c r="M71" s="1">
        <v>0.26</v>
      </c>
      <c r="N71" s="1">
        <v>0.28000000000000003</v>
      </c>
    </row>
    <row r="72" spans="1:14" x14ac:dyDescent="0.3">
      <c r="A72" t="s">
        <v>628</v>
      </c>
      <c r="B72" t="s">
        <v>682</v>
      </c>
      <c r="C72" t="s">
        <v>713</v>
      </c>
      <c r="D72" s="1">
        <v>0.15</v>
      </c>
      <c r="E72" t="s">
        <v>716</v>
      </c>
      <c r="F72" s="1">
        <v>0.25</v>
      </c>
      <c r="G72" t="s">
        <v>28</v>
      </c>
      <c r="H72" s="1">
        <v>0.7</v>
      </c>
      <c r="I72" s="1"/>
      <c r="J72" s="1">
        <v>0.32</v>
      </c>
      <c r="K72" s="1">
        <v>0.32</v>
      </c>
      <c r="L72" s="1">
        <v>0.28999999999999998</v>
      </c>
      <c r="M72" s="1">
        <v>0.26</v>
      </c>
      <c r="N72" s="1">
        <v>0.28000000000000003</v>
      </c>
    </row>
    <row r="73" spans="1:14" x14ac:dyDescent="0.3">
      <c r="A73" t="s">
        <v>628</v>
      </c>
      <c r="B73" t="s">
        <v>682</v>
      </c>
      <c r="C73" t="s">
        <v>713</v>
      </c>
      <c r="D73" s="1">
        <v>0.15</v>
      </c>
      <c r="E73" t="s">
        <v>717</v>
      </c>
      <c r="F73" s="1">
        <v>0.2</v>
      </c>
      <c r="G73" t="s">
        <v>24</v>
      </c>
      <c r="H73" s="1">
        <v>0.95</v>
      </c>
      <c r="I73" s="1"/>
      <c r="J73" s="1">
        <v>0.32</v>
      </c>
      <c r="K73" s="1">
        <v>0.32</v>
      </c>
      <c r="L73" s="1">
        <v>0.28999999999999998</v>
      </c>
      <c r="M73" s="1">
        <v>0.26</v>
      </c>
      <c r="N73" s="1">
        <v>0.28000000000000003</v>
      </c>
    </row>
    <row r="76" spans="1:14" x14ac:dyDescent="0.3">
      <c r="A76" t="s">
        <v>718</v>
      </c>
      <c r="B76" t="s">
        <v>719</v>
      </c>
      <c r="C76" t="s">
        <v>720</v>
      </c>
      <c r="D76" s="1">
        <v>0.3</v>
      </c>
      <c r="E76" t="s">
        <v>721</v>
      </c>
      <c r="F76" s="1">
        <v>0.25</v>
      </c>
      <c r="G76" t="s">
        <v>20</v>
      </c>
      <c r="H76" s="1">
        <v>0.6</v>
      </c>
      <c r="I76" s="1"/>
      <c r="J76" s="1">
        <v>0.57999999999999996</v>
      </c>
      <c r="K76" s="1">
        <v>0.57999999999999996</v>
      </c>
      <c r="L76" s="1">
        <v>0.55000000000000004</v>
      </c>
      <c r="M76" s="1">
        <v>0.52</v>
      </c>
      <c r="N76" s="1">
        <v>0.54</v>
      </c>
    </row>
    <row r="77" spans="1:14" x14ac:dyDescent="0.3">
      <c r="A77" t="s">
        <v>718</v>
      </c>
      <c r="B77" t="s">
        <v>719</v>
      </c>
      <c r="C77" t="s">
        <v>720</v>
      </c>
      <c r="D77" s="1">
        <v>0.3</v>
      </c>
      <c r="E77" t="s">
        <v>722</v>
      </c>
      <c r="F77" s="1">
        <v>0.35</v>
      </c>
      <c r="G77" t="s">
        <v>18</v>
      </c>
      <c r="H77" s="1">
        <v>0.85</v>
      </c>
      <c r="I77" s="1"/>
      <c r="J77" s="1">
        <v>0.57999999999999996</v>
      </c>
      <c r="K77" s="1">
        <v>0.57999999999999996</v>
      </c>
      <c r="L77" s="1">
        <v>0.55000000000000004</v>
      </c>
      <c r="M77" s="1">
        <v>0.52</v>
      </c>
      <c r="N77" s="1">
        <v>0.54</v>
      </c>
    </row>
    <row r="78" spans="1:14" x14ac:dyDescent="0.3">
      <c r="A78" t="s">
        <v>718</v>
      </c>
      <c r="B78" t="s">
        <v>719</v>
      </c>
      <c r="C78" t="s">
        <v>720</v>
      </c>
      <c r="D78" s="1">
        <v>0.3</v>
      </c>
      <c r="E78" t="s">
        <v>723</v>
      </c>
      <c r="F78" s="1">
        <v>0.25</v>
      </c>
      <c r="G78" t="s">
        <v>28</v>
      </c>
      <c r="H78" s="1">
        <v>0.7</v>
      </c>
      <c r="I78" s="1"/>
      <c r="J78" s="1">
        <v>0.57999999999999996</v>
      </c>
      <c r="K78" s="1">
        <v>0.57999999999999996</v>
      </c>
      <c r="L78" s="1">
        <v>0.55000000000000004</v>
      </c>
      <c r="M78" s="1">
        <v>0.52</v>
      </c>
      <c r="N78" s="1">
        <v>0.54</v>
      </c>
    </row>
    <row r="79" spans="1:14" x14ac:dyDescent="0.3">
      <c r="A79" t="s">
        <v>718</v>
      </c>
      <c r="B79" t="s">
        <v>719</v>
      </c>
      <c r="C79" t="s">
        <v>720</v>
      </c>
      <c r="D79" s="1">
        <v>0.3</v>
      </c>
      <c r="E79" t="s">
        <v>724</v>
      </c>
      <c r="F79" s="1">
        <v>0.15</v>
      </c>
      <c r="G79" t="s">
        <v>24</v>
      </c>
      <c r="H79" s="1">
        <v>0.95</v>
      </c>
      <c r="I79" s="1"/>
      <c r="J79" s="1">
        <v>0.57999999999999996</v>
      </c>
      <c r="K79" s="1">
        <v>0.57999999999999996</v>
      </c>
      <c r="L79" s="1">
        <v>0.55000000000000004</v>
      </c>
      <c r="M79" s="1">
        <v>0.52</v>
      </c>
      <c r="N79" s="1">
        <v>0.54</v>
      </c>
    </row>
    <row r="80" spans="1:14" x14ac:dyDescent="0.3">
      <c r="A80" t="s">
        <v>718</v>
      </c>
      <c r="B80" t="s">
        <v>719</v>
      </c>
      <c r="C80" t="s">
        <v>725</v>
      </c>
      <c r="D80" s="1">
        <v>0.35</v>
      </c>
      <c r="E80" t="s">
        <v>631</v>
      </c>
      <c r="F80" s="1">
        <v>0.2</v>
      </c>
      <c r="G80" t="s">
        <v>20</v>
      </c>
      <c r="H80" s="1">
        <v>0.6</v>
      </c>
      <c r="I80" s="1"/>
      <c r="J80" s="1">
        <v>0.61</v>
      </c>
      <c r="K80" s="1">
        <v>0.61</v>
      </c>
      <c r="L80" s="1">
        <v>0.57999999999999996</v>
      </c>
      <c r="M80" s="1">
        <v>0.55000000000000004</v>
      </c>
      <c r="N80" s="1">
        <v>0.56999999999999995</v>
      </c>
    </row>
    <row r="81" spans="1:14" x14ac:dyDescent="0.3">
      <c r="A81" t="s">
        <v>718</v>
      </c>
      <c r="B81" t="s">
        <v>719</v>
      </c>
      <c r="C81" t="s">
        <v>725</v>
      </c>
      <c r="D81" s="1">
        <v>0.35</v>
      </c>
      <c r="E81" t="s">
        <v>726</v>
      </c>
      <c r="F81" s="1">
        <v>0.4</v>
      </c>
      <c r="G81" t="s">
        <v>18</v>
      </c>
      <c r="H81" s="1">
        <v>0.85</v>
      </c>
      <c r="I81" s="1"/>
      <c r="J81" s="1">
        <v>0.61</v>
      </c>
      <c r="K81" s="1">
        <v>0.61</v>
      </c>
      <c r="L81" s="1">
        <v>0.57999999999999996</v>
      </c>
      <c r="M81" s="1">
        <v>0.55000000000000004</v>
      </c>
      <c r="N81" s="1">
        <v>0.56999999999999995</v>
      </c>
    </row>
    <row r="82" spans="1:14" x14ac:dyDescent="0.3">
      <c r="A82" t="s">
        <v>718</v>
      </c>
      <c r="B82" t="s">
        <v>719</v>
      </c>
      <c r="C82" t="s">
        <v>725</v>
      </c>
      <c r="D82" s="1">
        <v>0.35</v>
      </c>
      <c r="E82" t="s">
        <v>727</v>
      </c>
      <c r="F82" s="1">
        <v>0.25</v>
      </c>
      <c r="G82" t="s">
        <v>20</v>
      </c>
      <c r="H82" s="1">
        <v>0.75</v>
      </c>
      <c r="I82" s="1"/>
      <c r="J82" s="1">
        <v>0.61</v>
      </c>
      <c r="K82" s="1">
        <v>0.61</v>
      </c>
      <c r="L82" s="1">
        <v>0.57999999999999996</v>
      </c>
      <c r="M82" s="1">
        <v>0.55000000000000004</v>
      </c>
      <c r="N82" s="1">
        <v>0.56999999999999995</v>
      </c>
    </row>
    <row r="83" spans="1:14" x14ac:dyDescent="0.3">
      <c r="A83" t="s">
        <v>718</v>
      </c>
      <c r="B83" t="s">
        <v>719</v>
      </c>
      <c r="C83" t="s">
        <v>725</v>
      </c>
      <c r="D83" s="1">
        <v>0.35</v>
      </c>
      <c r="E83" t="s">
        <v>634</v>
      </c>
      <c r="F83" s="1">
        <v>0.15</v>
      </c>
      <c r="G83" t="s">
        <v>24</v>
      </c>
      <c r="H83" s="1">
        <v>0.95</v>
      </c>
      <c r="I83" s="1"/>
      <c r="J83" s="1">
        <v>0.61</v>
      </c>
      <c r="K83" s="1">
        <v>0.61</v>
      </c>
      <c r="L83" s="1">
        <v>0.57999999999999996</v>
      </c>
      <c r="M83" s="1">
        <v>0.55000000000000004</v>
      </c>
      <c r="N83" s="1">
        <v>0.56999999999999995</v>
      </c>
    </row>
    <row r="84" spans="1:14" x14ac:dyDescent="0.3">
      <c r="A84" t="s">
        <v>718</v>
      </c>
      <c r="B84" t="s">
        <v>719</v>
      </c>
      <c r="C84" t="s">
        <v>728</v>
      </c>
      <c r="D84" s="1">
        <v>0.35</v>
      </c>
      <c r="E84" t="s">
        <v>729</v>
      </c>
      <c r="F84" s="1">
        <v>0.25</v>
      </c>
      <c r="G84" t="s">
        <v>20</v>
      </c>
      <c r="H84" s="1">
        <v>0.7</v>
      </c>
      <c r="I84" s="1"/>
      <c r="J84" s="1">
        <v>0.63</v>
      </c>
      <c r="K84" s="1">
        <v>0.63</v>
      </c>
      <c r="L84" s="1">
        <v>0.6</v>
      </c>
      <c r="M84" s="1">
        <v>0.56999999999999995</v>
      </c>
      <c r="N84" s="1">
        <v>0.59</v>
      </c>
    </row>
    <row r="85" spans="1:14" x14ac:dyDescent="0.3">
      <c r="A85" t="s">
        <v>718</v>
      </c>
      <c r="B85" t="s">
        <v>719</v>
      </c>
      <c r="C85" t="s">
        <v>728</v>
      </c>
      <c r="D85" s="1">
        <v>0.35</v>
      </c>
      <c r="E85" t="s">
        <v>730</v>
      </c>
      <c r="F85" s="1">
        <v>0.3</v>
      </c>
      <c r="G85" t="s">
        <v>28</v>
      </c>
      <c r="H85" s="1">
        <v>0.8</v>
      </c>
      <c r="I85" s="1"/>
      <c r="J85" s="1">
        <v>0.63</v>
      </c>
      <c r="K85" s="1">
        <v>0.63</v>
      </c>
      <c r="L85" s="1">
        <v>0.6</v>
      </c>
      <c r="M85" s="1">
        <v>0.56999999999999995</v>
      </c>
      <c r="N85" s="1">
        <v>0.59</v>
      </c>
    </row>
    <row r="86" spans="1:14" x14ac:dyDescent="0.3">
      <c r="A86" t="s">
        <v>718</v>
      </c>
      <c r="B86" t="s">
        <v>719</v>
      </c>
      <c r="C86" t="s">
        <v>728</v>
      </c>
      <c r="D86" s="1">
        <v>0.35</v>
      </c>
      <c r="E86" t="s">
        <v>731</v>
      </c>
      <c r="F86" s="1">
        <v>0.3</v>
      </c>
      <c r="G86" t="s">
        <v>18</v>
      </c>
      <c r="H86" s="1">
        <v>0.85</v>
      </c>
      <c r="I86" s="1"/>
      <c r="J86" s="1">
        <v>0.63</v>
      </c>
      <c r="K86" s="1">
        <v>0.63</v>
      </c>
      <c r="L86" s="1">
        <v>0.6</v>
      </c>
      <c r="M86" s="1">
        <v>0.56999999999999995</v>
      </c>
      <c r="N86" s="1">
        <v>0.59</v>
      </c>
    </row>
    <row r="87" spans="1:14" x14ac:dyDescent="0.3">
      <c r="A87" t="s">
        <v>718</v>
      </c>
      <c r="B87" t="s">
        <v>719</v>
      </c>
      <c r="C87" t="s">
        <v>728</v>
      </c>
      <c r="D87" s="1">
        <v>0.35</v>
      </c>
      <c r="E87" t="s">
        <v>732</v>
      </c>
      <c r="F87" s="1">
        <v>0.15</v>
      </c>
      <c r="G87" t="s">
        <v>24</v>
      </c>
      <c r="H87" s="1">
        <v>0.95</v>
      </c>
      <c r="I87" s="1"/>
      <c r="J87" s="1">
        <v>0.63</v>
      </c>
      <c r="K87" s="1">
        <v>0.63</v>
      </c>
      <c r="L87" s="1">
        <v>0.6</v>
      </c>
      <c r="M87" s="1">
        <v>0.56999999999999995</v>
      </c>
      <c r="N87" s="1">
        <v>0.59</v>
      </c>
    </row>
    <row r="88" spans="1:14" x14ac:dyDescent="0.3">
      <c r="A88" t="s">
        <v>718</v>
      </c>
      <c r="B88" t="s">
        <v>682</v>
      </c>
      <c r="C88" t="s">
        <v>703</v>
      </c>
      <c r="D88" s="1">
        <v>0.35</v>
      </c>
      <c r="E88" t="s">
        <v>733</v>
      </c>
      <c r="F88" s="1">
        <v>0.3</v>
      </c>
      <c r="G88" t="s">
        <v>20</v>
      </c>
      <c r="H88" s="1">
        <v>0.6</v>
      </c>
      <c r="I88" s="1"/>
      <c r="J88" s="1">
        <v>0.39</v>
      </c>
      <c r="K88" s="1">
        <v>0.39</v>
      </c>
      <c r="L88" s="1">
        <v>0.36</v>
      </c>
      <c r="M88" s="1">
        <v>0.33</v>
      </c>
      <c r="N88" s="1">
        <v>0.35</v>
      </c>
    </row>
    <row r="89" spans="1:14" x14ac:dyDescent="0.3">
      <c r="A89" t="s">
        <v>718</v>
      </c>
      <c r="B89" t="s">
        <v>682</v>
      </c>
      <c r="C89" t="s">
        <v>703</v>
      </c>
      <c r="D89" s="1">
        <v>0.35</v>
      </c>
      <c r="E89" t="s">
        <v>705</v>
      </c>
      <c r="F89" s="1">
        <v>0.3</v>
      </c>
      <c r="G89" t="s">
        <v>56</v>
      </c>
      <c r="H89" s="1">
        <v>0.4</v>
      </c>
      <c r="I89" s="1"/>
      <c r="J89" s="1">
        <v>0.39</v>
      </c>
      <c r="K89" s="1">
        <v>0.39</v>
      </c>
      <c r="L89" s="1">
        <v>0.36</v>
      </c>
      <c r="M89" s="1">
        <v>0.33</v>
      </c>
      <c r="N89" s="1">
        <v>0.35</v>
      </c>
    </row>
    <row r="90" spans="1:14" x14ac:dyDescent="0.3">
      <c r="A90" t="s">
        <v>718</v>
      </c>
      <c r="B90" t="s">
        <v>682</v>
      </c>
      <c r="C90" t="s">
        <v>703</v>
      </c>
      <c r="D90" s="1">
        <v>0.35</v>
      </c>
      <c r="E90" t="s">
        <v>734</v>
      </c>
      <c r="F90" s="1">
        <v>0.25</v>
      </c>
      <c r="G90" t="s">
        <v>20</v>
      </c>
      <c r="H90" s="1">
        <v>0.6</v>
      </c>
      <c r="I90" s="1"/>
      <c r="J90" s="1">
        <v>0.39</v>
      </c>
      <c r="K90" s="1">
        <v>0.39</v>
      </c>
      <c r="L90" s="1">
        <v>0.36</v>
      </c>
      <c r="M90" s="1">
        <v>0.33</v>
      </c>
      <c r="N90" s="1">
        <v>0.35</v>
      </c>
    </row>
    <row r="91" spans="1:14" x14ac:dyDescent="0.3">
      <c r="A91" t="s">
        <v>718</v>
      </c>
      <c r="B91" t="s">
        <v>682</v>
      </c>
      <c r="C91" t="s">
        <v>703</v>
      </c>
      <c r="D91" s="1">
        <v>0.35</v>
      </c>
      <c r="E91" t="s">
        <v>707</v>
      </c>
      <c r="F91" s="1">
        <v>0.15</v>
      </c>
      <c r="G91" t="s">
        <v>24</v>
      </c>
      <c r="H91" s="1">
        <v>0.95</v>
      </c>
      <c r="I91" s="1"/>
      <c r="J91" s="1">
        <v>0.39</v>
      </c>
      <c r="K91" s="1">
        <v>0.39</v>
      </c>
      <c r="L91" s="1">
        <v>0.36</v>
      </c>
      <c r="M91" s="1">
        <v>0.33</v>
      </c>
      <c r="N91" s="1">
        <v>0.35</v>
      </c>
    </row>
    <row r="92" spans="1:14" x14ac:dyDescent="0.3">
      <c r="A92" t="s">
        <v>718</v>
      </c>
      <c r="B92" t="s">
        <v>682</v>
      </c>
      <c r="C92" t="s">
        <v>708</v>
      </c>
      <c r="D92" s="1">
        <v>0.35</v>
      </c>
      <c r="E92" t="s">
        <v>709</v>
      </c>
      <c r="F92" s="1">
        <v>0.3</v>
      </c>
      <c r="G92" t="s">
        <v>20</v>
      </c>
      <c r="H92" s="1">
        <v>0.6</v>
      </c>
      <c r="I92" s="1"/>
      <c r="J92" s="1">
        <v>0.42</v>
      </c>
      <c r="K92" s="1">
        <v>0.42</v>
      </c>
      <c r="L92" s="1">
        <v>0.39</v>
      </c>
      <c r="M92" s="1">
        <v>0.36</v>
      </c>
      <c r="N92" s="1">
        <v>0.38</v>
      </c>
    </row>
    <row r="93" spans="1:14" x14ac:dyDescent="0.3">
      <c r="A93" t="s">
        <v>718</v>
      </c>
      <c r="B93" t="s">
        <v>682</v>
      </c>
      <c r="C93" t="s">
        <v>708</v>
      </c>
      <c r="D93" s="1">
        <v>0.35</v>
      </c>
      <c r="E93" t="s">
        <v>710</v>
      </c>
      <c r="F93" s="1">
        <v>0.3</v>
      </c>
      <c r="G93" t="s">
        <v>56</v>
      </c>
      <c r="H93" s="1">
        <v>0.4</v>
      </c>
      <c r="I93" s="1"/>
      <c r="J93" s="1">
        <v>0.42</v>
      </c>
      <c r="K93" s="1">
        <v>0.42</v>
      </c>
      <c r="L93" s="1">
        <v>0.39</v>
      </c>
      <c r="M93" s="1">
        <v>0.36</v>
      </c>
      <c r="N93" s="1">
        <v>0.38</v>
      </c>
    </row>
    <row r="94" spans="1:14" x14ac:dyDescent="0.3">
      <c r="A94" t="s">
        <v>718</v>
      </c>
      <c r="B94" t="s">
        <v>682</v>
      </c>
      <c r="C94" t="s">
        <v>708</v>
      </c>
      <c r="D94" s="1">
        <v>0.35</v>
      </c>
      <c r="E94" t="s">
        <v>711</v>
      </c>
      <c r="F94" s="1">
        <v>0.25</v>
      </c>
      <c r="G94" t="s">
        <v>22</v>
      </c>
      <c r="H94" s="1">
        <v>0.8</v>
      </c>
      <c r="I94" s="1"/>
      <c r="J94" s="1">
        <v>0.42</v>
      </c>
      <c r="K94" s="1">
        <v>0.42</v>
      </c>
      <c r="L94" s="1">
        <v>0.39</v>
      </c>
      <c r="M94" s="1">
        <v>0.36</v>
      </c>
      <c r="N94" s="1">
        <v>0.38</v>
      </c>
    </row>
    <row r="95" spans="1:14" x14ac:dyDescent="0.3">
      <c r="A95" t="s">
        <v>718</v>
      </c>
      <c r="B95" t="s">
        <v>682</v>
      </c>
      <c r="C95" t="s">
        <v>708</v>
      </c>
      <c r="D95" s="1">
        <v>0.35</v>
      </c>
      <c r="E95" t="s">
        <v>712</v>
      </c>
      <c r="F95" s="1">
        <v>0.15</v>
      </c>
      <c r="G95" t="s">
        <v>24</v>
      </c>
      <c r="H95" s="1">
        <v>0.95</v>
      </c>
      <c r="I95" s="1"/>
      <c r="J95" s="1">
        <v>0.42</v>
      </c>
      <c r="K95" s="1">
        <v>0.42</v>
      </c>
      <c r="L95" s="1">
        <v>0.39</v>
      </c>
      <c r="M95" s="1">
        <v>0.36</v>
      </c>
      <c r="N95" s="1">
        <v>0.38</v>
      </c>
    </row>
    <row r="96" spans="1:14" x14ac:dyDescent="0.3">
      <c r="A96" t="s">
        <v>718</v>
      </c>
      <c r="B96" t="s">
        <v>682</v>
      </c>
      <c r="C96" t="s">
        <v>713</v>
      </c>
      <c r="D96" s="1">
        <v>0.3</v>
      </c>
      <c r="E96" t="s">
        <v>714</v>
      </c>
      <c r="F96" s="1">
        <v>0.25</v>
      </c>
      <c r="G96" t="s">
        <v>20</v>
      </c>
      <c r="H96" s="1">
        <v>0.6</v>
      </c>
      <c r="I96" s="1"/>
      <c r="J96" s="1">
        <v>0.37</v>
      </c>
      <c r="K96" s="1">
        <v>0.37</v>
      </c>
      <c r="L96" s="1">
        <v>0.34</v>
      </c>
      <c r="M96" s="1">
        <v>0.31</v>
      </c>
      <c r="N96" s="1">
        <v>0.33</v>
      </c>
    </row>
    <row r="97" spans="1:14" x14ac:dyDescent="0.3">
      <c r="A97" t="s">
        <v>718</v>
      </c>
      <c r="B97" t="s">
        <v>682</v>
      </c>
      <c r="C97" t="s">
        <v>713</v>
      </c>
      <c r="D97" s="1">
        <v>0.3</v>
      </c>
      <c r="E97" t="s">
        <v>715</v>
      </c>
      <c r="F97" s="1">
        <v>0.3</v>
      </c>
      <c r="G97" t="s">
        <v>56</v>
      </c>
      <c r="H97" s="1">
        <v>0.3</v>
      </c>
      <c r="I97" s="1"/>
      <c r="J97" s="1">
        <v>0.37</v>
      </c>
      <c r="K97" s="1">
        <v>0.37</v>
      </c>
      <c r="L97" s="1">
        <v>0.34</v>
      </c>
      <c r="M97" s="1">
        <v>0.31</v>
      </c>
      <c r="N97" s="1">
        <v>0.33</v>
      </c>
    </row>
    <row r="98" spans="1:14" x14ac:dyDescent="0.3">
      <c r="A98" t="s">
        <v>718</v>
      </c>
      <c r="B98" t="s">
        <v>682</v>
      </c>
      <c r="C98" t="s">
        <v>713</v>
      </c>
      <c r="D98" s="1">
        <v>0.3</v>
      </c>
      <c r="E98" t="s">
        <v>716</v>
      </c>
      <c r="F98" s="1">
        <v>0.25</v>
      </c>
      <c r="G98" t="s">
        <v>28</v>
      </c>
      <c r="H98" s="1">
        <v>0.7</v>
      </c>
      <c r="I98" s="1"/>
      <c r="J98" s="1">
        <v>0.37</v>
      </c>
      <c r="K98" s="1">
        <v>0.37</v>
      </c>
      <c r="L98" s="1">
        <v>0.34</v>
      </c>
      <c r="M98" s="1">
        <v>0.31</v>
      </c>
      <c r="N98" s="1">
        <v>0.33</v>
      </c>
    </row>
    <row r="99" spans="1:14" x14ac:dyDescent="0.3">
      <c r="A99" t="s">
        <v>718</v>
      </c>
      <c r="B99" t="s">
        <v>682</v>
      </c>
      <c r="C99" t="s">
        <v>713</v>
      </c>
      <c r="D99" s="1">
        <v>0.3</v>
      </c>
      <c r="E99" t="s">
        <v>717</v>
      </c>
      <c r="F99" s="1">
        <v>0.2</v>
      </c>
      <c r="G99" t="s">
        <v>24</v>
      </c>
      <c r="H99" s="1">
        <v>0.95</v>
      </c>
      <c r="I99" s="1"/>
      <c r="J99" s="1">
        <v>0.37</v>
      </c>
      <c r="K99" s="1">
        <v>0.37</v>
      </c>
      <c r="L99" s="1">
        <v>0.34</v>
      </c>
      <c r="M99" s="1">
        <v>0.31</v>
      </c>
      <c r="N99" s="1">
        <v>0.33</v>
      </c>
    </row>
    <row r="100" spans="1:14" x14ac:dyDescent="0.3">
      <c r="A100" t="s">
        <v>718</v>
      </c>
      <c r="B100" t="s">
        <v>735</v>
      </c>
      <c r="C100" t="s">
        <v>736</v>
      </c>
      <c r="D100" s="1">
        <v>0.15</v>
      </c>
      <c r="E100" t="s">
        <v>737</v>
      </c>
      <c r="F100" s="1">
        <v>0.25</v>
      </c>
      <c r="G100" t="s">
        <v>20</v>
      </c>
      <c r="H100" s="1">
        <v>0.6</v>
      </c>
      <c r="I100" s="1"/>
      <c r="J100" s="1">
        <v>0.35</v>
      </c>
      <c r="K100" s="1">
        <v>0.35</v>
      </c>
      <c r="L100" s="1">
        <v>0.32</v>
      </c>
      <c r="M100" s="1">
        <v>0.28999999999999998</v>
      </c>
      <c r="N100" s="1">
        <v>0.31</v>
      </c>
    </row>
    <row r="101" spans="1:14" x14ac:dyDescent="0.3">
      <c r="A101" t="s">
        <v>718</v>
      </c>
      <c r="B101" t="s">
        <v>735</v>
      </c>
      <c r="C101" t="s">
        <v>736</v>
      </c>
      <c r="D101" s="1">
        <v>0.15</v>
      </c>
      <c r="E101" t="s">
        <v>738</v>
      </c>
      <c r="F101" s="1">
        <v>0.35</v>
      </c>
      <c r="G101" t="s">
        <v>739</v>
      </c>
      <c r="H101" s="1">
        <v>0.1</v>
      </c>
      <c r="I101" s="1"/>
      <c r="J101" s="1">
        <v>0.35</v>
      </c>
      <c r="K101" s="1">
        <v>0.35</v>
      </c>
      <c r="L101" s="1">
        <v>0.32</v>
      </c>
      <c r="M101" s="1">
        <v>0.28999999999999998</v>
      </c>
      <c r="N101" s="1">
        <v>0.31</v>
      </c>
    </row>
    <row r="102" spans="1:14" x14ac:dyDescent="0.3">
      <c r="A102" t="s">
        <v>718</v>
      </c>
      <c r="B102" t="s">
        <v>735</v>
      </c>
      <c r="C102" t="s">
        <v>736</v>
      </c>
      <c r="D102" s="1">
        <v>0.15</v>
      </c>
      <c r="E102" t="s">
        <v>740</v>
      </c>
      <c r="F102" s="1">
        <v>0.25</v>
      </c>
      <c r="G102" s="1" t="s">
        <v>28</v>
      </c>
      <c r="H102" s="1">
        <v>0.7</v>
      </c>
      <c r="I102" s="1"/>
      <c r="J102" s="1">
        <v>0.35</v>
      </c>
      <c r="K102" s="1">
        <v>0.35</v>
      </c>
      <c r="L102" s="1">
        <v>0.32</v>
      </c>
      <c r="M102" s="1">
        <v>0.28999999999999998</v>
      </c>
      <c r="N102" s="1">
        <v>0.31</v>
      </c>
    </row>
    <row r="103" spans="1:14" x14ac:dyDescent="0.3">
      <c r="A103" t="s">
        <v>718</v>
      </c>
      <c r="B103" t="s">
        <v>735</v>
      </c>
      <c r="C103" t="s">
        <v>736</v>
      </c>
      <c r="D103" s="1">
        <v>0.15</v>
      </c>
      <c r="E103" t="s">
        <v>724</v>
      </c>
      <c r="F103" s="1">
        <v>0.15</v>
      </c>
      <c r="G103" t="s">
        <v>24</v>
      </c>
      <c r="H103" s="1">
        <v>0.95</v>
      </c>
      <c r="I103" s="1"/>
      <c r="J103" s="1">
        <v>0.35</v>
      </c>
      <c r="K103" s="1">
        <v>0.35</v>
      </c>
      <c r="L103" s="1">
        <v>0.32</v>
      </c>
      <c r="M103" s="1">
        <v>0.28999999999999998</v>
      </c>
      <c r="N103" s="1">
        <v>0.31</v>
      </c>
    </row>
    <row r="104" spans="1:14" x14ac:dyDescent="0.3">
      <c r="A104" t="s">
        <v>718</v>
      </c>
      <c r="B104" t="s">
        <v>735</v>
      </c>
      <c r="C104" t="s">
        <v>741</v>
      </c>
      <c r="D104" s="1">
        <v>0.1</v>
      </c>
      <c r="E104" t="s">
        <v>742</v>
      </c>
      <c r="F104" s="1">
        <v>0.25</v>
      </c>
      <c r="G104" t="s">
        <v>20</v>
      </c>
      <c r="H104" s="1">
        <v>0.6</v>
      </c>
      <c r="I104" s="1"/>
      <c r="J104" s="1">
        <v>0.53</v>
      </c>
      <c r="K104" s="1">
        <v>0.53</v>
      </c>
      <c r="L104" s="1">
        <v>0.5</v>
      </c>
      <c r="M104" s="1">
        <v>0.47</v>
      </c>
      <c r="N104" s="1">
        <v>0.49</v>
      </c>
    </row>
    <row r="105" spans="1:14" x14ac:dyDescent="0.3">
      <c r="A105" t="s">
        <v>718</v>
      </c>
      <c r="B105" t="s">
        <v>735</v>
      </c>
      <c r="C105" t="s">
        <v>741</v>
      </c>
      <c r="D105" s="1">
        <v>0.1</v>
      </c>
      <c r="E105" t="s">
        <v>743</v>
      </c>
      <c r="F105" s="1">
        <v>0.35</v>
      </c>
      <c r="G105" t="s">
        <v>18</v>
      </c>
      <c r="H105" s="1">
        <v>0.85</v>
      </c>
      <c r="I105" s="1"/>
      <c r="J105" s="1">
        <v>0.53</v>
      </c>
      <c r="K105" s="1">
        <v>0.53</v>
      </c>
      <c r="L105" s="1">
        <v>0.5</v>
      </c>
      <c r="M105" s="1">
        <v>0.47</v>
      </c>
      <c r="N105" s="1">
        <v>0.49</v>
      </c>
    </row>
    <row r="106" spans="1:14" x14ac:dyDescent="0.3">
      <c r="A106" t="s">
        <v>718</v>
      </c>
      <c r="B106" t="s">
        <v>735</v>
      </c>
      <c r="C106" t="s">
        <v>741</v>
      </c>
      <c r="D106" s="1">
        <v>0.1</v>
      </c>
      <c r="E106" t="s">
        <v>744</v>
      </c>
      <c r="F106" s="1">
        <v>0.25</v>
      </c>
      <c r="G106" t="s">
        <v>20</v>
      </c>
      <c r="H106" s="1">
        <v>0.7</v>
      </c>
      <c r="I106" s="1"/>
      <c r="J106" s="1">
        <v>0.53</v>
      </c>
      <c r="K106" s="1">
        <v>0.53</v>
      </c>
      <c r="L106" s="1">
        <v>0.5</v>
      </c>
      <c r="M106" s="1">
        <v>0.47</v>
      </c>
      <c r="N106" s="1">
        <v>0.49</v>
      </c>
    </row>
    <row r="107" spans="1:14" x14ac:dyDescent="0.3">
      <c r="A107" t="s">
        <v>718</v>
      </c>
      <c r="B107" t="s">
        <v>735</v>
      </c>
      <c r="C107" t="s">
        <v>741</v>
      </c>
      <c r="D107" s="1">
        <v>0.1</v>
      </c>
      <c r="E107" t="s">
        <v>724</v>
      </c>
      <c r="F107" s="1">
        <v>0.15</v>
      </c>
      <c r="G107" t="s">
        <v>24</v>
      </c>
      <c r="H107" s="1">
        <v>0.95</v>
      </c>
      <c r="I107" s="1"/>
      <c r="J107" s="1">
        <v>0.53</v>
      </c>
      <c r="K107" s="1">
        <v>0.53</v>
      </c>
      <c r="L107" s="1">
        <v>0.5</v>
      </c>
      <c r="M107" s="1">
        <v>0.47</v>
      </c>
      <c r="N107" s="1">
        <v>0.49</v>
      </c>
    </row>
    <row r="108" spans="1:14" x14ac:dyDescent="0.3">
      <c r="A108" t="s">
        <v>718</v>
      </c>
      <c r="B108" t="s">
        <v>735</v>
      </c>
      <c r="C108" t="s">
        <v>745</v>
      </c>
      <c r="D108" s="1">
        <v>0.2</v>
      </c>
      <c r="E108" t="s">
        <v>746</v>
      </c>
      <c r="F108" s="1">
        <v>0.3</v>
      </c>
      <c r="G108" t="s">
        <v>18</v>
      </c>
      <c r="H108" s="1">
        <v>0.9</v>
      </c>
      <c r="I108" s="1"/>
      <c r="J108" s="1">
        <v>0.7</v>
      </c>
      <c r="K108" s="1">
        <v>0.7</v>
      </c>
      <c r="L108" s="1">
        <v>0.67</v>
      </c>
      <c r="M108" s="1">
        <v>0.64</v>
      </c>
      <c r="N108" s="1">
        <v>0.66</v>
      </c>
    </row>
    <row r="109" spans="1:14" x14ac:dyDescent="0.3">
      <c r="A109" t="s">
        <v>718</v>
      </c>
      <c r="B109" t="s">
        <v>735</v>
      </c>
      <c r="C109" t="s">
        <v>745</v>
      </c>
      <c r="D109" s="1">
        <v>0.2</v>
      </c>
      <c r="E109" t="s">
        <v>747</v>
      </c>
      <c r="F109" s="1">
        <v>0.3</v>
      </c>
      <c r="G109" t="s">
        <v>40</v>
      </c>
      <c r="H109" s="1">
        <v>0.95</v>
      </c>
      <c r="I109" s="1"/>
      <c r="J109" s="1">
        <v>0.7</v>
      </c>
      <c r="K109" s="1">
        <v>0.7</v>
      </c>
      <c r="L109" s="1">
        <v>0.67</v>
      </c>
      <c r="M109" s="1">
        <v>0.64</v>
      </c>
      <c r="N109" s="1">
        <v>0.66</v>
      </c>
    </row>
    <row r="110" spans="1:14" x14ac:dyDescent="0.3">
      <c r="A110" t="s">
        <v>718</v>
      </c>
      <c r="B110" t="s">
        <v>735</v>
      </c>
      <c r="C110" t="s">
        <v>745</v>
      </c>
      <c r="D110" s="1">
        <v>0.2</v>
      </c>
      <c r="E110" t="s">
        <v>748</v>
      </c>
      <c r="F110" s="1">
        <v>0.25</v>
      </c>
      <c r="G110" t="s">
        <v>20</v>
      </c>
      <c r="H110" s="1">
        <v>0.8</v>
      </c>
      <c r="I110" s="1"/>
      <c r="J110" s="1">
        <v>0.7</v>
      </c>
      <c r="K110" s="1">
        <v>0.7</v>
      </c>
      <c r="L110" s="1">
        <v>0.67</v>
      </c>
      <c r="M110" s="1">
        <v>0.64</v>
      </c>
      <c r="N110" s="1">
        <v>0.66</v>
      </c>
    </row>
    <row r="111" spans="1:14" x14ac:dyDescent="0.3">
      <c r="A111" t="s">
        <v>718</v>
      </c>
      <c r="B111" t="s">
        <v>735</v>
      </c>
      <c r="C111" t="s">
        <v>745</v>
      </c>
      <c r="D111" s="1">
        <v>0.2</v>
      </c>
      <c r="E111" t="s">
        <v>749</v>
      </c>
      <c r="F111" s="1">
        <v>0.15</v>
      </c>
      <c r="G111" t="s">
        <v>24</v>
      </c>
      <c r="H111" s="1">
        <v>0.95</v>
      </c>
      <c r="I111" s="1"/>
      <c r="J111" s="1">
        <v>0.7</v>
      </c>
      <c r="K111" s="1">
        <v>0.7</v>
      </c>
      <c r="L111" s="1">
        <v>0.67</v>
      </c>
      <c r="M111" s="1">
        <v>0.64</v>
      </c>
      <c r="N111" s="1">
        <v>0.66</v>
      </c>
    </row>
    <row r="112" spans="1:14" x14ac:dyDescent="0.3">
      <c r="A112" t="s">
        <v>718</v>
      </c>
      <c r="B112" t="s">
        <v>735</v>
      </c>
      <c r="C112" t="s">
        <v>750</v>
      </c>
      <c r="D112" s="1">
        <v>0.1</v>
      </c>
      <c r="E112" t="s">
        <v>751</v>
      </c>
      <c r="F112" s="1">
        <v>0.3</v>
      </c>
      <c r="G112" t="s">
        <v>18</v>
      </c>
      <c r="H112" s="1">
        <v>0.9</v>
      </c>
      <c r="I112" s="1"/>
      <c r="J112" s="1">
        <v>0.72</v>
      </c>
      <c r="K112" s="1">
        <v>0.72</v>
      </c>
      <c r="L112" s="1">
        <v>0.69</v>
      </c>
      <c r="M112" s="1">
        <v>0.66</v>
      </c>
      <c r="N112" s="1">
        <v>0.68</v>
      </c>
    </row>
    <row r="113" spans="1:14" x14ac:dyDescent="0.3">
      <c r="A113" t="s">
        <v>718</v>
      </c>
      <c r="B113" t="s">
        <v>735</v>
      </c>
      <c r="C113" t="s">
        <v>750</v>
      </c>
      <c r="D113" s="1">
        <v>0.1</v>
      </c>
      <c r="E113" t="s">
        <v>752</v>
      </c>
      <c r="F113" s="1">
        <v>0.25</v>
      </c>
      <c r="G113" t="s">
        <v>40</v>
      </c>
      <c r="H113" s="1">
        <v>0.95</v>
      </c>
      <c r="I113" s="1"/>
      <c r="J113" s="1">
        <v>0.72</v>
      </c>
      <c r="K113" s="1">
        <v>0.72</v>
      </c>
      <c r="L113" s="1">
        <v>0.69</v>
      </c>
      <c r="M113" s="1">
        <v>0.66</v>
      </c>
      <c r="N113" s="1">
        <v>0.68</v>
      </c>
    </row>
    <row r="114" spans="1:14" x14ac:dyDescent="0.3">
      <c r="A114" t="s">
        <v>718</v>
      </c>
      <c r="B114" t="s">
        <v>735</v>
      </c>
      <c r="C114" t="s">
        <v>750</v>
      </c>
      <c r="D114" s="1">
        <v>0.1</v>
      </c>
      <c r="E114" t="s">
        <v>753</v>
      </c>
      <c r="F114" s="1">
        <v>0.3</v>
      </c>
      <c r="G114" t="s">
        <v>18</v>
      </c>
      <c r="H114" s="1">
        <v>0.9</v>
      </c>
      <c r="I114" s="1"/>
      <c r="J114" s="1">
        <v>0.72</v>
      </c>
      <c r="K114" s="1">
        <v>0.72</v>
      </c>
      <c r="L114" s="1">
        <v>0.69</v>
      </c>
      <c r="M114" s="1">
        <v>0.66</v>
      </c>
      <c r="N114" s="1">
        <v>0.68</v>
      </c>
    </row>
    <row r="115" spans="1:14" x14ac:dyDescent="0.3">
      <c r="A115" t="s">
        <v>718</v>
      </c>
      <c r="B115" t="s">
        <v>735</v>
      </c>
      <c r="C115" t="s">
        <v>750</v>
      </c>
      <c r="D115" s="1">
        <v>0.1</v>
      </c>
      <c r="E115" t="s">
        <v>754</v>
      </c>
      <c r="F115" s="1">
        <v>0.15</v>
      </c>
      <c r="G115" t="s">
        <v>24</v>
      </c>
      <c r="H115" s="1">
        <v>0.95</v>
      </c>
      <c r="I115" s="1"/>
      <c r="J115" s="1">
        <v>0.72</v>
      </c>
      <c r="K115" s="1">
        <v>0.72</v>
      </c>
      <c r="L115" s="1">
        <v>0.69</v>
      </c>
      <c r="M115" s="1">
        <v>0.66</v>
      </c>
      <c r="N115" s="1">
        <v>0.68</v>
      </c>
    </row>
    <row r="116" spans="1:14" x14ac:dyDescent="0.3">
      <c r="A116" t="s">
        <v>718</v>
      </c>
      <c r="B116" t="s">
        <v>735</v>
      </c>
      <c r="C116" t="s">
        <v>755</v>
      </c>
      <c r="D116" s="1">
        <v>0.15</v>
      </c>
      <c r="E116" t="s">
        <v>756</v>
      </c>
      <c r="F116" s="1">
        <v>0.3</v>
      </c>
      <c r="G116" t="s">
        <v>40</v>
      </c>
      <c r="H116" s="1">
        <v>0.95</v>
      </c>
      <c r="I116" s="1"/>
      <c r="J116" s="1">
        <v>0.71</v>
      </c>
      <c r="K116" s="1">
        <v>0.71</v>
      </c>
      <c r="L116" s="1">
        <v>0.68</v>
      </c>
      <c r="M116" s="1">
        <v>0.65</v>
      </c>
      <c r="N116" s="1">
        <v>0.67</v>
      </c>
    </row>
    <row r="117" spans="1:14" x14ac:dyDescent="0.3">
      <c r="A117" t="s">
        <v>718</v>
      </c>
      <c r="B117" t="s">
        <v>735</v>
      </c>
      <c r="C117" t="s">
        <v>755</v>
      </c>
      <c r="D117" s="1">
        <v>0.15</v>
      </c>
      <c r="E117" t="s">
        <v>757</v>
      </c>
      <c r="F117" s="1">
        <v>0.3</v>
      </c>
      <c r="G117" t="s">
        <v>18</v>
      </c>
      <c r="H117" s="1">
        <v>0.9</v>
      </c>
      <c r="I117" s="1"/>
      <c r="J117" s="1">
        <v>0.71</v>
      </c>
      <c r="K117" s="1">
        <v>0.71</v>
      </c>
      <c r="L117" s="1">
        <v>0.68</v>
      </c>
      <c r="M117" s="1">
        <v>0.65</v>
      </c>
      <c r="N117" s="1">
        <v>0.67</v>
      </c>
    </row>
    <row r="118" spans="1:14" x14ac:dyDescent="0.3">
      <c r="A118" t="s">
        <v>718</v>
      </c>
      <c r="B118" t="s">
        <v>735</v>
      </c>
      <c r="C118" t="s">
        <v>755</v>
      </c>
      <c r="D118" s="1">
        <v>0.15</v>
      </c>
      <c r="E118" t="s">
        <v>758</v>
      </c>
      <c r="F118" s="1">
        <v>0.25</v>
      </c>
      <c r="G118" t="s">
        <v>20</v>
      </c>
      <c r="H118" s="1">
        <v>0.8</v>
      </c>
      <c r="I118" s="1"/>
      <c r="J118" s="1">
        <v>0.71</v>
      </c>
      <c r="K118" s="1">
        <v>0.71</v>
      </c>
      <c r="L118" s="1">
        <v>0.68</v>
      </c>
      <c r="M118" s="1">
        <v>0.65</v>
      </c>
      <c r="N118" s="1">
        <v>0.67</v>
      </c>
    </row>
    <row r="119" spans="1:14" x14ac:dyDescent="0.3">
      <c r="A119" t="s">
        <v>718</v>
      </c>
      <c r="B119" t="s">
        <v>735</v>
      </c>
      <c r="C119" t="s">
        <v>755</v>
      </c>
      <c r="D119" s="1">
        <v>0.15</v>
      </c>
      <c r="E119" t="s">
        <v>759</v>
      </c>
      <c r="F119" s="1">
        <v>0.15</v>
      </c>
      <c r="G119" t="s">
        <v>24</v>
      </c>
      <c r="H119" s="1">
        <v>0.95</v>
      </c>
      <c r="I119" s="1"/>
      <c r="J119" s="1">
        <v>0.71</v>
      </c>
      <c r="K119" s="1">
        <v>0.71</v>
      </c>
      <c r="L119" s="1">
        <v>0.68</v>
      </c>
      <c r="M119" s="1">
        <v>0.65</v>
      </c>
      <c r="N119" s="1">
        <v>0.67</v>
      </c>
    </row>
    <row r="120" spans="1:14" x14ac:dyDescent="0.3">
      <c r="A120" t="s">
        <v>718</v>
      </c>
      <c r="B120" t="s">
        <v>735</v>
      </c>
      <c r="C120" t="s">
        <v>760</v>
      </c>
      <c r="D120" s="1">
        <v>0.15</v>
      </c>
      <c r="E120" t="s">
        <v>761</v>
      </c>
      <c r="F120" s="1">
        <v>0.35</v>
      </c>
      <c r="G120" t="s">
        <v>18</v>
      </c>
      <c r="H120" s="1">
        <v>0.9</v>
      </c>
      <c r="I120" s="1"/>
      <c r="J120" s="1">
        <v>0.71</v>
      </c>
      <c r="K120" s="1">
        <v>0.71</v>
      </c>
      <c r="L120" s="1">
        <v>0.68</v>
      </c>
      <c r="M120" s="1">
        <v>0.65</v>
      </c>
      <c r="N120" s="1">
        <v>0.67</v>
      </c>
    </row>
    <row r="121" spans="1:14" x14ac:dyDescent="0.3">
      <c r="A121" t="s">
        <v>718</v>
      </c>
      <c r="B121" t="s">
        <v>735</v>
      </c>
      <c r="C121" t="s">
        <v>760</v>
      </c>
      <c r="D121" s="1">
        <v>0.15</v>
      </c>
      <c r="E121" t="s">
        <v>762</v>
      </c>
      <c r="F121" s="1">
        <v>0.25</v>
      </c>
      <c r="G121" t="s">
        <v>40</v>
      </c>
      <c r="H121" s="1">
        <v>0.95</v>
      </c>
      <c r="I121" s="1"/>
      <c r="J121" s="1">
        <v>0.71</v>
      </c>
      <c r="K121" s="1">
        <v>0.71</v>
      </c>
      <c r="L121" s="1">
        <v>0.68</v>
      </c>
      <c r="M121" s="1">
        <v>0.65</v>
      </c>
      <c r="N121" s="1">
        <v>0.67</v>
      </c>
    </row>
    <row r="122" spans="1:14" x14ac:dyDescent="0.3">
      <c r="A122" t="s">
        <v>718</v>
      </c>
      <c r="B122" t="s">
        <v>735</v>
      </c>
      <c r="C122" t="s">
        <v>760</v>
      </c>
      <c r="D122" s="1">
        <v>0.15</v>
      </c>
      <c r="E122" t="s">
        <v>763</v>
      </c>
      <c r="F122" s="1">
        <v>0.25</v>
      </c>
      <c r="G122" t="s">
        <v>18</v>
      </c>
      <c r="H122" s="1">
        <v>0.85</v>
      </c>
      <c r="I122" s="1"/>
      <c r="J122" s="1">
        <v>0.71</v>
      </c>
      <c r="K122" s="1">
        <v>0.71</v>
      </c>
      <c r="L122" s="1">
        <v>0.68</v>
      </c>
      <c r="M122" s="1">
        <v>0.65</v>
      </c>
      <c r="N122" s="1">
        <v>0.67</v>
      </c>
    </row>
    <row r="123" spans="1:14" x14ac:dyDescent="0.3">
      <c r="A123" t="s">
        <v>718</v>
      </c>
      <c r="B123" t="s">
        <v>735</v>
      </c>
      <c r="C123" t="s">
        <v>760</v>
      </c>
      <c r="D123" s="1">
        <v>0.15</v>
      </c>
      <c r="E123" t="s">
        <v>764</v>
      </c>
      <c r="F123" s="1">
        <v>0.15</v>
      </c>
      <c r="G123" t="s">
        <v>24</v>
      </c>
      <c r="H123" s="1">
        <v>0.95</v>
      </c>
      <c r="I123" s="1"/>
      <c r="J123" s="1">
        <v>0.71</v>
      </c>
      <c r="K123" s="1">
        <v>0.71</v>
      </c>
      <c r="L123" s="1">
        <v>0.68</v>
      </c>
      <c r="M123" s="1">
        <v>0.65</v>
      </c>
      <c r="N123" s="1">
        <v>0.67</v>
      </c>
    </row>
    <row r="124" spans="1:14" x14ac:dyDescent="0.3">
      <c r="A124" t="s">
        <v>718</v>
      </c>
      <c r="B124" t="s">
        <v>735</v>
      </c>
      <c r="C124" t="s">
        <v>765</v>
      </c>
      <c r="D124" s="1">
        <v>0.15</v>
      </c>
      <c r="E124" t="s">
        <v>766</v>
      </c>
      <c r="F124" s="1">
        <v>0.35</v>
      </c>
      <c r="G124" t="s">
        <v>18</v>
      </c>
      <c r="H124" s="1">
        <v>0.9</v>
      </c>
      <c r="I124" s="1"/>
      <c r="J124" s="1">
        <v>0.73</v>
      </c>
      <c r="K124" s="1">
        <v>0.73</v>
      </c>
      <c r="L124" s="1">
        <v>0.7</v>
      </c>
      <c r="M124" s="1">
        <v>0.67</v>
      </c>
      <c r="N124" s="1">
        <v>0.69</v>
      </c>
    </row>
    <row r="125" spans="1:14" x14ac:dyDescent="0.3">
      <c r="A125" t="s">
        <v>718</v>
      </c>
      <c r="B125" t="s">
        <v>735</v>
      </c>
      <c r="C125" t="s">
        <v>765</v>
      </c>
      <c r="D125" s="1">
        <v>0.15</v>
      </c>
      <c r="E125" t="s">
        <v>767</v>
      </c>
      <c r="F125" s="1">
        <v>0.3</v>
      </c>
      <c r="G125" t="s">
        <v>18</v>
      </c>
      <c r="H125" s="1">
        <v>0.9</v>
      </c>
      <c r="I125" s="1"/>
      <c r="J125" s="1">
        <v>0.73</v>
      </c>
      <c r="K125" s="1">
        <v>0.73</v>
      </c>
      <c r="L125" s="1">
        <v>0.7</v>
      </c>
      <c r="M125" s="1">
        <v>0.67</v>
      </c>
      <c r="N125" s="1">
        <v>0.69</v>
      </c>
    </row>
    <row r="126" spans="1:14" x14ac:dyDescent="0.3">
      <c r="A126" t="s">
        <v>718</v>
      </c>
      <c r="B126" t="s">
        <v>735</v>
      </c>
      <c r="C126" t="s">
        <v>765</v>
      </c>
      <c r="D126" s="1">
        <v>0.15</v>
      </c>
      <c r="E126" t="s">
        <v>768</v>
      </c>
      <c r="F126" s="1">
        <v>0.2</v>
      </c>
      <c r="G126" t="s">
        <v>28</v>
      </c>
      <c r="H126" s="1">
        <v>0.7</v>
      </c>
      <c r="I126" s="1"/>
      <c r="J126" s="1">
        <v>0.73</v>
      </c>
      <c r="K126" s="1">
        <v>0.73</v>
      </c>
      <c r="L126" s="1">
        <v>0.7</v>
      </c>
      <c r="M126" s="1">
        <v>0.67</v>
      </c>
      <c r="N126" s="1">
        <v>0.69</v>
      </c>
    </row>
    <row r="127" spans="1:14" x14ac:dyDescent="0.3">
      <c r="A127" t="s">
        <v>718</v>
      </c>
      <c r="B127" t="s">
        <v>735</v>
      </c>
      <c r="C127" t="s">
        <v>765</v>
      </c>
      <c r="D127" s="1">
        <v>0.15</v>
      </c>
      <c r="E127" t="s">
        <v>769</v>
      </c>
      <c r="F127" s="1">
        <v>0.15</v>
      </c>
      <c r="G127" t="s">
        <v>24</v>
      </c>
      <c r="H127" s="1">
        <v>0.95</v>
      </c>
      <c r="I127" s="1"/>
      <c r="J127" s="1">
        <v>0.73</v>
      </c>
      <c r="K127" s="1">
        <v>0.73</v>
      </c>
      <c r="L127" s="1">
        <v>0.7</v>
      </c>
      <c r="M127" s="1">
        <v>0.67</v>
      </c>
      <c r="N127" s="1">
        <v>0.69</v>
      </c>
    </row>
    <row r="128" spans="1:14" x14ac:dyDescent="0.3">
      <c r="D128" s="1"/>
      <c r="F128" s="1"/>
      <c r="H128" s="1"/>
      <c r="I128" s="1"/>
      <c r="J128" s="1"/>
      <c r="K128" s="1"/>
      <c r="L128" s="1"/>
      <c r="M128" s="1"/>
      <c r="N128" s="1"/>
    </row>
    <row r="129" spans="1:14" x14ac:dyDescent="0.3">
      <c r="D129" s="1"/>
      <c r="F129" s="1"/>
      <c r="H129" s="1"/>
      <c r="I129" s="1"/>
      <c r="J129" s="1"/>
      <c r="K129" s="1"/>
      <c r="L129" s="1"/>
      <c r="M129" s="1"/>
      <c r="N129" s="1"/>
    </row>
    <row r="130" spans="1:14" x14ac:dyDescent="0.3">
      <c r="A130" t="s">
        <v>770</v>
      </c>
      <c r="B130" t="s">
        <v>719</v>
      </c>
      <c r="C130" t="s">
        <v>720</v>
      </c>
      <c r="D130" s="1">
        <v>0.25</v>
      </c>
      <c r="E130" t="s">
        <v>721</v>
      </c>
      <c r="F130" s="1">
        <v>0.2</v>
      </c>
      <c r="G130" t="s">
        <v>20</v>
      </c>
      <c r="H130" s="1">
        <v>0.6</v>
      </c>
      <c r="I130" s="1"/>
      <c r="J130" s="1">
        <v>0.6</v>
      </c>
      <c r="K130" s="1">
        <v>0.6</v>
      </c>
      <c r="L130" s="1">
        <v>0.56999999999999995</v>
      </c>
      <c r="M130" s="1">
        <v>0.54</v>
      </c>
      <c r="N130" s="1">
        <v>0.56000000000000005</v>
      </c>
    </row>
    <row r="131" spans="1:14" x14ac:dyDescent="0.3">
      <c r="A131" t="s">
        <v>770</v>
      </c>
      <c r="B131" t="s">
        <v>719</v>
      </c>
      <c r="C131" t="s">
        <v>720</v>
      </c>
      <c r="D131" s="1">
        <v>0.25</v>
      </c>
      <c r="E131" t="s">
        <v>722</v>
      </c>
      <c r="F131" s="1">
        <v>0.4</v>
      </c>
      <c r="G131" t="s">
        <v>18</v>
      </c>
      <c r="H131" s="1">
        <v>0.85</v>
      </c>
      <c r="I131" s="1"/>
      <c r="J131" s="1">
        <v>0.6</v>
      </c>
      <c r="K131" s="1">
        <v>0.6</v>
      </c>
      <c r="L131" s="1">
        <v>0.56999999999999995</v>
      </c>
      <c r="M131" s="1">
        <v>0.54</v>
      </c>
      <c r="N131" s="1">
        <v>0.56000000000000005</v>
      </c>
    </row>
    <row r="132" spans="1:14" x14ac:dyDescent="0.3">
      <c r="A132" t="s">
        <v>770</v>
      </c>
      <c r="B132" t="s">
        <v>719</v>
      </c>
      <c r="C132" t="s">
        <v>720</v>
      </c>
      <c r="D132" s="1">
        <v>0.25</v>
      </c>
      <c r="E132" t="s">
        <v>771</v>
      </c>
      <c r="F132" s="1">
        <v>0.25</v>
      </c>
      <c r="G132" t="s">
        <v>28</v>
      </c>
      <c r="H132" s="1">
        <v>0.75</v>
      </c>
      <c r="I132" s="1"/>
      <c r="J132" s="1">
        <v>0.6</v>
      </c>
      <c r="K132" s="1">
        <v>0.6</v>
      </c>
      <c r="L132" s="1">
        <v>0.56999999999999995</v>
      </c>
      <c r="M132" s="1">
        <v>0.54</v>
      </c>
      <c r="N132" s="1">
        <v>0.56000000000000005</v>
      </c>
    </row>
    <row r="133" spans="1:14" x14ac:dyDescent="0.3">
      <c r="A133" t="s">
        <v>770</v>
      </c>
      <c r="B133" t="s">
        <v>719</v>
      </c>
      <c r="C133" t="s">
        <v>720</v>
      </c>
      <c r="D133" s="1">
        <v>0.25</v>
      </c>
      <c r="E133" t="s">
        <v>724</v>
      </c>
      <c r="F133" s="1">
        <v>0.15</v>
      </c>
      <c r="G133" t="s">
        <v>24</v>
      </c>
      <c r="H133" s="1">
        <v>0.95</v>
      </c>
      <c r="I133" s="1"/>
      <c r="J133" s="1">
        <v>0.6</v>
      </c>
      <c r="K133" s="1">
        <v>0.6</v>
      </c>
      <c r="L133" s="1">
        <v>0.56999999999999995</v>
      </c>
      <c r="M133" s="1">
        <v>0.54</v>
      </c>
      <c r="N133" s="1">
        <v>0.56000000000000005</v>
      </c>
    </row>
    <row r="134" spans="1:14" x14ac:dyDescent="0.3">
      <c r="A134" t="s">
        <v>770</v>
      </c>
      <c r="B134" t="s">
        <v>719</v>
      </c>
      <c r="C134" t="s">
        <v>725</v>
      </c>
      <c r="D134" s="1">
        <v>0.35</v>
      </c>
      <c r="E134" t="s">
        <v>772</v>
      </c>
      <c r="F134" s="1">
        <v>0.2</v>
      </c>
      <c r="G134" t="s">
        <v>20</v>
      </c>
      <c r="H134" s="1">
        <v>0.6</v>
      </c>
      <c r="I134" s="1"/>
      <c r="J134" s="1">
        <v>0.63</v>
      </c>
      <c r="K134" s="1">
        <v>0.63</v>
      </c>
      <c r="L134" s="1">
        <v>0.6</v>
      </c>
      <c r="M134" s="1">
        <v>0.56999999999999995</v>
      </c>
      <c r="N134" s="1">
        <v>0.59</v>
      </c>
    </row>
    <row r="135" spans="1:14" x14ac:dyDescent="0.3">
      <c r="A135" t="s">
        <v>770</v>
      </c>
      <c r="B135" t="s">
        <v>719</v>
      </c>
      <c r="C135" t="s">
        <v>725</v>
      </c>
      <c r="D135" s="1">
        <v>0.35</v>
      </c>
      <c r="E135" t="s">
        <v>726</v>
      </c>
      <c r="F135" s="1">
        <v>0.4</v>
      </c>
      <c r="G135" t="s">
        <v>18</v>
      </c>
      <c r="H135" s="1">
        <v>0.85</v>
      </c>
      <c r="I135" s="1"/>
      <c r="J135" s="1">
        <v>0.63</v>
      </c>
      <c r="K135" s="1">
        <v>0.63</v>
      </c>
      <c r="L135" s="1">
        <v>0.6</v>
      </c>
      <c r="M135" s="1">
        <v>0.56999999999999995</v>
      </c>
      <c r="N135" s="1">
        <v>0.59</v>
      </c>
    </row>
    <row r="136" spans="1:14" x14ac:dyDescent="0.3">
      <c r="A136" t="s">
        <v>770</v>
      </c>
      <c r="B136" t="s">
        <v>719</v>
      </c>
      <c r="C136" t="s">
        <v>725</v>
      </c>
      <c r="D136" s="1">
        <v>0.35</v>
      </c>
      <c r="E136" t="s">
        <v>727</v>
      </c>
      <c r="F136" s="1">
        <v>0.25</v>
      </c>
      <c r="G136" t="s">
        <v>20</v>
      </c>
      <c r="H136" s="1">
        <v>0.75</v>
      </c>
      <c r="I136" s="1"/>
      <c r="J136" s="1">
        <v>0.63</v>
      </c>
      <c r="K136" s="1">
        <v>0.63</v>
      </c>
      <c r="L136" s="1">
        <v>0.6</v>
      </c>
      <c r="M136" s="1">
        <v>0.56999999999999995</v>
      </c>
      <c r="N136" s="1">
        <v>0.59</v>
      </c>
    </row>
    <row r="137" spans="1:14" x14ac:dyDescent="0.3">
      <c r="A137" t="s">
        <v>770</v>
      </c>
      <c r="B137" t="s">
        <v>719</v>
      </c>
      <c r="C137" t="s">
        <v>725</v>
      </c>
      <c r="D137" s="1">
        <v>0.35</v>
      </c>
      <c r="E137" t="s">
        <v>634</v>
      </c>
      <c r="F137" s="1">
        <v>0.15</v>
      </c>
      <c r="G137" t="s">
        <v>24</v>
      </c>
      <c r="H137" s="1">
        <v>0.95</v>
      </c>
      <c r="I137" s="1"/>
      <c r="J137" s="1">
        <v>0.63</v>
      </c>
      <c r="K137" s="1">
        <v>0.63</v>
      </c>
      <c r="L137" s="1">
        <v>0.6</v>
      </c>
      <c r="M137" s="1">
        <v>0.56999999999999995</v>
      </c>
      <c r="N137" s="1">
        <v>0.59</v>
      </c>
    </row>
    <row r="138" spans="1:14" x14ac:dyDescent="0.3">
      <c r="A138" t="s">
        <v>770</v>
      </c>
      <c r="B138" t="s">
        <v>719</v>
      </c>
      <c r="C138" t="s">
        <v>773</v>
      </c>
      <c r="D138" s="1">
        <v>0.2</v>
      </c>
      <c r="E138" t="s">
        <v>774</v>
      </c>
      <c r="F138" s="1">
        <v>0.25</v>
      </c>
      <c r="G138" t="s">
        <v>40</v>
      </c>
      <c r="H138" s="1">
        <v>0.95</v>
      </c>
      <c r="I138" s="1"/>
      <c r="J138" s="1">
        <v>0.69</v>
      </c>
      <c r="K138" s="1">
        <v>0.69</v>
      </c>
      <c r="L138" s="1">
        <v>0.66</v>
      </c>
      <c r="M138" s="1">
        <v>0.63</v>
      </c>
      <c r="N138" s="1">
        <v>0.65</v>
      </c>
    </row>
    <row r="139" spans="1:14" x14ac:dyDescent="0.3">
      <c r="A139" t="s">
        <v>770</v>
      </c>
      <c r="B139" t="s">
        <v>719</v>
      </c>
      <c r="C139" t="s">
        <v>773</v>
      </c>
      <c r="D139" s="1">
        <v>0.2</v>
      </c>
      <c r="E139" t="s">
        <v>757</v>
      </c>
      <c r="F139" s="1">
        <v>0.35</v>
      </c>
      <c r="G139" t="s">
        <v>18</v>
      </c>
      <c r="H139" s="1">
        <v>0.9</v>
      </c>
      <c r="I139" s="1"/>
      <c r="J139" s="1">
        <v>0.69</v>
      </c>
      <c r="K139" s="1">
        <v>0.69</v>
      </c>
      <c r="L139" s="1">
        <v>0.66</v>
      </c>
      <c r="M139" s="1">
        <v>0.63</v>
      </c>
      <c r="N139" s="1">
        <v>0.65</v>
      </c>
    </row>
    <row r="140" spans="1:14" x14ac:dyDescent="0.3">
      <c r="A140" t="s">
        <v>770</v>
      </c>
      <c r="B140" t="s">
        <v>719</v>
      </c>
      <c r="C140" t="s">
        <v>773</v>
      </c>
      <c r="D140" s="1">
        <v>0.2</v>
      </c>
      <c r="E140" t="s">
        <v>775</v>
      </c>
      <c r="F140" s="1">
        <v>0.25</v>
      </c>
      <c r="G140" t="s">
        <v>28</v>
      </c>
      <c r="H140" s="1">
        <v>0.8</v>
      </c>
      <c r="I140" s="1"/>
      <c r="J140" s="1">
        <v>0.69</v>
      </c>
      <c r="K140" s="1">
        <v>0.69</v>
      </c>
      <c r="L140" s="1">
        <v>0.66</v>
      </c>
      <c r="M140" s="1">
        <v>0.63</v>
      </c>
      <c r="N140" s="1">
        <v>0.65</v>
      </c>
    </row>
    <row r="141" spans="1:14" x14ac:dyDescent="0.3">
      <c r="A141" t="s">
        <v>770</v>
      </c>
      <c r="B141" t="s">
        <v>719</v>
      </c>
      <c r="C141" t="s">
        <v>773</v>
      </c>
      <c r="D141" s="1">
        <v>0.2</v>
      </c>
      <c r="E141" t="s">
        <v>776</v>
      </c>
      <c r="F141" s="1">
        <v>0.15</v>
      </c>
      <c r="G141" t="s">
        <v>24</v>
      </c>
      <c r="H141" s="1">
        <v>0.95</v>
      </c>
      <c r="I141" s="1"/>
      <c r="J141" s="1">
        <v>0.69</v>
      </c>
      <c r="K141" s="1">
        <v>0.69</v>
      </c>
      <c r="L141" s="1">
        <v>0.66</v>
      </c>
      <c r="M141" s="1">
        <v>0.63</v>
      </c>
      <c r="N141" s="1">
        <v>0.65</v>
      </c>
    </row>
    <row r="142" spans="1:14" x14ac:dyDescent="0.3">
      <c r="A142" t="s">
        <v>770</v>
      </c>
      <c r="B142" t="s">
        <v>719</v>
      </c>
      <c r="C142" t="s">
        <v>728</v>
      </c>
      <c r="D142" s="1">
        <v>0.2</v>
      </c>
      <c r="E142" t="s">
        <v>777</v>
      </c>
      <c r="F142" s="1">
        <v>0.25</v>
      </c>
      <c r="G142" t="s">
        <v>40</v>
      </c>
      <c r="H142" s="1">
        <v>0.95</v>
      </c>
      <c r="I142" s="1"/>
      <c r="J142" s="1">
        <v>0.67</v>
      </c>
      <c r="K142" s="1">
        <v>0.67</v>
      </c>
      <c r="L142" s="1">
        <v>0.64</v>
      </c>
      <c r="M142" s="1">
        <v>0.61</v>
      </c>
      <c r="N142" s="1">
        <v>0.63</v>
      </c>
    </row>
    <row r="143" spans="1:14" x14ac:dyDescent="0.3">
      <c r="A143" t="s">
        <v>770</v>
      </c>
      <c r="B143" t="s">
        <v>719</v>
      </c>
      <c r="C143" t="s">
        <v>728</v>
      </c>
      <c r="D143" s="1">
        <v>0.2</v>
      </c>
      <c r="E143" t="s">
        <v>778</v>
      </c>
      <c r="F143" s="1">
        <v>0.35</v>
      </c>
      <c r="G143" t="s">
        <v>18</v>
      </c>
      <c r="H143" s="1">
        <v>0.85</v>
      </c>
      <c r="I143" s="1"/>
      <c r="J143" s="1">
        <v>0.67</v>
      </c>
      <c r="K143" s="1">
        <v>0.67</v>
      </c>
      <c r="L143" s="1">
        <v>0.64</v>
      </c>
      <c r="M143" s="1">
        <v>0.61</v>
      </c>
      <c r="N143" s="1">
        <v>0.63</v>
      </c>
    </row>
    <row r="144" spans="1:14" x14ac:dyDescent="0.3">
      <c r="A144" t="s">
        <v>770</v>
      </c>
      <c r="B144" t="s">
        <v>719</v>
      </c>
      <c r="C144" t="s">
        <v>728</v>
      </c>
      <c r="D144" s="1">
        <v>0.2</v>
      </c>
      <c r="E144" t="s">
        <v>779</v>
      </c>
      <c r="F144" s="1">
        <v>0.25</v>
      </c>
      <c r="G144" t="s">
        <v>28</v>
      </c>
      <c r="H144" s="1">
        <v>0.8</v>
      </c>
      <c r="I144" s="1"/>
      <c r="J144" s="1">
        <v>0.67</v>
      </c>
      <c r="K144" s="1">
        <v>0.67</v>
      </c>
      <c r="L144" s="1">
        <v>0.64</v>
      </c>
      <c r="M144" s="1">
        <v>0.61</v>
      </c>
      <c r="N144" s="1">
        <v>0.63</v>
      </c>
    </row>
    <row r="145" spans="1:14" x14ac:dyDescent="0.3">
      <c r="A145" t="s">
        <v>770</v>
      </c>
      <c r="B145" t="s">
        <v>719</v>
      </c>
      <c r="C145" t="s">
        <v>728</v>
      </c>
      <c r="D145" s="1">
        <v>0.2</v>
      </c>
      <c r="E145" t="s">
        <v>732</v>
      </c>
      <c r="F145" s="1">
        <v>0.15</v>
      </c>
      <c r="G145" t="s">
        <v>24</v>
      </c>
      <c r="H145" s="1">
        <v>0.95</v>
      </c>
      <c r="I145" s="1"/>
      <c r="J145" s="1">
        <v>0.67</v>
      </c>
      <c r="K145" s="1">
        <v>0.67</v>
      </c>
      <c r="L145" s="1">
        <v>0.64</v>
      </c>
      <c r="M145" s="1">
        <v>0.61</v>
      </c>
      <c r="N145" s="1">
        <v>0.63</v>
      </c>
    </row>
    <row r="146" spans="1:14" x14ac:dyDescent="0.3">
      <c r="A146" t="s">
        <v>770</v>
      </c>
      <c r="B146" t="s">
        <v>655</v>
      </c>
      <c r="C146" t="s">
        <v>656</v>
      </c>
      <c r="D146" s="1">
        <v>0.15</v>
      </c>
      <c r="E146" t="s">
        <v>780</v>
      </c>
      <c r="F146" s="1">
        <v>0.35</v>
      </c>
      <c r="G146" t="s">
        <v>18</v>
      </c>
      <c r="H146" s="1">
        <v>0.9</v>
      </c>
      <c r="I146" s="1"/>
      <c r="J146" s="1">
        <v>0.68</v>
      </c>
      <c r="K146" s="1">
        <v>0.68</v>
      </c>
      <c r="L146" s="1">
        <v>0.65</v>
      </c>
      <c r="M146" s="1">
        <v>0.62</v>
      </c>
      <c r="N146" s="1">
        <v>0.64</v>
      </c>
    </row>
    <row r="147" spans="1:14" x14ac:dyDescent="0.3">
      <c r="A147" t="s">
        <v>770</v>
      </c>
      <c r="B147" t="s">
        <v>655</v>
      </c>
      <c r="C147" t="s">
        <v>656</v>
      </c>
      <c r="D147" s="1">
        <v>0.15</v>
      </c>
      <c r="E147" t="s">
        <v>781</v>
      </c>
      <c r="F147" s="1">
        <v>0.25</v>
      </c>
      <c r="G147" t="s">
        <v>20</v>
      </c>
      <c r="H147" s="1">
        <v>0.8</v>
      </c>
      <c r="I147" s="1"/>
      <c r="J147" s="1">
        <v>0.68</v>
      </c>
      <c r="K147" s="1">
        <v>0.68</v>
      </c>
      <c r="L147" s="1">
        <v>0.65</v>
      </c>
      <c r="M147" s="1">
        <v>0.62</v>
      </c>
      <c r="N147" s="1">
        <v>0.64</v>
      </c>
    </row>
    <row r="148" spans="1:14" x14ac:dyDescent="0.3">
      <c r="A148" t="s">
        <v>770</v>
      </c>
      <c r="B148" t="s">
        <v>655</v>
      </c>
      <c r="C148" t="s">
        <v>656</v>
      </c>
      <c r="D148" s="1">
        <v>0.15</v>
      </c>
      <c r="E148" t="s">
        <v>782</v>
      </c>
      <c r="F148" s="1">
        <v>0.2</v>
      </c>
      <c r="G148" t="s">
        <v>28</v>
      </c>
      <c r="H148" s="1">
        <v>0.8</v>
      </c>
      <c r="I148" s="1"/>
      <c r="J148" s="1">
        <v>0.68</v>
      </c>
      <c r="K148" s="1">
        <v>0.68</v>
      </c>
      <c r="L148" s="1">
        <v>0.65</v>
      </c>
      <c r="M148" s="1">
        <v>0.62</v>
      </c>
      <c r="N148" s="1">
        <v>0.64</v>
      </c>
    </row>
    <row r="149" spans="1:14" x14ac:dyDescent="0.3">
      <c r="A149" t="s">
        <v>770</v>
      </c>
      <c r="B149" t="s">
        <v>655</v>
      </c>
      <c r="C149" t="s">
        <v>656</v>
      </c>
      <c r="D149" s="1">
        <v>0.15</v>
      </c>
      <c r="E149" t="s">
        <v>783</v>
      </c>
      <c r="F149" s="1">
        <v>0.2</v>
      </c>
      <c r="G149" t="s">
        <v>24</v>
      </c>
      <c r="H149" s="1">
        <v>0.95</v>
      </c>
      <c r="I149" s="1"/>
      <c r="J149" s="1">
        <v>0.68</v>
      </c>
      <c r="K149" s="1">
        <v>0.68</v>
      </c>
      <c r="L149" s="1">
        <v>0.65</v>
      </c>
      <c r="M149" s="1">
        <v>0.62</v>
      </c>
      <c r="N149" s="1">
        <v>0.64</v>
      </c>
    </row>
    <row r="150" spans="1:14" x14ac:dyDescent="0.3">
      <c r="A150" t="s">
        <v>770</v>
      </c>
      <c r="B150" t="s">
        <v>655</v>
      </c>
      <c r="C150" t="s">
        <v>661</v>
      </c>
      <c r="D150" s="1">
        <v>0.2</v>
      </c>
      <c r="E150" t="s">
        <v>784</v>
      </c>
      <c r="F150" s="1">
        <v>0.35</v>
      </c>
      <c r="G150" t="s">
        <v>18</v>
      </c>
      <c r="H150" s="1">
        <v>0.9</v>
      </c>
      <c r="I150" s="1"/>
      <c r="J150" s="1">
        <v>0.7</v>
      </c>
      <c r="K150" s="1">
        <v>0.7</v>
      </c>
      <c r="L150" s="1">
        <v>0.67</v>
      </c>
      <c r="M150" s="1">
        <v>0.64</v>
      </c>
      <c r="N150" s="1">
        <v>0.66</v>
      </c>
    </row>
    <row r="151" spans="1:14" x14ac:dyDescent="0.3">
      <c r="A151" t="s">
        <v>770</v>
      </c>
      <c r="B151" t="s">
        <v>655</v>
      </c>
      <c r="C151" t="s">
        <v>661</v>
      </c>
      <c r="D151" s="1">
        <v>0.2</v>
      </c>
      <c r="E151" t="s">
        <v>785</v>
      </c>
      <c r="F151" s="1">
        <v>0.3</v>
      </c>
      <c r="G151" t="s">
        <v>18</v>
      </c>
      <c r="H151" s="1">
        <v>0.9</v>
      </c>
      <c r="I151" s="1"/>
      <c r="J151" s="1">
        <v>0.7</v>
      </c>
      <c r="K151" s="1">
        <v>0.7</v>
      </c>
      <c r="L151" s="1">
        <v>0.67</v>
      </c>
      <c r="M151" s="1">
        <v>0.64</v>
      </c>
      <c r="N151" s="1">
        <v>0.66</v>
      </c>
    </row>
    <row r="152" spans="1:14" x14ac:dyDescent="0.3">
      <c r="A152" t="s">
        <v>770</v>
      </c>
      <c r="B152" t="s">
        <v>655</v>
      </c>
      <c r="C152" t="s">
        <v>661</v>
      </c>
      <c r="D152" s="1">
        <v>0.2</v>
      </c>
      <c r="E152" t="s">
        <v>786</v>
      </c>
      <c r="F152" s="1">
        <v>0.2</v>
      </c>
      <c r="G152" t="s">
        <v>40</v>
      </c>
      <c r="H152" s="1">
        <v>0.8</v>
      </c>
      <c r="I152" s="1"/>
      <c r="J152" s="1">
        <v>0.7</v>
      </c>
      <c r="K152" s="1">
        <v>0.7</v>
      </c>
      <c r="L152" s="1">
        <v>0.67</v>
      </c>
      <c r="M152" s="1">
        <v>0.64</v>
      </c>
      <c r="N152" s="1">
        <v>0.66</v>
      </c>
    </row>
    <row r="153" spans="1:14" x14ac:dyDescent="0.3">
      <c r="A153" t="s">
        <v>770</v>
      </c>
      <c r="B153" t="s">
        <v>655</v>
      </c>
      <c r="C153" t="s">
        <v>661</v>
      </c>
      <c r="D153" s="1">
        <v>0.2</v>
      </c>
      <c r="E153" t="s">
        <v>787</v>
      </c>
      <c r="F153" s="1">
        <v>0.15</v>
      </c>
      <c r="G153" t="s">
        <v>24</v>
      </c>
      <c r="H153" s="1">
        <v>0.95</v>
      </c>
      <c r="I153" s="1"/>
      <c r="J153" s="1">
        <v>0.7</v>
      </c>
      <c r="K153" s="1">
        <v>0.7</v>
      </c>
      <c r="L153" s="1">
        <v>0.67</v>
      </c>
      <c r="M153" s="1">
        <v>0.64</v>
      </c>
      <c r="N153" s="1">
        <v>0.66</v>
      </c>
    </row>
    <row r="154" spans="1:14" x14ac:dyDescent="0.3">
      <c r="A154" t="s">
        <v>770</v>
      </c>
      <c r="B154" t="s">
        <v>655</v>
      </c>
      <c r="C154" t="s">
        <v>666</v>
      </c>
      <c r="D154" s="1">
        <v>0.2</v>
      </c>
      <c r="E154" t="s">
        <v>17</v>
      </c>
      <c r="F154" s="1">
        <v>0.35</v>
      </c>
      <c r="G154" t="s">
        <v>18</v>
      </c>
      <c r="H154" s="1">
        <v>0.9</v>
      </c>
      <c r="I154" s="1"/>
      <c r="J154" s="1">
        <v>0.7</v>
      </c>
      <c r="K154" s="1">
        <v>0.7</v>
      </c>
      <c r="L154" s="1">
        <v>0.67</v>
      </c>
      <c r="M154" s="1">
        <v>0.64</v>
      </c>
      <c r="N154" s="1">
        <v>0.66</v>
      </c>
    </row>
    <row r="155" spans="1:14" x14ac:dyDescent="0.3">
      <c r="A155" t="s">
        <v>770</v>
      </c>
      <c r="B155" t="s">
        <v>655</v>
      </c>
      <c r="C155" t="s">
        <v>666</v>
      </c>
      <c r="D155" s="1">
        <v>0.2</v>
      </c>
      <c r="E155" t="s">
        <v>788</v>
      </c>
      <c r="F155" s="1">
        <v>0.25</v>
      </c>
      <c r="G155" t="s">
        <v>20</v>
      </c>
      <c r="H155" s="1">
        <v>0.8</v>
      </c>
      <c r="I155" s="1"/>
      <c r="J155" s="1">
        <v>0.7</v>
      </c>
      <c r="K155" s="1">
        <v>0.7</v>
      </c>
      <c r="L155" s="1">
        <v>0.67</v>
      </c>
      <c r="M155" s="1">
        <v>0.64</v>
      </c>
      <c r="N155" s="1">
        <v>0.66</v>
      </c>
    </row>
    <row r="156" spans="1:14" x14ac:dyDescent="0.3">
      <c r="A156" t="s">
        <v>770</v>
      </c>
      <c r="B156" t="s">
        <v>655</v>
      </c>
      <c r="C156" t="s">
        <v>666</v>
      </c>
      <c r="D156" s="1">
        <v>0.2</v>
      </c>
      <c r="E156" t="s">
        <v>789</v>
      </c>
      <c r="F156" s="1">
        <v>0.2</v>
      </c>
      <c r="G156" t="s">
        <v>22</v>
      </c>
      <c r="H156" s="1">
        <v>0.85</v>
      </c>
      <c r="I156" s="1"/>
      <c r="J156" s="1">
        <v>0.7</v>
      </c>
      <c r="K156" s="1">
        <v>0.7</v>
      </c>
      <c r="L156" s="1">
        <v>0.67</v>
      </c>
      <c r="M156" s="1">
        <v>0.64</v>
      </c>
      <c r="N156" s="1">
        <v>0.66</v>
      </c>
    </row>
    <row r="157" spans="1:14" x14ac:dyDescent="0.3">
      <c r="A157" t="s">
        <v>770</v>
      </c>
      <c r="B157" t="s">
        <v>655</v>
      </c>
      <c r="C157" t="s">
        <v>666</v>
      </c>
      <c r="D157" s="1">
        <v>0.2</v>
      </c>
      <c r="E157" t="s">
        <v>669</v>
      </c>
      <c r="F157" s="1">
        <v>0.2</v>
      </c>
      <c r="G157" t="s">
        <v>24</v>
      </c>
      <c r="H157" s="1">
        <v>0.95</v>
      </c>
      <c r="I157" s="1"/>
      <c r="J157" s="1">
        <v>0.7</v>
      </c>
      <c r="K157" s="1">
        <v>0.7</v>
      </c>
      <c r="L157" s="1">
        <v>0.67</v>
      </c>
      <c r="M157" s="1">
        <v>0.64</v>
      </c>
      <c r="N157" s="1">
        <v>0.66</v>
      </c>
    </row>
    <row r="158" spans="1:14" x14ac:dyDescent="0.3">
      <c r="A158" t="s">
        <v>770</v>
      </c>
      <c r="B158" t="s">
        <v>655</v>
      </c>
      <c r="C158" t="s">
        <v>25</v>
      </c>
      <c r="D158" s="1">
        <v>0.15</v>
      </c>
      <c r="E158" t="s">
        <v>790</v>
      </c>
      <c r="F158" s="1">
        <v>0.3</v>
      </c>
      <c r="G158" t="s">
        <v>18</v>
      </c>
      <c r="H158" s="1">
        <v>0.9</v>
      </c>
      <c r="I158" s="1"/>
      <c r="J158" s="1">
        <v>0.66</v>
      </c>
      <c r="K158" s="1">
        <v>0.66</v>
      </c>
      <c r="L158" s="1">
        <v>0.63</v>
      </c>
      <c r="M158" s="1">
        <v>0.6</v>
      </c>
      <c r="N158" s="1">
        <v>0.62</v>
      </c>
    </row>
    <row r="159" spans="1:14" x14ac:dyDescent="0.3">
      <c r="A159" t="s">
        <v>770</v>
      </c>
      <c r="B159" t="s">
        <v>655</v>
      </c>
      <c r="C159" t="s">
        <v>25</v>
      </c>
      <c r="D159" s="1">
        <v>0.15</v>
      </c>
      <c r="E159" t="s">
        <v>791</v>
      </c>
      <c r="F159" s="1">
        <v>0.3</v>
      </c>
      <c r="G159" t="s">
        <v>18</v>
      </c>
      <c r="H159" s="1">
        <v>0.85</v>
      </c>
      <c r="I159" s="1"/>
      <c r="J159" s="1">
        <v>0.66</v>
      </c>
      <c r="K159" s="1">
        <v>0.66</v>
      </c>
      <c r="L159" s="1">
        <v>0.63</v>
      </c>
      <c r="M159" s="1">
        <v>0.6</v>
      </c>
      <c r="N159" s="1">
        <v>0.62</v>
      </c>
    </row>
    <row r="160" spans="1:14" x14ac:dyDescent="0.3">
      <c r="A160" t="s">
        <v>770</v>
      </c>
      <c r="B160" t="s">
        <v>655</v>
      </c>
      <c r="C160" t="s">
        <v>25</v>
      </c>
      <c r="D160" s="1">
        <v>0.15</v>
      </c>
      <c r="E160" t="s">
        <v>792</v>
      </c>
      <c r="F160" s="1">
        <v>0.2</v>
      </c>
      <c r="G160" t="s">
        <v>20</v>
      </c>
      <c r="H160" s="1">
        <v>0.75</v>
      </c>
      <c r="I160" s="1"/>
      <c r="J160" s="1">
        <v>0.66</v>
      </c>
      <c r="K160" s="1">
        <v>0.66</v>
      </c>
      <c r="L160" s="1">
        <v>0.63</v>
      </c>
      <c r="M160" s="1">
        <v>0.6</v>
      </c>
      <c r="N160" s="1">
        <v>0.62</v>
      </c>
    </row>
    <row r="161" spans="1:14" x14ac:dyDescent="0.3">
      <c r="A161" t="s">
        <v>770</v>
      </c>
      <c r="B161" t="s">
        <v>655</v>
      </c>
      <c r="C161" t="s">
        <v>25</v>
      </c>
      <c r="D161" s="1">
        <v>0.15</v>
      </c>
      <c r="E161" t="s">
        <v>31</v>
      </c>
      <c r="F161" s="1">
        <v>0.2</v>
      </c>
      <c r="G161" t="s">
        <v>24</v>
      </c>
      <c r="H161" s="1">
        <v>0.95</v>
      </c>
      <c r="I161" s="1"/>
      <c r="J161" s="1">
        <v>0.66</v>
      </c>
      <c r="K161" s="1">
        <v>0.66</v>
      </c>
      <c r="L161" s="1">
        <v>0.63</v>
      </c>
      <c r="M161" s="1">
        <v>0.6</v>
      </c>
      <c r="N161" s="1">
        <v>0.62</v>
      </c>
    </row>
    <row r="162" spans="1:14" x14ac:dyDescent="0.3">
      <c r="A162" t="s">
        <v>770</v>
      </c>
      <c r="B162" t="s">
        <v>655</v>
      </c>
      <c r="C162" t="s">
        <v>673</v>
      </c>
      <c r="D162" s="1">
        <v>0.2</v>
      </c>
      <c r="E162" t="s">
        <v>793</v>
      </c>
      <c r="F162" s="1">
        <v>0.4</v>
      </c>
      <c r="G162" t="s">
        <v>18</v>
      </c>
      <c r="H162" s="1">
        <v>0.85</v>
      </c>
      <c r="I162" s="1"/>
      <c r="J162" s="1">
        <v>0.64</v>
      </c>
      <c r="K162" s="1">
        <v>0.64</v>
      </c>
      <c r="L162" s="1">
        <v>0.61</v>
      </c>
      <c r="M162" s="1">
        <v>0.57999999999999996</v>
      </c>
      <c r="N162" s="1">
        <v>0.6</v>
      </c>
    </row>
    <row r="163" spans="1:14" x14ac:dyDescent="0.3">
      <c r="A163" t="s">
        <v>770</v>
      </c>
      <c r="B163" t="s">
        <v>655</v>
      </c>
      <c r="C163" t="s">
        <v>673</v>
      </c>
      <c r="D163" s="1">
        <v>0.2</v>
      </c>
      <c r="E163" t="s">
        <v>794</v>
      </c>
      <c r="F163" s="1">
        <v>0.25</v>
      </c>
      <c r="G163" t="s">
        <v>20</v>
      </c>
      <c r="H163" s="1">
        <v>0.75</v>
      </c>
      <c r="I163" s="1"/>
      <c r="J163" s="1">
        <v>0.64</v>
      </c>
      <c r="K163" s="1">
        <v>0.64</v>
      </c>
      <c r="L163" s="1">
        <v>0.61</v>
      </c>
      <c r="M163" s="1">
        <v>0.57999999999999996</v>
      </c>
      <c r="N163" s="1">
        <v>0.6</v>
      </c>
    </row>
    <row r="164" spans="1:14" x14ac:dyDescent="0.3">
      <c r="A164" t="s">
        <v>770</v>
      </c>
      <c r="B164" t="s">
        <v>655</v>
      </c>
      <c r="C164" t="s">
        <v>673</v>
      </c>
      <c r="D164" s="1">
        <v>0.2</v>
      </c>
      <c r="E164" t="s">
        <v>795</v>
      </c>
      <c r="F164" s="1">
        <v>0.2</v>
      </c>
      <c r="G164" t="s">
        <v>40</v>
      </c>
      <c r="H164" s="1">
        <v>0.85</v>
      </c>
      <c r="I164" s="1"/>
      <c r="J164" s="1">
        <v>0.64</v>
      </c>
      <c r="K164" s="1">
        <v>0.64</v>
      </c>
      <c r="L164" s="1">
        <v>0.61</v>
      </c>
      <c r="M164" s="1">
        <v>0.57999999999999996</v>
      </c>
      <c r="N164" s="1">
        <v>0.6</v>
      </c>
    </row>
    <row r="165" spans="1:14" x14ac:dyDescent="0.3">
      <c r="A165" t="s">
        <v>770</v>
      </c>
      <c r="B165" t="s">
        <v>655</v>
      </c>
      <c r="C165" t="s">
        <v>673</v>
      </c>
      <c r="D165" s="1">
        <v>0.2</v>
      </c>
      <c r="E165" t="s">
        <v>796</v>
      </c>
      <c r="F165" s="1">
        <v>0.15</v>
      </c>
      <c r="G165" t="s">
        <v>24</v>
      </c>
      <c r="H165" s="1">
        <v>0.95</v>
      </c>
      <c r="I165" s="1"/>
      <c r="J165" s="1">
        <v>0.64</v>
      </c>
      <c r="K165" s="1">
        <v>0.64</v>
      </c>
      <c r="L165" s="1">
        <v>0.61</v>
      </c>
      <c r="M165" s="1">
        <v>0.57999999999999996</v>
      </c>
      <c r="N165" s="1">
        <v>0.6</v>
      </c>
    </row>
    <row r="166" spans="1:14" x14ac:dyDescent="0.3">
      <c r="A166" t="s">
        <v>770</v>
      </c>
      <c r="B166" t="s">
        <v>655</v>
      </c>
      <c r="C166" t="s">
        <v>678</v>
      </c>
      <c r="D166" s="1">
        <v>0.1</v>
      </c>
      <c r="E166" t="s">
        <v>679</v>
      </c>
      <c r="F166" s="1">
        <v>0.3</v>
      </c>
      <c r="G166" t="s">
        <v>18</v>
      </c>
      <c r="H166" s="1">
        <v>0.9</v>
      </c>
      <c r="I166" s="1"/>
      <c r="J166" s="1">
        <v>0.64</v>
      </c>
      <c r="K166" s="1">
        <v>0.64</v>
      </c>
      <c r="L166" s="1">
        <v>0.61</v>
      </c>
      <c r="M166" s="1">
        <v>0.57999999999999996</v>
      </c>
      <c r="N166" s="1">
        <v>0.6</v>
      </c>
    </row>
    <row r="167" spans="1:14" x14ac:dyDescent="0.3">
      <c r="A167" t="s">
        <v>770</v>
      </c>
      <c r="B167" t="s">
        <v>655</v>
      </c>
      <c r="C167" t="s">
        <v>678</v>
      </c>
      <c r="D167" s="1">
        <v>0.1</v>
      </c>
      <c r="E167" t="s">
        <v>114</v>
      </c>
      <c r="F167" s="1">
        <v>0.25</v>
      </c>
      <c r="G167" t="s">
        <v>20</v>
      </c>
      <c r="H167" s="1">
        <v>0.8</v>
      </c>
      <c r="I167" s="1"/>
      <c r="J167" s="1">
        <v>0.64</v>
      </c>
      <c r="K167" s="1">
        <v>0.64</v>
      </c>
      <c r="L167" s="1">
        <v>0.61</v>
      </c>
      <c r="M167" s="1">
        <v>0.57999999999999996</v>
      </c>
      <c r="N167" s="1">
        <v>0.6</v>
      </c>
    </row>
    <row r="168" spans="1:14" x14ac:dyDescent="0.3">
      <c r="A168" t="s">
        <v>770</v>
      </c>
      <c r="B168" t="s">
        <v>655</v>
      </c>
      <c r="C168" t="s">
        <v>678</v>
      </c>
      <c r="D168" s="1">
        <v>0.1</v>
      </c>
      <c r="E168" t="s">
        <v>797</v>
      </c>
      <c r="F168" s="1">
        <v>0.25</v>
      </c>
      <c r="G168" t="s">
        <v>28</v>
      </c>
      <c r="H168" s="1">
        <v>0.75</v>
      </c>
      <c r="I168" s="1"/>
      <c r="J168" s="1">
        <v>0.64</v>
      </c>
      <c r="K168" s="1">
        <v>0.64</v>
      </c>
      <c r="L168" s="1">
        <v>0.61</v>
      </c>
      <c r="M168" s="1">
        <v>0.57999999999999996</v>
      </c>
      <c r="N168" s="1">
        <v>0.6</v>
      </c>
    </row>
    <row r="169" spans="1:14" x14ac:dyDescent="0.3">
      <c r="A169" t="s">
        <v>770</v>
      </c>
      <c r="B169" t="s">
        <v>655</v>
      </c>
      <c r="C169" t="s">
        <v>678</v>
      </c>
      <c r="D169" s="1">
        <v>0.1</v>
      </c>
      <c r="E169" t="s">
        <v>798</v>
      </c>
      <c r="F169" s="1">
        <v>0.2</v>
      </c>
      <c r="G169" t="s">
        <v>24</v>
      </c>
      <c r="H169" s="1">
        <v>0.95</v>
      </c>
      <c r="I169" s="1"/>
      <c r="J169" s="1">
        <v>0.64</v>
      </c>
      <c r="K169" s="1">
        <v>0.64</v>
      </c>
      <c r="L169" s="1">
        <v>0.61</v>
      </c>
      <c r="M169" s="1">
        <v>0.57999999999999996</v>
      </c>
      <c r="N169" s="1">
        <v>0.6</v>
      </c>
    </row>
    <row r="170" spans="1:14" x14ac:dyDescent="0.3">
      <c r="A170" t="s">
        <v>770</v>
      </c>
      <c r="B170" t="s">
        <v>682</v>
      </c>
      <c r="C170" t="s">
        <v>683</v>
      </c>
      <c r="D170" s="1">
        <v>0.2</v>
      </c>
      <c r="E170" t="s">
        <v>684</v>
      </c>
      <c r="F170" s="1">
        <v>0.25</v>
      </c>
      <c r="G170" t="s">
        <v>20</v>
      </c>
      <c r="H170" s="1">
        <v>0.6</v>
      </c>
      <c r="I170" s="1"/>
      <c r="J170" s="1">
        <v>0.37</v>
      </c>
      <c r="K170" s="1">
        <v>0.37</v>
      </c>
      <c r="L170" s="1">
        <v>0.34</v>
      </c>
      <c r="M170" s="1">
        <v>0.31</v>
      </c>
      <c r="N170" s="1">
        <v>0.33</v>
      </c>
    </row>
    <row r="171" spans="1:14" x14ac:dyDescent="0.3">
      <c r="A171" t="s">
        <v>770</v>
      </c>
      <c r="B171" t="s">
        <v>682</v>
      </c>
      <c r="C171" t="s">
        <v>683</v>
      </c>
      <c r="D171" s="1">
        <v>0.2</v>
      </c>
      <c r="E171" t="s">
        <v>685</v>
      </c>
      <c r="F171" s="1">
        <v>0.3</v>
      </c>
      <c r="G171" t="s">
        <v>56</v>
      </c>
      <c r="H171" s="1">
        <v>0.3</v>
      </c>
      <c r="I171" s="1"/>
      <c r="J171" s="1">
        <v>0.37</v>
      </c>
      <c r="K171" s="1">
        <v>0.37</v>
      </c>
      <c r="L171" s="1">
        <v>0.34</v>
      </c>
      <c r="M171" s="1">
        <v>0.31</v>
      </c>
      <c r="N171" s="1">
        <v>0.33</v>
      </c>
    </row>
    <row r="172" spans="1:14" x14ac:dyDescent="0.3">
      <c r="A172" t="s">
        <v>770</v>
      </c>
      <c r="B172" t="s">
        <v>682</v>
      </c>
      <c r="C172" t="s">
        <v>683</v>
      </c>
      <c r="D172" s="1">
        <v>0.2</v>
      </c>
      <c r="E172" t="s">
        <v>686</v>
      </c>
      <c r="F172" s="1">
        <v>0.25</v>
      </c>
      <c r="G172" t="s">
        <v>20</v>
      </c>
      <c r="H172" s="1">
        <v>0.6</v>
      </c>
      <c r="I172" s="1"/>
      <c r="J172" s="1">
        <v>0.37</v>
      </c>
      <c r="K172" s="1">
        <v>0.37</v>
      </c>
      <c r="L172" s="1">
        <v>0.34</v>
      </c>
      <c r="M172" s="1">
        <v>0.31</v>
      </c>
      <c r="N172" s="1">
        <v>0.33</v>
      </c>
    </row>
    <row r="173" spans="1:14" x14ac:dyDescent="0.3">
      <c r="A173" t="s">
        <v>770</v>
      </c>
      <c r="B173" t="s">
        <v>682</v>
      </c>
      <c r="C173" t="s">
        <v>683</v>
      </c>
      <c r="D173" s="1">
        <v>0.2</v>
      </c>
      <c r="E173" t="s">
        <v>687</v>
      </c>
      <c r="F173" s="1">
        <v>0.2</v>
      </c>
      <c r="G173" t="s">
        <v>24</v>
      </c>
      <c r="H173" s="1">
        <v>0.95</v>
      </c>
      <c r="I173" s="1"/>
      <c r="J173" s="1">
        <v>0.37</v>
      </c>
      <c r="K173" s="1">
        <v>0.37</v>
      </c>
      <c r="L173" s="1">
        <v>0.34</v>
      </c>
      <c r="M173" s="1">
        <v>0.31</v>
      </c>
      <c r="N173" s="1">
        <v>0.33</v>
      </c>
    </row>
    <row r="174" spans="1:14" x14ac:dyDescent="0.3">
      <c r="A174" t="s">
        <v>770</v>
      </c>
      <c r="B174" t="s">
        <v>682</v>
      </c>
      <c r="C174" t="s">
        <v>688</v>
      </c>
      <c r="D174" s="1">
        <v>0.1</v>
      </c>
      <c r="E174" t="s">
        <v>689</v>
      </c>
      <c r="F174" s="1">
        <v>0.3</v>
      </c>
      <c r="G174" t="s">
        <v>20</v>
      </c>
      <c r="H174" s="1">
        <v>0.6</v>
      </c>
      <c r="I174" s="1"/>
      <c r="J174" s="1">
        <v>0.28999999999999998</v>
      </c>
      <c r="K174" s="1">
        <v>0.28999999999999998</v>
      </c>
      <c r="L174" s="1">
        <v>0.26</v>
      </c>
      <c r="M174" s="1">
        <v>0.23</v>
      </c>
      <c r="N174" s="1">
        <v>0.25</v>
      </c>
    </row>
    <row r="175" spans="1:14" x14ac:dyDescent="0.3">
      <c r="A175" t="s">
        <v>770</v>
      </c>
      <c r="B175" t="s">
        <v>682</v>
      </c>
      <c r="C175" t="s">
        <v>688</v>
      </c>
      <c r="D175" s="1">
        <v>0.1</v>
      </c>
      <c r="E175" t="s">
        <v>690</v>
      </c>
      <c r="F175" s="1">
        <v>0.3</v>
      </c>
      <c r="G175" t="s">
        <v>56</v>
      </c>
      <c r="H175" s="1">
        <v>0.3</v>
      </c>
      <c r="I175" s="1"/>
      <c r="J175" s="1">
        <v>0.28999999999999998</v>
      </c>
      <c r="K175" s="1">
        <v>0.28999999999999998</v>
      </c>
      <c r="L175" s="1">
        <v>0.26</v>
      </c>
      <c r="M175" s="1">
        <v>0.23</v>
      </c>
      <c r="N175" s="1">
        <v>0.25</v>
      </c>
    </row>
    <row r="176" spans="1:14" x14ac:dyDescent="0.3">
      <c r="A176" t="s">
        <v>770</v>
      </c>
      <c r="B176" t="s">
        <v>682</v>
      </c>
      <c r="C176" t="s">
        <v>688</v>
      </c>
      <c r="D176" s="1">
        <v>0.1</v>
      </c>
      <c r="E176" t="s">
        <v>691</v>
      </c>
      <c r="F176" s="1">
        <v>0.2</v>
      </c>
      <c r="G176" t="s">
        <v>22</v>
      </c>
      <c r="H176" s="1">
        <v>0.85</v>
      </c>
      <c r="I176" s="1"/>
      <c r="J176" s="1">
        <v>0.28999999999999998</v>
      </c>
      <c r="K176" s="1">
        <v>0.28999999999999998</v>
      </c>
      <c r="L176" s="1">
        <v>0.26</v>
      </c>
      <c r="M176" s="1">
        <v>0.23</v>
      </c>
      <c r="N176" s="1">
        <v>0.25</v>
      </c>
    </row>
    <row r="177" spans="1:14" x14ac:dyDescent="0.3">
      <c r="A177" t="s">
        <v>770</v>
      </c>
      <c r="B177" t="s">
        <v>682</v>
      </c>
      <c r="C177" t="s">
        <v>688</v>
      </c>
      <c r="D177" s="1">
        <v>0.1</v>
      </c>
      <c r="E177" t="s">
        <v>692</v>
      </c>
      <c r="F177" s="1">
        <v>0.2</v>
      </c>
      <c r="G177" t="s">
        <v>24</v>
      </c>
      <c r="H177" s="1">
        <v>0.95</v>
      </c>
      <c r="I177" s="1"/>
      <c r="J177" s="1">
        <v>0.28999999999999998</v>
      </c>
      <c r="K177" s="1">
        <v>0.28999999999999998</v>
      </c>
      <c r="L177" s="1">
        <v>0.26</v>
      </c>
      <c r="M177" s="1">
        <v>0.23</v>
      </c>
      <c r="N177" s="1">
        <v>0.25</v>
      </c>
    </row>
    <row r="178" spans="1:14" x14ac:dyDescent="0.3">
      <c r="A178" t="s">
        <v>770</v>
      </c>
      <c r="B178" t="s">
        <v>682</v>
      </c>
      <c r="C178" t="s">
        <v>693</v>
      </c>
      <c r="D178" s="1">
        <v>0.15</v>
      </c>
      <c r="E178" t="s">
        <v>694</v>
      </c>
      <c r="F178" s="1">
        <v>0.3</v>
      </c>
      <c r="G178" t="s">
        <v>20</v>
      </c>
      <c r="H178" s="1">
        <v>0.6</v>
      </c>
      <c r="I178" s="1"/>
      <c r="J178" s="1">
        <v>0.37</v>
      </c>
      <c r="K178" s="1">
        <v>0.37</v>
      </c>
      <c r="L178" s="1">
        <v>0.34</v>
      </c>
      <c r="M178" s="1">
        <v>0.31</v>
      </c>
      <c r="N178" s="1">
        <v>0.33</v>
      </c>
    </row>
    <row r="179" spans="1:14" x14ac:dyDescent="0.3">
      <c r="A179" t="s">
        <v>770</v>
      </c>
      <c r="B179" t="s">
        <v>682</v>
      </c>
      <c r="C179" t="s">
        <v>693</v>
      </c>
      <c r="D179" s="1">
        <v>0.15</v>
      </c>
      <c r="E179" t="s">
        <v>799</v>
      </c>
      <c r="F179" s="1">
        <v>0.25</v>
      </c>
      <c r="G179" t="s">
        <v>56</v>
      </c>
      <c r="H179" s="1">
        <v>0.3</v>
      </c>
      <c r="I179" s="1"/>
      <c r="J179" s="1">
        <v>0.37</v>
      </c>
      <c r="K179" s="1">
        <v>0.37</v>
      </c>
      <c r="L179" s="1">
        <v>0.34</v>
      </c>
      <c r="M179" s="1">
        <v>0.31</v>
      </c>
      <c r="N179" s="1">
        <v>0.33</v>
      </c>
    </row>
    <row r="180" spans="1:14" x14ac:dyDescent="0.3">
      <c r="A180" t="s">
        <v>770</v>
      </c>
      <c r="B180" t="s">
        <v>682</v>
      </c>
      <c r="C180" t="s">
        <v>693</v>
      </c>
      <c r="D180" s="1">
        <v>0.15</v>
      </c>
      <c r="E180" t="s">
        <v>696</v>
      </c>
      <c r="F180" s="1">
        <v>0.25</v>
      </c>
      <c r="G180" t="s">
        <v>28</v>
      </c>
      <c r="H180" s="1">
        <v>0.7</v>
      </c>
      <c r="I180" s="1"/>
      <c r="J180" s="1">
        <v>0.37</v>
      </c>
      <c r="K180" s="1">
        <v>0.37</v>
      </c>
      <c r="L180" s="1">
        <v>0.34</v>
      </c>
      <c r="M180" s="1">
        <v>0.31</v>
      </c>
      <c r="N180" s="1">
        <v>0.33</v>
      </c>
    </row>
    <row r="181" spans="1:14" x14ac:dyDescent="0.3">
      <c r="A181" t="s">
        <v>770</v>
      </c>
      <c r="B181" t="s">
        <v>682</v>
      </c>
      <c r="C181" t="s">
        <v>693</v>
      </c>
      <c r="D181" s="1">
        <v>0.15</v>
      </c>
      <c r="E181" t="s">
        <v>800</v>
      </c>
      <c r="F181" s="1">
        <v>0.2</v>
      </c>
      <c r="G181" t="s">
        <v>24</v>
      </c>
      <c r="H181" s="1">
        <v>0.95</v>
      </c>
      <c r="I181" s="1"/>
      <c r="J181" s="1">
        <v>0.37</v>
      </c>
      <c r="K181" s="1">
        <v>0.37</v>
      </c>
      <c r="L181" s="1">
        <v>0.34</v>
      </c>
      <c r="M181" s="1">
        <v>0.31</v>
      </c>
      <c r="N181" s="1">
        <v>0.33</v>
      </c>
    </row>
    <row r="182" spans="1:14" x14ac:dyDescent="0.3">
      <c r="A182" t="s">
        <v>770</v>
      </c>
      <c r="B182" t="s">
        <v>682</v>
      </c>
      <c r="C182" t="s">
        <v>698</v>
      </c>
      <c r="D182" s="1">
        <v>0.1</v>
      </c>
      <c r="E182" t="s">
        <v>699</v>
      </c>
      <c r="F182" s="1">
        <v>0.3</v>
      </c>
      <c r="G182" t="s">
        <v>20</v>
      </c>
      <c r="H182" s="1">
        <v>0.6</v>
      </c>
      <c r="I182" s="1"/>
      <c r="J182" s="1">
        <v>0.46</v>
      </c>
      <c r="K182" s="1">
        <v>0.46</v>
      </c>
      <c r="L182" s="1">
        <v>0.43</v>
      </c>
      <c r="M182" s="1">
        <v>0.4</v>
      </c>
      <c r="N182" s="1">
        <v>0.42</v>
      </c>
    </row>
    <row r="183" spans="1:14" x14ac:dyDescent="0.3">
      <c r="A183" t="s">
        <v>770</v>
      </c>
      <c r="B183" t="s">
        <v>682</v>
      </c>
      <c r="C183" t="s">
        <v>698</v>
      </c>
      <c r="D183" s="1">
        <v>0.1</v>
      </c>
      <c r="E183" t="s">
        <v>700</v>
      </c>
      <c r="F183" s="1">
        <v>0.25</v>
      </c>
      <c r="G183" t="s">
        <v>40</v>
      </c>
      <c r="H183" s="1">
        <v>0.7</v>
      </c>
      <c r="I183" s="1"/>
      <c r="J183" s="1">
        <v>0.46</v>
      </c>
      <c r="K183" s="1">
        <v>0.46</v>
      </c>
      <c r="L183" s="1">
        <v>0.43</v>
      </c>
      <c r="M183" s="1">
        <v>0.4</v>
      </c>
      <c r="N183" s="1">
        <v>0.42</v>
      </c>
    </row>
    <row r="184" spans="1:14" x14ac:dyDescent="0.3">
      <c r="A184" t="s">
        <v>770</v>
      </c>
      <c r="B184" t="s">
        <v>682</v>
      </c>
      <c r="C184" t="s">
        <v>698</v>
      </c>
      <c r="D184" s="1">
        <v>0.1</v>
      </c>
      <c r="E184" t="s">
        <v>701</v>
      </c>
      <c r="F184" s="1">
        <v>0.2</v>
      </c>
      <c r="G184" t="s">
        <v>22</v>
      </c>
      <c r="H184" s="1">
        <v>0.85</v>
      </c>
      <c r="I184" s="1"/>
      <c r="J184" s="1">
        <v>0.46</v>
      </c>
      <c r="K184" s="1">
        <v>0.46</v>
      </c>
      <c r="L184" s="1">
        <v>0.43</v>
      </c>
      <c r="M184" s="1">
        <v>0.4</v>
      </c>
      <c r="N184" s="1">
        <v>0.42</v>
      </c>
    </row>
    <row r="185" spans="1:14" x14ac:dyDescent="0.3">
      <c r="A185" t="s">
        <v>770</v>
      </c>
      <c r="B185" t="s">
        <v>682</v>
      </c>
      <c r="C185" t="s">
        <v>698</v>
      </c>
      <c r="D185" s="1">
        <v>0.1</v>
      </c>
      <c r="E185" t="s">
        <v>702</v>
      </c>
      <c r="F185" s="1">
        <v>0.25</v>
      </c>
      <c r="G185" t="s">
        <v>24</v>
      </c>
      <c r="H185" s="1">
        <v>0.95</v>
      </c>
      <c r="I185" s="1"/>
      <c r="J185" s="1">
        <v>0.46</v>
      </c>
      <c r="K185" s="1">
        <v>0.46</v>
      </c>
      <c r="L185" s="1">
        <v>0.43</v>
      </c>
      <c r="M185" s="1">
        <v>0.4</v>
      </c>
      <c r="N185" s="1">
        <v>0.42</v>
      </c>
    </row>
    <row r="186" spans="1:14" x14ac:dyDescent="0.3">
      <c r="A186" t="s">
        <v>770</v>
      </c>
      <c r="B186" t="s">
        <v>682</v>
      </c>
      <c r="C186" t="s">
        <v>703</v>
      </c>
      <c r="D186" s="1">
        <v>0.15</v>
      </c>
      <c r="E186" t="s">
        <v>733</v>
      </c>
      <c r="F186" s="1">
        <v>0.3</v>
      </c>
      <c r="G186" t="s">
        <v>20</v>
      </c>
      <c r="H186" s="1">
        <v>0.6</v>
      </c>
      <c r="I186" s="1"/>
      <c r="J186" s="1">
        <v>0.4</v>
      </c>
      <c r="K186" s="1">
        <v>0.4</v>
      </c>
      <c r="L186" s="1">
        <v>0.37</v>
      </c>
      <c r="M186" s="1">
        <v>0.34</v>
      </c>
      <c r="N186" s="1">
        <v>0.36</v>
      </c>
    </row>
    <row r="187" spans="1:14" x14ac:dyDescent="0.3">
      <c r="A187" t="s">
        <v>770</v>
      </c>
      <c r="B187" t="s">
        <v>682</v>
      </c>
      <c r="C187" t="s">
        <v>703</v>
      </c>
      <c r="D187" s="1">
        <v>0.15</v>
      </c>
      <c r="E187" t="s">
        <v>705</v>
      </c>
      <c r="F187" s="1">
        <v>0.3</v>
      </c>
      <c r="G187" t="s">
        <v>56</v>
      </c>
      <c r="H187" s="1">
        <v>0.4</v>
      </c>
      <c r="I187" s="1"/>
      <c r="J187" s="1">
        <v>0.4</v>
      </c>
      <c r="K187" s="1">
        <v>0.4</v>
      </c>
      <c r="L187" s="1">
        <v>0.37</v>
      </c>
      <c r="M187" s="1">
        <v>0.34</v>
      </c>
      <c r="N187" s="1">
        <v>0.36</v>
      </c>
    </row>
    <row r="188" spans="1:14" x14ac:dyDescent="0.3">
      <c r="A188" t="s">
        <v>770</v>
      </c>
      <c r="B188" t="s">
        <v>682</v>
      </c>
      <c r="C188" t="s">
        <v>703</v>
      </c>
      <c r="D188" s="1">
        <v>0.15</v>
      </c>
      <c r="E188" t="s">
        <v>734</v>
      </c>
      <c r="F188" s="1">
        <v>0.25</v>
      </c>
      <c r="G188" t="s">
        <v>20</v>
      </c>
      <c r="H188" s="1">
        <v>0.6</v>
      </c>
      <c r="I188" s="1"/>
      <c r="J188" s="1">
        <v>0.4</v>
      </c>
      <c r="K188" s="1">
        <v>0.4</v>
      </c>
      <c r="L188" s="1">
        <v>0.37</v>
      </c>
      <c r="M188" s="1">
        <v>0.34</v>
      </c>
      <c r="N188" s="1">
        <v>0.36</v>
      </c>
    </row>
    <row r="189" spans="1:14" x14ac:dyDescent="0.3">
      <c r="A189" t="s">
        <v>770</v>
      </c>
      <c r="B189" t="s">
        <v>682</v>
      </c>
      <c r="C189" t="s">
        <v>703</v>
      </c>
      <c r="D189" s="1">
        <v>0.15</v>
      </c>
      <c r="E189" t="s">
        <v>707</v>
      </c>
      <c r="F189" s="1">
        <v>0.15</v>
      </c>
      <c r="G189" t="s">
        <v>24</v>
      </c>
      <c r="H189" s="1">
        <v>0.95</v>
      </c>
      <c r="I189" s="1"/>
      <c r="J189" s="1">
        <v>0.4</v>
      </c>
      <c r="K189" s="1">
        <v>0.4</v>
      </c>
      <c r="L189" s="1">
        <v>0.37</v>
      </c>
      <c r="M189" s="1">
        <v>0.34</v>
      </c>
      <c r="N189" s="1">
        <v>0.36</v>
      </c>
    </row>
    <row r="190" spans="1:14" x14ac:dyDescent="0.3">
      <c r="A190" t="s">
        <v>770</v>
      </c>
      <c r="B190" t="s">
        <v>682</v>
      </c>
      <c r="C190" t="s">
        <v>708</v>
      </c>
      <c r="D190" s="1">
        <v>0.15</v>
      </c>
      <c r="E190" t="s">
        <v>709</v>
      </c>
      <c r="F190" s="1">
        <v>0.3</v>
      </c>
      <c r="G190" t="s">
        <v>20</v>
      </c>
      <c r="H190" s="1">
        <v>0.6</v>
      </c>
      <c r="I190" s="1"/>
      <c r="J190" s="1">
        <v>0.39</v>
      </c>
      <c r="K190" s="1">
        <v>0.39</v>
      </c>
      <c r="L190" s="1">
        <v>0.36</v>
      </c>
      <c r="M190" s="1">
        <v>0.33</v>
      </c>
      <c r="N190" s="1">
        <v>0.35</v>
      </c>
    </row>
    <row r="191" spans="1:14" x14ac:dyDescent="0.3">
      <c r="A191" t="s">
        <v>770</v>
      </c>
      <c r="B191" t="s">
        <v>682</v>
      </c>
      <c r="C191" t="s">
        <v>708</v>
      </c>
      <c r="D191" s="1">
        <v>0.15</v>
      </c>
      <c r="E191" t="s">
        <v>710</v>
      </c>
      <c r="F191" s="1">
        <v>0.3</v>
      </c>
      <c r="G191" t="s">
        <v>56</v>
      </c>
      <c r="H191" s="1">
        <v>0.4</v>
      </c>
      <c r="I191" s="1"/>
      <c r="J191" s="1">
        <v>0.39</v>
      </c>
      <c r="K191" s="1">
        <v>0.39</v>
      </c>
      <c r="L191" s="1">
        <v>0.36</v>
      </c>
      <c r="M191" s="1">
        <v>0.33</v>
      </c>
      <c r="N191" s="1">
        <v>0.35</v>
      </c>
    </row>
    <row r="192" spans="1:14" x14ac:dyDescent="0.3">
      <c r="A192" t="s">
        <v>770</v>
      </c>
      <c r="B192" t="s">
        <v>682</v>
      </c>
      <c r="C192" t="s">
        <v>708</v>
      </c>
      <c r="D192" s="1">
        <v>0.15</v>
      </c>
      <c r="E192" t="s">
        <v>711</v>
      </c>
      <c r="F192" s="1">
        <v>0.25</v>
      </c>
      <c r="G192" t="s">
        <v>22</v>
      </c>
      <c r="H192" s="1">
        <v>0.8</v>
      </c>
      <c r="I192" s="1"/>
      <c r="J192" s="1">
        <v>0.39</v>
      </c>
      <c r="K192" s="1">
        <v>0.39</v>
      </c>
      <c r="L192" s="1">
        <v>0.36</v>
      </c>
      <c r="M192" s="1">
        <v>0.33</v>
      </c>
      <c r="N192" s="1">
        <v>0.35</v>
      </c>
    </row>
    <row r="193" spans="1:14" x14ac:dyDescent="0.3">
      <c r="A193" t="s">
        <v>770</v>
      </c>
      <c r="B193" t="s">
        <v>682</v>
      </c>
      <c r="C193" t="s">
        <v>708</v>
      </c>
      <c r="D193" s="1">
        <v>0.15</v>
      </c>
      <c r="E193" t="s">
        <v>712</v>
      </c>
      <c r="F193" s="1">
        <v>0.15</v>
      </c>
      <c r="G193" t="s">
        <v>24</v>
      </c>
      <c r="H193" s="1">
        <v>0.95</v>
      </c>
      <c r="I193" s="1"/>
      <c r="J193" s="1">
        <v>0.39</v>
      </c>
      <c r="K193" s="1">
        <v>0.39</v>
      </c>
      <c r="L193" s="1">
        <v>0.36</v>
      </c>
      <c r="M193" s="1">
        <v>0.33</v>
      </c>
      <c r="N193" s="1">
        <v>0.35</v>
      </c>
    </row>
    <row r="194" spans="1:14" x14ac:dyDescent="0.3">
      <c r="A194" t="s">
        <v>770</v>
      </c>
      <c r="B194" t="s">
        <v>682</v>
      </c>
      <c r="C194" t="s">
        <v>713</v>
      </c>
      <c r="D194" s="1">
        <v>0.15</v>
      </c>
      <c r="E194" t="s">
        <v>714</v>
      </c>
      <c r="F194" s="1">
        <v>0.25</v>
      </c>
      <c r="G194" t="s">
        <v>20</v>
      </c>
      <c r="H194" s="1">
        <v>0.6</v>
      </c>
      <c r="I194" s="1"/>
      <c r="J194" s="1">
        <v>0.32</v>
      </c>
      <c r="K194" s="1">
        <v>0.32</v>
      </c>
      <c r="L194" s="1">
        <v>0.28999999999999998</v>
      </c>
      <c r="M194" s="1">
        <v>0.26</v>
      </c>
      <c r="N194" s="1">
        <v>0.28000000000000003</v>
      </c>
    </row>
    <row r="195" spans="1:14" x14ac:dyDescent="0.3">
      <c r="A195" t="s">
        <v>770</v>
      </c>
      <c r="B195" t="s">
        <v>682</v>
      </c>
      <c r="C195" t="s">
        <v>713</v>
      </c>
      <c r="D195" s="1">
        <v>0.15</v>
      </c>
      <c r="E195" t="s">
        <v>715</v>
      </c>
      <c r="F195" s="1">
        <v>0.3</v>
      </c>
      <c r="G195" t="s">
        <v>56</v>
      </c>
      <c r="H195" s="1">
        <v>0.3</v>
      </c>
      <c r="I195" s="1"/>
      <c r="J195" s="1">
        <v>0.32</v>
      </c>
      <c r="K195" s="1">
        <v>0.32</v>
      </c>
      <c r="L195" s="1">
        <v>0.28999999999999998</v>
      </c>
      <c r="M195" s="1">
        <v>0.26</v>
      </c>
      <c r="N195" s="1">
        <v>0.28000000000000003</v>
      </c>
    </row>
    <row r="196" spans="1:14" x14ac:dyDescent="0.3">
      <c r="A196" t="s">
        <v>770</v>
      </c>
      <c r="B196" t="s">
        <v>682</v>
      </c>
      <c r="C196" t="s">
        <v>713</v>
      </c>
      <c r="D196" s="1">
        <v>0.15</v>
      </c>
      <c r="E196" t="s">
        <v>716</v>
      </c>
      <c r="F196" s="1">
        <v>0.25</v>
      </c>
      <c r="G196" t="s">
        <v>28</v>
      </c>
      <c r="H196" s="1">
        <v>0.7</v>
      </c>
      <c r="I196" s="1"/>
      <c r="J196" s="1">
        <v>0.32</v>
      </c>
      <c r="K196" s="1">
        <v>0.32</v>
      </c>
      <c r="L196" s="1">
        <v>0.28999999999999998</v>
      </c>
      <c r="M196" s="1">
        <v>0.26</v>
      </c>
      <c r="N196" s="1">
        <v>0.28000000000000003</v>
      </c>
    </row>
    <row r="197" spans="1:14" x14ac:dyDescent="0.3">
      <c r="A197" t="s">
        <v>770</v>
      </c>
      <c r="B197" t="s">
        <v>682</v>
      </c>
      <c r="C197" t="s">
        <v>713</v>
      </c>
      <c r="D197" s="1">
        <v>0.15</v>
      </c>
      <c r="E197" t="s">
        <v>717</v>
      </c>
      <c r="F197" s="1">
        <v>0.2</v>
      </c>
      <c r="G197" t="s">
        <v>24</v>
      </c>
      <c r="H197" s="1">
        <v>0.95</v>
      </c>
      <c r="I197" s="1"/>
      <c r="J197" s="1">
        <v>0.32</v>
      </c>
      <c r="K197" s="1">
        <v>0.32</v>
      </c>
      <c r="L197" s="1">
        <v>0.28999999999999998</v>
      </c>
      <c r="M197" s="1">
        <v>0.26</v>
      </c>
      <c r="N197" s="1">
        <v>0.28000000000000003</v>
      </c>
    </row>
    <row r="198" spans="1:14" ht="16.05" customHeight="1" x14ac:dyDescent="0.3">
      <c r="A198" s="112" t="s">
        <v>801</v>
      </c>
      <c r="B198" s="112" t="s">
        <v>802</v>
      </c>
      <c r="C198" s="112" t="s">
        <v>803</v>
      </c>
      <c r="D198" s="113">
        <v>0.3</v>
      </c>
      <c r="E198" s="112" t="s">
        <v>804</v>
      </c>
      <c r="F198" s="113">
        <v>0.25</v>
      </c>
      <c r="G198" s="112" t="s">
        <v>20</v>
      </c>
      <c r="H198" s="113">
        <v>0.8</v>
      </c>
      <c r="I198" s="112"/>
      <c r="J198" s="113">
        <v>0.68</v>
      </c>
      <c r="K198" s="113">
        <v>0.68</v>
      </c>
      <c r="L198" s="113">
        <v>0.65</v>
      </c>
      <c r="M198" s="113">
        <v>0.62000000000000011</v>
      </c>
      <c r="N198" s="113">
        <v>0.64</v>
      </c>
    </row>
    <row r="199" spans="1:14" ht="16.05" customHeight="1" x14ac:dyDescent="0.3">
      <c r="A199" t="s">
        <v>801</v>
      </c>
      <c r="B199" t="s">
        <v>802</v>
      </c>
      <c r="C199" t="s">
        <v>803</v>
      </c>
      <c r="D199" s="1">
        <v>0.3</v>
      </c>
      <c r="E199" t="s">
        <v>805</v>
      </c>
      <c r="F199" s="1">
        <v>0.35</v>
      </c>
      <c r="G199" t="s">
        <v>73</v>
      </c>
      <c r="H199" s="1">
        <v>0.85</v>
      </c>
      <c r="J199" s="1">
        <v>0.68</v>
      </c>
      <c r="K199" s="1">
        <v>0.68</v>
      </c>
      <c r="L199" s="1">
        <v>0.65</v>
      </c>
      <c r="M199" s="1">
        <v>0.62000000000000011</v>
      </c>
      <c r="N199" s="1">
        <v>0.64</v>
      </c>
    </row>
    <row r="200" spans="1:14" ht="16.05" customHeight="1" x14ac:dyDescent="0.3">
      <c r="A200" t="s">
        <v>801</v>
      </c>
      <c r="B200" t="s">
        <v>802</v>
      </c>
      <c r="C200" t="s">
        <v>803</v>
      </c>
      <c r="D200" s="1">
        <v>0.3</v>
      </c>
      <c r="E200" t="s">
        <v>806</v>
      </c>
      <c r="F200" s="1">
        <v>0.25</v>
      </c>
      <c r="G200" t="s">
        <v>20</v>
      </c>
      <c r="H200" s="1">
        <v>0.75</v>
      </c>
      <c r="J200" s="1">
        <v>0.68</v>
      </c>
      <c r="K200" s="1">
        <v>0.68</v>
      </c>
      <c r="L200" s="1">
        <v>0.65</v>
      </c>
      <c r="M200" s="1">
        <v>0.62000000000000011</v>
      </c>
      <c r="N200" s="1">
        <v>0.64</v>
      </c>
    </row>
    <row r="201" spans="1:14" ht="16.05" customHeight="1" x14ac:dyDescent="0.3">
      <c r="A201" t="s">
        <v>801</v>
      </c>
      <c r="B201" t="s">
        <v>802</v>
      </c>
      <c r="C201" t="s">
        <v>803</v>
      </c>
      <c r="D201" s="1">
        <v>0.3</v>
      </c>
      <c r="E201" t="s">
        <v>807</v>
      </c>
      <c r="F201" s="1">
        <v>0.15</v>
      </c>
      <c r="G201" t="s">
        <v>24</v>
      </c>
      <c r="H201" s="1">
        <v>0.95</v>
      </c>
      <c r="J201" s="1">
        <v>0.68</v>
      </c>
      <c r="K201" s="1">
        <v>0.68</v>
      </c>
      <c r="L201" s="1">
        <v>0.65</v>
      </c>
      <c r="M201" s="1">
        <v>0.62000000000000011</v>
      </c>
      <c r="N201" s="1">
        <v>0.64</v>
      </c>
    </row>
    <row r="202" spans="1:14" ht="16.05" customHeight="1" x14ac:dyDescent="0.3">
      <c r="A202" t="s">
        <v>801</v>
      </c>
      <c r="B202" t="s">
        <v>802</v>
      </c>
      <c r="C202" t="s">
        <v>808</v>
      </c>
      <c r="D202" s="1">
        <v>0.25</v>
      </c>
      <c r="E202" t="s">
        <v>809</v>
      </c>
      <c r="F202" s="1">
        <v>0.3</v>
      </c>
      <c r="G202" t="s">
        <v>20</v>
      </c>
      <c r="H202" s="1">
        <v>0.7</v>
      </c>
      <c r="J202" s="1">
        <v>0.65500000000000003</v>
      </c>
      <c r="K202" s="1">
        <v>0.65500000000000003</v>
      </c>
      <c r="L202" s="1">
        <v>0.625</v>
      </c>
      <c r="M202" s="1">
        <v>0.59499999999999997</v>
      </c>
      <c r="N202" s="1">
        <v>0.61499999999999999</v>
      </c>
    </row>
    <row r="203" spans="1:14" ht="16.05" customHeight="1" x14ac:dyDescent="0.3">
      <c r="A203" t="s">
        <v>801</v>
      </c>
      <c r="B203" t="s">
        <v>802</v>
      </c>
      <c r="C203" t="s">
        <v>808</v>
      </c>
      <c r="D203" s="1">
        <v>0.25</v>
      </c>
      <c r="E203" t="s">
        <v>810</v>
      </c>
      <c r="F203" s="1">
        <v>0.3</v>
      </c>
      <c r="G203" t="s">
        <v>73</v>
      </c>
      <c r="H203" s="1">
        <v>0.85</v>
      </c>
      <c r="J203" s="1">
        <v>0.65500000000000003</v>
      </c>
      <c r="K203" s="1">
        <v>0.65500000000000003</v>
      </c>
      <c r="L203" s="1">
        <v>0.625</v>
      </c>
      <c r="M203" s="1">
        <v>0.59499999999999997</v>
      </c>
      <c r="N203" s="1">
        <v>0.61499999999999999</v>
      </c>
    </row>
    <row r="204" spans="1:14" ht="16.05" customHeight="1" x14ac:dyDescent="0.3">
      <c r="A204" t="s">
        <v>801</v>
      </c>
      <c r="B204" t="s">
        <v>802</v>
      </c>
      <c r="C204" t="s">
        <v>808</v>
      </c>
      <c r="D204" s="1">
        <v>0.25</v>
      </c>
      <c r="E204" t="s">
        <v>811</v>
      </c>
      <c r="F204" s="1">
        <v>0.25</v>
      </c>
      <c r="G204" t="s">
        <v>24</v>
      </c>
      <c r="H204" s="1">
        <v>0.95</v>
      </c>
      <c r="J204" s="1">
        <v>0.65500000000000003</v>
      </c>
      <c r="K204" s="1">
        <v>0.65500000000000003</v>
      </c>
      <c r="L204" s="1">
        <v>0.625</v>
      </c>
      <c r="M204" s="1">
        <v>0.59499999999999997</v>
      </c>
      <c r="N204" s="1">
        <v>0.61499999999999999</v>
      </c>
    </row>
    <row r="205" spans="1:14" ht="16.05" customHeight="1" x14ac:dyDescent="0.3">
      <c r="A205" t="s">
        <v>801</v>
      </c>
      <c r="B205" t="s">
        <v>802</v>
      </c>
      <c r="C205" t="s">
        <v>808</v>
      </c>
      <c r="D205" s="1">
        <v>0.25</v>
      </c>
      <c r="E205" t="s">
        <v>812</v>
      </c>
      <c r="F205" s="1">
        <v>0.15</v>
      </c>
      <c r="G205" t="s">
        <v>30</v>
      </c>
      <c r="H205" s="1">
        <v>0.4</v>
      </c>
      <c r="J205" s="1">
        <v>0.65500000000000003</v>
      </c>
      <c r="K205" s="1">
        <v>0.65500000000000003</v>
      </c>
      <c r="L205" s="1">
        <v>0.625</v>
      </c>
      <c r="M205" s="1">
        <v>0.59499999999999997</v>
      </c>
      <c r="N205" s="1">
        <v>0.61499999999999999</v>
      </c>
    </row>
    <row r="206" spans="1:14" ht="16.05" customHeight="1" x14ac:dyDescent="0.3">
      <c r="A206" t="s">
        <v>801</v>
      </c>
      <c r="B206" t="s">
        <v>802</v>
      </c>
      <c r="C206" t="s">
        <v>813</v>
      </c>
      <c r="D206" s="1">
        <v>0.25</v>
      </c>
      <c r="E206" t="s">
        <v>814</v>
      </c>
      <c r="F206" s="1">
        <v>0.35</v>
      </c>
      <c r="G206" t="s">
        <v>22</v>
      </c>
      <c r="H206" s="1">
        <v>0.85</v>
      </c>
      <c r="J206" s="1">
        <v>0.60750000000000004</v>
      </c>
      <c r="K206" s="1">
        <v>0.60750000000000004</v>
      </c>
      <c r="L206" s="1">
        <v>0.57750000000000001</v>
      </c>
      <c r="M206" s="1">
        <v>0.5475000000000001</v>
      </c>
      <c r="N206" s="1">
        <v>0.5675</v>
      </c>
    </row>
    <row r="207" spans="1:14" ht="16.05" customHeight="1" x14ac:dyDescent="0.3">
      <c r="A207" t="s">
        <v>801</v>
      </c>
      <c r="B207" t="s">
        <v>802</v>
      </c>
      <c r="C207" t="s">
        <v>813</v>
      </c>
      <c r="D207" s="1">
        <v>0.25</v>
      </c>
      <c r="E207" t="s">
        <v>815</v>
      </c>
      <c r="F207" s="1">
        <v>0.25</v>
      </c>
      <c r="G207" t="s">
        <v>18</v>
      </c>
      <c r="H207" s="1">
        <v>0.8</v>
      </c>
      <c r="J207" s="1">
        <v>0.60750000000000004</v>
      </c>
      <c r="K207" s="1">
        <v>0.60750000000000004</v>
      </c>
      <c r="L207" s="1">
        <v>0.57750000000000001</v>
      </c>
      <c r="M207" s="1">
        <v>0.5475000000000001</v>
      </c>
      <c r="N207" s="1">
        <v>0.5675</v>
      </c>
    </row>
    <row r="208" spans="1:14" ht="16.05" customHeight="1" x14ac:dyDescent="0.3">
      <c r="A208" t="s">
        <v>801</v>
      </c>
      <c r="B208" t="s">
        <v>802</v>
      </c>
      <c r="C208" t="s">
        <v>813</v>
      </c>
      <c r="D208" s="1">
        <v>0.25</v>
      </c>
      <c r="E208" t="s">
        <v>816</v>
      </c>
      <c r="F208" s="1">
        <v>0.25</v>
      </c>
      <c r="G208" t="s">
        <v>20</v>
      </c>
      <c r="H208" s="1">
        <v>0.65</v>
      </c>
      <c r="J208" s="1">
        <v>0.60750000000000004</v>
      </c>
      <c r="K208" s="1">
        <v>0.60750000000000004</v>
      </c>
      <c r="L208" s="1">
        <v>0.57750000000000001</v>
      </c>
      <c r="M208" s="1">
        <v>0.5475000000000001</v>
      </c>
      <c r="N208" s="1">
        <v>0.5675</v>
      </c>
    </row>
    <row r="209" spans="1:14" ht="16.05" customHeight="1" x14ac:dyDescent="0.3">
      <c r="A209" t="s">
        <v>801</v>
      </c>
      <c r="B209" t="s">
        <v>802</v>
      </c>
      <c r="C209" t="s">
        <v>813</v>
      </c>
      <c r="D209" s="1">
        <v>0.25</v>
      </c>
      <c r="E209" t="s">
        <v>817</v>
      </c>
      <c r="F209" s="1">
        <v>0.15</v>
      </c>
      <c r="G209" t="s">
        <v>24</v>
      </c>
      <c r="H209" s="1">
        <v>0.95</v>
      </c>
      <c r="J209" s="1">
        <v>0.60750000000000004</v>
      </c>
      <c r="K209" s="1">
        <v>0.60750000000000004</v>
      </c>
      <c r="L209" s="1">
        <v>0.57750000000000001</v>
      </c>
      <c r="M209" s="1">
        <v>0.5475000000000001</v>
      </c>
      <c r="N209" s="1">
        <v>0.5675</v>
      </c>
    </row>
    <row r="210" spans="1:14" ht="16.05" customHeight="1" x14ac:dyDescent="0.3">
      <c r="A210" t="s">
        <v>801</v>
      </c>
      <c r="B210" t="s">
        <v>802</v>
      </c>
      <c r="C210" t="s">
        <v>818</v>
      </c>
      <c r="D210" s="1">
        <v>0.2</v>
      </c>
      <c r="E210" t="s">
        <v>819</v>
      </c>
      <c r="F210" s="1">
        <v>0.3</v>
      </c>
      <c r="G210" t="s">
        <v>18</v>
      </c>
      <c r="H210" s="1">
        <v>0.9</v>
      </c>
      <c r="J210" s="1">
        <v>0.66749999999999998</v>
      </c>
      <c r="K210" s="1">
        <v>0.66749999999999998</v>
      </c>
      <c r="L210" s="1">
        <v>0.63749999999999996</v>
      </c>
      <c r="M210" s="1">
        <v>0.60749999999999993</v>
      </c>
      <c r="N210" s="1">
        <v>0.62749999999999995</v>
      </c>
    </row>
    <row r="211" spans="1:14" ht="16.05" customHeight="1" x14ac:dyDescent="0.3">
      <c r="A211" t="s">
        <v>801</v>
      </c>
      <c r="B211" t="s">
        <v>802</v>
      </c>
      <c r="C211" t="s">
        <v>818</v>
      </c>
      <c r="D211" s="1">
        <v>0.2</v>
      </c>
      <c r="E211" t="s">
        <v>820</v>
      </c>
      <c r="F211" s="1">
        <v>0.25</v>
      </c>
      <c r="G211" t="s">
        <v>40</v>
      </c>
      <c r="H211" s="1">
        <v>0.75</v>
      </c>
      <c r="J211" s="1">
        <v>0.66749999999999998</v>
      </c>
      <c r="K211" s="1">
        <v>0.66749999999999998</v>
      </c>
      <c r="L211" s="1">
        <v>0.63749999999999996</v>
      </c>
      <c r="M211" s="1">
        <v>0.60749999999999993</v>
      </c>
      <c r="N211" s="1">
        <v>0.62749999999999995</v>
      </c>
    </row>
    <row r="212" spans="1:14" ht="16.05" customHeight="1" x14ac:dyDescent="0.3">
      <c r="A212" t="s">
        <v>801</v>
      </c>
      <c r="B212" t="s">
        <v>802</v>
      </c>
      <c r="C212" t="s">
        <v>818</v>
      </c>
      <c r="D212" s="1">
        <v>0.2</v>
      </c>
      <c r="E212" t="s">
        <v>821</v>
      </c>
      <c r="F212" s="1">
        <v>0.25</v>
      </c>
      <c r="G212" t="s">
        <v>20</v>
      </c>
      <c r="H212" s="1">
        <v>0.65</v>
      </c>
      <c r="J212" s="1">
        <v>0.66749999999999998</v>
      </c>
      <c r="K212" s="1">
        <v>0.66749999999999998</v>
      </c>
      <c r="L212" s="1">
        <v>0.63749999999999996</v>
      </c>
      <c r="M212" s="1">
        <v>0.60749999999999993</v>
      </c>
      <c r="N212" s="1">
        <v>0.62749999999999995</v>
      </c>
    </row>
    <row r="213" spans="1:14" ht="16.05" customHeight="1" x14ac:dyDescent="0.3">
      <c r="A213" t="s">
        <v>801</v>
      </c>
      <c r="B213" t="s">
        <v>802</v>
      </c>
      <c r="C213" t="s">
        <v>818</v>
      </c>
      <c r="D213" s="1">
        <v>0.2</v>
      </c>
      <c r="E213" t="s">
        <v>822</v>
      </c>
      <c r="F213" s="1">
        <v>0.2</v>
      </c>
      <c r="G213" t="s">
        <v>24</v>
      </c>
      <c r="H213" s="1">
        <v>0.95</v>
      </c>
      <c r="J213" s="1">
        <v>0.66749999999999998</v>
      </c>
      <c r="K213" s="1">
        <v>0.66749999999999998</v>
      </c>
      <c r="L213" s="1">
        <v>0.63749999999999996</v>
      </c>
      <c r="M213" s="1">
        <v>0.60749999999999993</v>
      </c>
      <c r="N213" s="1">
        <v>0.62749999999999995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"/>
  <sheetViews>
    <sheetView showGridLines="0" topLeftCell="B1" workbookViewId="0">
      <selection activeCell="F2" sqref="F1:K1048576"/>
    </sheetView>
  </sheetViews>
  <sheetFormatPr defaultRowHeight="14.4" x14ac:dyDescent="0.3"/>
  <cols>
    <col min="1" max="1" width="28" customWidth="1"/>
    <col min="2" max="2" width="42" customWidth="1"/>
    <col min="3" max="3" width="12" customWidth="1"/>
    <col min="4" max="5" width="15" customWidth="1"/>
  </cols>
  <sheetData>
    <row r="1" spans="1:5" ht="25.95" customHeight="1" x14ac:dyDescent="0.3">
      <c r="A1" s="114" t="s">
        <v>939</v>
      </c>
      <c r="B1" s="114"/>
      <c r="C1" s="114"/>
      <c r="D1" s="114"/>
      <c r="E1" s="114"/>
    </row>
    <row r="2" spans="1:5" ht="40.049999999999997" customHeight="1" x14ac:dyDescent="0.3">
      <c r="A2" s="88" t="s">
        <v>940</v>
      </c>
      <c r="B2" s="88" t="s">
        <v>941</v>
      </c>
      <c r="C2" s="88" t="s">
        <v>1551</v>
      </c>
      <c r="D2" s="88" t="s">
        <v>943</v>
      </c>
      <c r="E2" s="88" t="s">
        <v>944</v>
      </c>
    </row>
    <row r="3" spans="1:5" ht="34.049999999999997" customHeight="1" x14ac:dyDescent="0.3">
      <c r="A3" s="3" t="s">
        <v>628</v>
      </c>
      <c r="B3" s="3" t="s">
        <v>629</v>
      </c>
      <c r="C3" s="3">
        <v>181044</v>
      </c>
      <c r="D3" s="9">
        <f>SUMPRODUCT('Service Lines'!$D2:$D21,'Service Lines'!$F2:$F21,'Service Lines'!H2:H21)/SUMPRODUCT('Service Lines'!$D2:$D21,'Service Lines'!$F2:$F21)</f>
        <v>0.75119047619047596</v>
      </c>
      <c r="E3" s="9">
        <f>SUMPRODUCT('Service Lines'!$D2:$D21,'Service Lines'!$F2:$F21,'Service Lines'!J2:J21)/SUMPRODUCT('Service Lines'!$D2:$D21,'Service Lines'!$F2:$F21)</f>
        <v>0.60212121212121206</v>
      </c>
    </row>
    <row r="4" spans="1:5" ht="34.049999999999997" customHeight="1" x14ac:dyDescent="0.3">
      <c r="A4" s="3" t="s">
        <v>628</v>
      </c>
      <c r="B4" s="3" t="s">
        <v>655</v>
      </c>
      <c r="C4" s="3">
        <v>134527</v>
      </c>
      <c r="D4" s="9">
        <f>SUMPRODUCT('Service Lines'!$D22:$D45,'Service Lines'!$F22:$F45,'Service Lines'!H22:H45)/SUMPRODUCT('Service Lines'!$D22:$D45,'Service Lines'!$F22:$F45)</f>
        <v>0.75049999999999983</v>
      </c>
      <c r="E4" s="9">
        <f>SUMPRODUCT('Service Lines'!$D22:$D45,'Service Lines'!$F22:$F45,'Service Lines'!J22:J45)/SUMPRODUCT('Service Lines'!$D22:$D45,'Service Lines'!$F22:$F45)</f>
        <v>0.60599999999999987</v>
      </c>
    </row>
    <row r="5" spans="1:5" ht="34.049999999999997" customHeight="1" x14ac:dyDescent="0.3">
      <c r="A5" s="3" t="s">
        <v>628</v>
      </c>
      <c r="B5" s="3" t="s">
        <v>682</v>
      </c>
      <c r="C5" s="3">
        <v>72691</v>
      </c>
      <c r="D5" s="9">
        <f>SUMPRODUCT('Service Lines'!D46:D73,'Service Lines'!F46:F73,'Service Lines'!H46:H73)/SUMPRODUCT('Service Lines'!D46:D73,'Service Lines'!F46:F73)</f>
        <v>0.61712500000000003</v>
      </c>
      <c r="E5" s="9">
        <f>SUMPRODUCT('Service Lines'!$D73:$D73,'Service Lines'!$F73:$F73,'Service Lines'!J73:J73)/SUMPRODUCT('Service Lines'!$D73:$D73,'Service Lines'!$F73:$F73)</f>
        <v>0.32</v>
      </c>
    </row>
    <row r="6" spans="1:5" ht="34.049999999999997" customHeight="1" x14ac:dyDescent="0.3">
      <c r="A6" s="3" t="s">
        <v>801</v>
      </c>
      <c r="B6" s="3" t="s">
        <v>948</v>
      </c>
      <c r="C6" s="3">
        <v>63624</v>
      </c>
      <c r="D6" s="9">
        <f>SUMPRODUCT('Service Lines'!D76:D87,'Service Lines'!F76:F87,'Service Lines'!H76:H87)/SUMPRODUCT('Service Lines'!D76:D87,'Service Lines'!F76:F87)</f>
        <v>0.79037499999999994</v>
      </c>
      <c r="E6" s="9">
        <f>SUMPRODUCT('Service Lines'!$D87:$D87,'Service Lines'!$F87:$F87,'Service Lines'!J87:J87)/SUMPRODUCT('Service Lines'!$D87:$D87,'Service Lines'!$F87:$F87)</f>
        <v>0.63</v>
      </c>
    </row>
    <row r="7" spans="1:5" ht="34.049999999999997" customHeight="1" x14ac:dyDescent="0.3">
      <c r="A7" s="3" t="s">
        <v>801</v>
      </c>
      <c r="B7" s="3" t="s">
        <v>682</v>
      </c>
      <c r="C7" s="3">
        <v>41419</v>
      </c>
      <c r="D7" s="9">
        <f>SUMPRODUCT('Service Lines'!D88:D99,'Service Lines'!F88:F99,'Service Lines'!H88:H99)/SUMPRODUCT('Service Lines'!D88:D99,'Service Lines'!F88:F99)</f>
        <v>0.61375000000000013</v>
      </c>
      <c r="E7" s="9">
        <f>SUMPRODUCT('Service Lines'!$D99:$D99,'Service Lines'!$F99:$F99,'Service Lines'!J99:J99)/SUMPRODUCT('Service Lines'!$D99:$D99,'Service Lines'!$F99:$F99)</f>
        <v>0.37</v>
      </c>
    </row>
    <row r="8" spans="1:5" ht="34.049999999999997" customHeight="1" x14ac:dyDescent="0.3">
      <c r="A8" s="3" t="s">
        <v>801</v>
      </c>
      <c r="B8" s="3" t="s">
        <v>949</v>
      </c>
      <c r="C8" s="3">
        <v>229952</v>
      </c>
      <c r="D8" s="9">
        <f>SUMPRODUCT('Service Lines'!D100:D127,'Service Lines'!F100:F127,'Service Lines'!H100:H127)/SUMPRODUCT('Service Lines'!D100:D127,'Service Lines'!F100:F127)</f>
        <v>0.82425000000000015</v>
      </c>
      <c r="E8" s="9">
        <f>SUMPRODUCT('Service Lines'!$D127:$D127,'Service Lines'!$F127:$F127,'Service Lines'!J127:J127)/SUMPRODUCT('Service Lines'!$D127:$D127,'Service Lines'!$F127:$F127)</f>
        <v>0.73</v>
      </c>
    </row>
    <row r="9" spans="1:5" ht="34.049999999999997" customHeight="1" x14ac:dyDescent="0.3">
      <c r="A9" s="3" t="s">
        <v>770</v>
      </c>
      <c r="B9" s="3" t="s">
        <v>948</v>
      </c>
      <c r="C9" s="3">
        <v>199215</v>
      </c>
      <c r="D9" s="9">
        <f>SUMPRODUCT('Service Lines'!D130:D145,'Service Lines'!F130:F145,'Service Lines'!H130:H145)/SUMPRODUCT('Service Lines'!D130:D145,'Service Lines'!F130:F145)</f>
        <v>0.82850000000000001</v>
      </c>
      <c r="E9" s="9">
        <f>SUMPRODUCT('Service Lines'!$D145:$D145,'Service Lines'!$F145:$F145,'Service Lines'!J145:J145)/SUMPRODUCT('Service Lines'!$D145:$D145,'Service Lines'!$F145:$F145)</f>
        <v>0.67</v>
      </c>
    </row>
    <row r="10" spans="1:5" ht="34.049999999999997" customHeight="1" thickBot="1" x14ac:dyDescent="0.35">
      <c r="A10" s="3" t="s">
        <v>770</v>
      </c>
      <c r="B10" s="3" t="s">
        <v>682</v>
      </c>
      <c r="C10" s="3">
        <v>13776</v>
      </c>
      <c r="D10" s="9">
        <f>SUMPRODUCT('Service Lines'!D170:D197,'Service Lines'!F170:F197,'Service Lines'!H170:H197)/SUMPRODUCT('Service Lines'!D170:D197,'Service Lines'!F170:F197)</f>
        <v>0.62425000000000008</v>
      </c>
      <c r="E10" s="9">
        <f>SUMPRODUCT('Service Lines'!$D197:$D197,'Service Lines'!$F197:$F197,'Service Lines'!J197:J197)/SUMPRODUCT('Service Lines'!$D197:$D197,'Service Lines'!$F197:$F197)</f>
        <v>0.32</v>
      </c>
    </row>
    <row r="11" spans="1:5" ht="34.049999999999997" customHeight="1" thickTop="1" x14ac:dyDescent="0.3">
      <c r="A11" s="109" t="s">
        <v>801</v>
      </c>
      <c r="B11" s="109" t="s">
        <v>802</v>
      </c>
      <c r="C11" s="108">
        <v>334383</v>
      </c>
      <c r="D11" s="110">
        <f>SUMPRODUCT('Service Lines'!D198:D213,'Service Lines'!F198:F213,'Service Lines'!H198:H213)/SUMPRODUCT('Service Lines'!D198:D213,'Service Lines'!F198:F213)</f>
        <v>0.8015000000000001</v>
      </c>
      <c r="E11" s="110">
        <v>0.65</v>
      </c>
    </row>
    <row r="12" spans="1:5" ht="34.049999999999997" customHeight="1" x14ac:dyDescent="0.3">
      <c r="A12" s="111" t="s">
        <v>936</v>
      </c>
      <c r="B12" s="111"/>
      <c r="C12" s="111"/>
      <c r="D12" s="111"/>
      <c r="E12" s="111"/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8"/>
  <sheetViews>
    <sheetView showGridLines="0" workbookViewId="0">
      <selection sqref="A1:L1"/>
    </sheetView>
  </sheetViews>
  <sheetFormatPr defaultRowHeight="14.4" x14ac:dyDescent="0.3"/>
  <cols>
    <col min="1" max="1" width="34" customWidth="1"/>
    <col min="2" max="2" width="16" customWidth="1"/>
    <col min="3" max="3" width="10" customWidth="1"/>
    <col min="4" max="4" width="40" customWidth="1"/>
    <col min="6" max="6" width="32" customWidth="1"/>
    <col min="7" max="9" width="14" customWidth="1"/>
    <col min="11" max="11" width="28" customWidth="1"/>
    <col min="12" max="12" width="15" customWidth="1"/>
  </cols>
  <sheetData>
    <row r="1" spans="1:12" ht="31.95" customHeight="1" x14ac:dyDescent="0.3">
      <c r="A1" s="116" t="s">
        <v>823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</row>
    <row r="2" spans="1:12" x14ac:dyDescent="0.3">
      <c r="A2" s="117" t="s">
        <v>824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4" t="s">
        <v>825</v>
      </c>
      <c r="B4" s="4" t="s">
        <v>826</v>
      </c>
      <c r="C4" s="4" t="s">
        <v>827</v>
      </c>
      <c r="D4" s="4" t="s">
        <v>828</v>
      </c>
      <c r="E4" s="3"/>
      <c r="F4" s="4" t="s">
        <v>829</v>
      </c>
      <c r="G4" s="4" t="s">
        <v>830</v>
      </c>
      <c r="H4" s="4" t="s">
        <v>831</v>
      </c>
      <c r="I4" s="4" t="s">
        <v>832</v>
      </c>
      <c r="J4" s="3"/>
      <c r="K4" s="4" t="s">
        <v>833</v>
      </c>
      <c r="L4" s="4" t="s">
        <v>834</v>
      </c>
    </row>
    <row r="5" spans="1:12" x14ac:dyDescent="0.3">
      <c r="A5" s="3" t="s">
        <v>835</v>
      </c>
      <c r="B5" s="92">
        <v>1.1363099999999999</v>
      </c>
      <c r="C5" s="3" t="s">
        <v>836</v>
      </c>
      <c r="D5" s="3" t="s">
        <v>837</v>
      </c>
      <c r="E5" s="3"/>
      <c r="F5" s="3" t="s">
        <v>838</v>
      </c>
      <c r="G5" s="65">
        <v>1.1363099999999999</v>
      </c>
      <c r="H5" s="65">
        <f>B5</f>
        <v>1.1363099999999999</v>
      </c>
      <c r="I5" s="65">
        <f t="shared" ref="I5:I10" si="0">H5-G5</f>
        <v>0</v>
      </c>
      <c r="J5" s="3"/>
      <c r="K5" s="3" t="s">
        <v>838</v>
      </c>
      <c r="L5" s="65">
        <f>B5</f>
        <v>1.1363099999999999</v>
      </c>
    </row>
    <row r="6" spans="1:12" x14ac:dyDescent="0.3">
      <c r="A6" s="3" t="s">
        <v>839</v>
      </c>
      <c r="B6" s="92">
        <f>'Compression &amp; Secular'!B22</f>
        <v>0.23360235930182177</v>
      </c>
      <c r="C6" s="3" t="s">
        <v>836</v>
      </c>
      <c r="D6" s="3" t="s">
        <v>840</v>
      </c>
      <c r="E6" s="3"/>
      <c r="F6" s="3" t="s">
        <v>841</v>
      </c>
      <c r="G6" s="65">
        <v>0.3</v>
      </c>
      <c r="H6" s="65">
        <f>B6</f>
        <v>0.23360235930182177</v>
      </c>
      <c r="I6" s="65">
        <f t="shared" si="0"/>
        <v>-6.6397640698178217E-2</v>
      </c>
      <c r="J6" s="3"/>
      <c r="K6" s="3" t="s">
        <v>842</v>
      </c>
      <c r="L6" s="65">
        <f>B5+B6</f>
        <v>1.3699123593018216</v>
      </c>
    </row>
    <row r="7" spans="1:12" x14ac:dyDescent="0.3">
      <c r="A7" s="3" t="s">
        <v>843</v>
      </c>
      <c r="B7" s="93" t="e">
        <f>-'Compression &amp; Secular'!B21</f>
        <v>#REF!</v>
      </c>
      <c r="C7" s="3" t="s">
        <v>836</v>
      </c>
      <c r="D7" s="3" t="s">
        <v>844</v>
      </c>
      <c r="E7" s="3"/>
      <c r="F7" s="3" t="s">
        <v>845</v>
      </c>
      <c r="G7" s="65">
        <v>-0.3</v>
      </c>
      <c r="H7" s="65" t="e">
        <f>B7</f>
        <v>#REF!</v>
      </c>
      <c r="I7" s="65" t="e">
        <f t="shared" si="0"/>
        <v>#REF!</v>
      </c>
      <c r="J7" s="3"/>
      <c r="K7" s="3" t="s">
        <v>846</v>
      </c>
      <c r="L7" s="65" t="e">
        <f>B5+B6+B7</f>
        <v>#REF!</v>
      </c>
    </row>
    <row r="8" spans="1:12" x14ac:dyDescent="0.3">
      <c r="A8" s="3" t="s">
        <v>847</v>
      </c>
      <c r="B8" s="93" t="e">
        <f>'Service Line TAM'!#REF!</f>
        <v>#REF!</v>
      </c>
      <c r="C8" s="3" t="s">
        <v>836</v>
      </c>
      <c r="D8" s="3" t="s">
        <v>848</v>
      </c>
      <c r="E8" s="3"/>
      <c r="F8" s="3" t="s">
        <v>849</v>
      </c>
      <c r="G8" s="65">
        <v>0.2</v>
      </c>
      <c r="H8" s="65" t="e">
        <f>B8</f>
        <v>#REF!</v>
      </c>
      <c r="I8" s="65" t="e">
        <f t="shared" si="0"/>
        <v>#REF!</v>
      </c>
      <c r="J8" s="3"/>
      <c r="K8" s="3" t="s">
        <v>850</v>
      </c>
      <c r="L8" s="65" t="e">
        <f>B5+B6+B7+B8</f>
        <v>#REF!</v>
      </c>
    </row>
    <row r="9" spans="1:12" x14ac:dyDescent="0.3">
      <c r="A9" s="3" t="s">
        <v>851</v>
      </c>
      <c r="B9" s="93">
        <f>'Adjacent TAM Detail'!S15/1000</f>
        <v>0.23075948258773465</v>
      </c>
      <c r="C9" s="3" t="s">
        <v>836</v>
      </c>
      <c r="D9" s="3" t="s">
        <v>852</v>
      </c>
      <c r="E9" s="3"/>
      <c r="F9" s="3" t="s">
        <v>853</v>
      </c>
      <c r="G9" s="65">
        <v>0.25</v>
      </c>
      <c r="H9" s="65">
        <f>B11</f>
        <v>0.21922150845834792</v>
      </c>
      <c r="I9" s="65">
        <f t="shared" si="0"/>
        <v>-3.0778491541652075E-2</v>
      </c>
      <c r="J9" s="3"/>
      <c r="K9" s="3" t="s">
        <v>854</v>
      </c>
      <c r="L9" s="65" t="e">
        <f>B12</f>
        <v>#REF!</v>
      </c>
    </row>
    <row r="10" spans="1:12" x14ac:dyDescent="0.3">
      <c r="A10" s="3" t="s">
        <v>855</v>
      </c>
      <c r="B10" s="93">
        <f>-B9*AVERAGE('Adjacent TAM Detail'!T3:T14)</f>
        <v>-1.1537974129386732E-2</v>
      </c>
      <c r="C10" s="3" t="s">
        <v>836</v>
      </c>
      <c r="D10" s="3" t="s">
        <v>856</v>
      </c>
      <c r="E10" s="3"/>
      <c r="F10" s="3" t="s">
        <v>857</v>
      </c>
      <c r="G10" s="65">
        <v>1.75</v>
      </c>
      <c r="H10" s="65" t="e">
        <f>B12</f>
        <v>#REF!</v>
      </c>
      <c r="I10" s="65" t="e">
        <f t="shared" si="0"/>
        <v>#REF!</v>
      </c>
      <c r="J10" s="3"/>
      <c r="K10" s="3"/>
      <c r="L10" s="3"/>
    </row>
    <row r="11" spans="1:12" x14ac:dyDescent="0.3">
      <c r="A11" s="3" t="s">
        <v>858</v>
      </c>
      <c r="B11" s="93">
        <f>B9+B10</f>
        <v>0.21922150845834792</v>
      </c>
      <c r="C11" s="3" t="s">
        <v>836</v>
      </c>
      <c r="D11" s="3" t="s">
        <v>859</v>
      </c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3" t="s">
        <v>860</v>
      </c>
      <c r="B12" s="93" t="e">
        <f>B5+B6+B7+B8+B11</f>
        <v>#REF!</v>
      </c>
      <c r="C12" s="3" t="s">
        <v>836</v>
      </c>
      <c r="D12" s="3" t="s">
        <v>861</v>
      </c>
      <c r="E12" s="3"/>
      <c r="F12" s="3"/>
      <c r="G12" s="3"/>
      <c r="H12" s="3"/>
      <c r="I12" s="3"/>
      <c r="J12" s="3"/>
      <c r="K12" s="3"/>
      <c r="L12" s="3"/>
    </row>
    <row r="13" spans="1:1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">
      <c r="A14" s="116" t="s">
        <v>862</v>
      </c>
      <c r="B14" s="116"/>
      <c r="C14" s="116"/>
      <c r="D14" s="116"/>
      <c r="E14" s="116"/>
      <c r="F14" s="116"/>
      <c r="G14" s="116"/>
      <c r="H14" s="116"/>
      <c r="I14" s="116"/>
      <c r="J14" s="3"/>
      <c r="K14" s="3"/>
      <c r="L14" s="3"/>
    </row>
    <row r="15" spans="1:12" x14ac:dyDescent="0.3">
      <c r="A15" s="115" t="s">
        <v>863</v>
      </c>
      <c r="B15" s="115"/>
      <c r="C15" s="115"/>
      <c r="D15" s="115"/>
      <c r="E15" s="6"/>
      <c r="F15" s="6"/>
      <c r="G15" s="6"/>
      <c r="H15" s="6"/>
      <c r="I15" s="6"/>
      <c r="J15" s="3"/>
      <c r="K15" s="3"/>
      <c r="L15" s="3"/>
    </row>
    <row r="16" spans="1:12" x14ac:dyDescent="0.3">
      <c r="A16" s="115" t="s">
        <v>864</v>
      </c>
      <c r="B16" s="115"/>
      <c r="C16" s="115"/>
      <c r="D16" s="115"/>
      <c r="E16" s="115"/>
      <c r="F16" s="115"/>
      <c r="G16" s="115"/>
      <c r="H16" s="115"/>
      <c r="I16" s="115"/>
      <c r="J16" s="3"/>
      <c r="K16" s="3"/>
      <c r="L16" s="3"/>
    </row>
    <row r="17" spans="1:12" x14ac:dyDescent="0.3">
      <c r="A17" s="115" t="s">
        <v>865</v>
      </c>
      <c r="B17" s="115"/>
      <c r="C17" s="115"/>
      <c r="D17" s="115"/>
      <c r="E17" s="115"/>
      <c r="F17" s="115"/>
      <c r="G17" s="115"/>
      <c r="H17" s="115"/>
      <c r="I17" s="115"/>
      <c r="J17" s="3"/>
      <c r="K17" s="3"/>
      <c r="L17" s="3"/>
    </row>
    <row r="18" spans="1:12" x14ac:dyDescent="0.3">
      <c r="A18" s="115" t="s">
        <v>866</v>
      </c>
      <c r="B18" s="115"/>
      <c r="C18" s="115"/>
      <c r="D18" s="115"/>
      <c r="E18" s="115"/>
      <c r="F18" s="115"/>
      <c r="G18" s="115"/>
      <c r="H18" s="115"/>
      <c r="I18" s="115"/>
      <c r="J18" s="3"/>
      <c r="K18" s="3"/>
      <c r="L18" s="3"/>
    </row>
  </sheetData>
  <mergeCells count="7">
    <mergeCell ref="A18:I18"/>
    <mergeCell ref="A15:D15"/>
    <mergeCell ref="A1:L1"/>
    <mergeCell ref="A2:L2"/>
    <mergeCell ref="A14:I14"/>
    <mergeCell ref="A16:I16"/>
    <mergeCell ref="A17:I17"/>
  </mergeCells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5"/>
  <sheetViews>
    <sheetView showGridLines="0" workbookViewId="0">
      <selection sqref="A1:L1"/>
    </sheetView>
  </sheetViews>
  <sheetFormatPr defaultRowHeight="14.4" x14ac:dyDescent="0.3"/>
  <cols>
    <col min="1" max="1" width="28" customWidth="1"/>
    <col min="2" max="2" width="22" customWidth="1"/>
    <col min="3" max="21" width="14" customWidth="1"/>
    <col min="22" max="22" width="17" customWidth="1"/>
    <col min="23" max="23" width="24" customWidth="1"/>
    <col min="24" max="24" width="45" customWidth="1"/>
    <col min="25" max="25" width="42" customWidth="1"/>
    <col min="26" max="26" width="52" customWidth="1"/>
  </cols>
  <sheetData>
    <row r="1" spans="1:26" ht="31.95" customHeight="1" x14ac:dyDescent="0.3">
      <c r="A1" s="116" t="s">
        <v>867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8"/>
      <c r="X1" s="118"/>
      <c r="Y1" s="118"/>
      <c r="Z1" s="118"/>
    </row>
    <row r="2" spans="1:26" ht="43.95" customHeight="1" x14ac:dyDescent="0.3">
      <c r="A2" s="4" t="s">
        <v>868</v>
      </c>
      <c r="B2" s="4" t="s">
        <v>869</v>
      </c>
      <c r="C2" s="4" t="s">
        <v>870</v>
      </c>
      <c r="D2" s="4" t="s">
        <v>871</v>
      </c>
      <c r="E2" s="4" t="s">
        <v>872</v>
      </c>
      <c r="F2" s="4" t="s">
        <v>873</v>
      </c>
      <c r="G2" s="4" t="s">
        <v>874</v>
      </c>
      <c r="H2" s="4" t="s">
        <v>875</v>
      </c>
      <c r="I2" s="4" t="s">
        <v>876</v>
      </c>
      <c r="J2" s="4" t="s">
        <v>877</v>
      </c>
      <c r="K2" s="4" t="s">
        <v>878</v>
      </c>
      <c r="L2" s="4" t="s">
        <v>879</v>
      </c>
      <c r="M2" s="4" t="s">
        <v>880</v>
      </c>
      <c r="N2" s="4" t="s">
        <v>881</v>
      </c>
      <c r="O2" s="4" t="s">
        <v>882</v>
      </c>
      <c r="P2" s="4" t="s">
        <v>883</v>
      </c>
      <c r="Q2" s="4" t="s">
        <v>884</v>
      </c>
      <c r="R2" s="4" t="s">
        <v>885</v>
      </c>
      <c r="S2" s="4" t="s">
        <v>886</v>
      </c>
      <c r="T2" s="4" t="s">
        <v>855</v>
      </c>
      <c r="U2" s="4" t="s">
        <v>887</v>
      </c>
      <c r="V2" s="35" t="s">
        <v>888</v>
      </c>
      <c r="W2" s="36" t="s">
        <v>889</v>
      </c>
      <c r="X2" s="36" t="s">
        <v>890</v>
      </c>
      <c r="Y2" s="36" t="s">
        <v>891</v>
      </c>
      <c r="Z2" s="37" t="s">
        <v>892</v>
      </c>
    </row>
    <row r="3" spans="1:26" ht="43.2" x14ac:dyDescent="0.3">
      <c r="A3" s="3" t="s">
        <v>14</v>
      </c>
      <c r="B3" s="3" t="s">
        <v>893</v>
      </c>
      <c r="C3" s="7">
        <v>4800</v>
      </c>
      <c r="D3" s="7">
        <f t="shared" ref="D3:D14" si="0">C3*(1+V3)^6</f>
        <v>6200</v>
      </c>
      <c r="E3" s="8">
        <v>0.72</v>
      </c>
      <c r="F3" s="8">
        <v>0.15</v>
      </c>
      <c r="G3" s="8">
        <v>0.01</v>
      </c>
      <c r="H3" s="9">
        <f>SUMPRODUCT('Healthcare SG&amp;A'!D2:D214,'Healthcare SG&amp;A'!F2:F214,'Healthcare SG&amp;A'!J2:J214)/SUMPRODUCT('Healthcare SG&amp;A'!D2:D214,'Healthcare SG&amp;A'!F2:F214)</f>
        <v>0.51650000000000107</v>
      </c>
      <c r="I3" s="8">
        <v>0.55000000000000004</v>
      </c>
      <c r="J3" s="8">
        <v>0.8</v>
      </c>
      <c r="K3" s="8">
        <v>0.45</v>
      </c>
      <c r="L3" s="8">
        <v>0.65</v>
      </c>
      <c r="M3" s="8">
        <v>0.55000000000000004</v>
      </c>
      <c r="N3" s="10">
        <f t="shared" ref="N3:N14" si="1">D3*E3*H3*I3*K3</f>
        <v>570.64986000000135</v>
      </c>
      <c r="O3" s="10">
        <f t="shared" ref="O3:O14" si="2">D3*F3*H3*L3</f>
        <v>312.22425000000067</v>
      </c>
      <c r="P3" s="10">
        <f t="shared" ref="P3:P14" si="3">D3*G3*H3*J3*M3</f>
        <v>14.090120000000031</v>
      </c>
      <c r="Q3" s="10">
        <f t="shared" ref="Q3:Q14" si="4">SUM(N3:P3)</f>
        <v>896.96423000000209</v>
      </c>
      <c r="R3" s="8">
        <v>1.6E-2</v>
      </c>
      <c r="S3" s="10">
        <f t="shared" ref="S3:S14" si="5">Q3*R3</f>
        <v>14.351427680000034</v>
      </c>
      <c r="T3" s="8">
        <v>0.05</v>
      </c>
      <c r="U3" s="10">
        <f t="shared" ref="U3:U14" si="6">S3*(1-T3)</f>
        <v>13.633856296000031</v>
      </c>
      <c r="V3" s="38">
        <v>4.3578385259709362E-2</v>
      </c>
      <c r="W3" s="27" t="s">
        <v>894</v>
      </c>
      <c r="X3" s="27" t="s">
        <v>895</v>
      </c>
      <c r="Y3" s="27" t="s">
        <v>896</v>
      </c>
      <c r="Z3" s="27" t="s">
        <v>897</v>
      </c>
    </row>
    <row r="4" spans="1:26" ht="43.2" x14ac:dyDescent="0.3">
      <c r="A4" s="3" t="s">
        <v>126</v>
      </c>
      <c r="B4" s="3" t="s">
        <v>126</v>
      </c>
      <c r="C4" s="7">
        <v>4200</v>
      </c>
      <c r="D4" s="7">
        <f t="shared" si="0"/>
        <v>5099.9999999999964</v>
      </c>
      <c r="E4" s="8">
        <v>0.52</v>
      </c>
      <c r="F4" s="8">
        <v>0.22</v>
      </c>
      <c r="G4" s="8">
        <v>0.05</v>
      </c>
      <c r="H4" s="9">
        <f>SUMPRODUCT(Communications!D2:D215,Communications!F2:F215,Communications!J2:J215)/SUMPRODUCT(Communications!D2:D215,Communications!F2:F215)</f>
        <v>0.47964375000000015</v>
      </c>
      <c r="I4" s="8">
        <v>0.55000000000000004</v>
      </c>
      <c r="J4" s="8">
        <v>0.8</v>
      </c>
      <c r="K4" s="8">
        <v>0.45</v>
      </c>
      <c r="L4" s="8">
        <v>0.65</v>
      </c>
      <c r="M4" s="8">
        <v>0.55000000000000004</v>
      </c>
      <c r="N4" s="10">
        <f t="shared" si="1"/>
        <v>314.82376818749987</v>
      </c>
      <c r="O4" s="10">
        <f t="shared" si="2"/>
        <v>349.80418687499991</v>
      </c>
      <c r="P4" s="10">
        <f t="shared" si="3"/>
        <v>53.816028749999987</v>
      </c>
      <c r="Q4" s="10">
        <f t="shared" si="4"/>
        <v>718.44398381249971</v>
      </c>
      <c r="R4" s="8">
        <v>1.6E-2</v>
      </c>
      <c r="S4" s="10">
        <f t="shared" si="5"/>
        <v>11.495103740999996</v>
      </c>
      <c r="T4" s="8">
        <v>0.05</v>
      </c>
      <c r="U4" s="10">
        <f t="shared" si="6"/>
        <v>10.920348553949996</v>
      </c>
      <c r="V4" s="39">
        <v>3.2888592415552642E-2</v>
      </c>
      <c r="W4" s="29" t="s">
        <v>898</v>
      </c>
      <c r="X4" s="29" t="s">
        <v>899</v>
      </c>
      <c r="Y4" s="29" t="s">
        <v>900</v>
      </c>
      <c r="Z4" s="29" t="s">
        <v>901</v>
      </c>
    </row>
    <row r="5" spans="1:26" ht="43.2" x14ac:dyDescent="0.3">
      <c r="A5" s="3" t="s">
        <v>242</v>
      </c>
      <c r="B5" s="3" t="s">
        <v>242</v>
      </c>
      <c r="C5" s="7">
        <v>6100</v>
      </c>
      <c r="D5" s="7">
        <f t="shared" si="0"/>
        <v>7500.0000000000045</v>
      </c>
      <c r="E5" s="8">
        <v>0.72</v>
      </c>
      <c r="F5" s="8">
        <v>0.16</v>
      </c>
      <c r="G5" s="8">
        <v>0.02</v>
      </c>
      <c r="H5" s="9">
        <f>SUMPRODUCT('Consumer Staples'!D2:D168,'Consumer Staples'!F2:F168,'Consumer Staples'!J2:J168)/SUMPRODUCT('Consumer Staples'!D2:D168,'Consumer Staples'!F2:F168)</f>
        <v>0.46365079365079354</v>
      </c>
      <c r="I5" s="8">
        <v>0.55000000000000004</v>
      </c>
      <c r="J5" s="8">
        <v>0.8</v>
      </c>
      <c r="K5" s="8">
        <v>0.45</v>
      </c>
      <c r="L5" s="8">
        <v>0.65</v>
      </c>
      <c r="M5" s="8">
        <v>0.55000000000000004</v>
      </c>
      <c r="N5" s="10">
        <f t="shared" si="1"/>
        <v>619.66928571428582</v>
      </c>
      <c r="O5" s="10">
        <f t="shared" si="2"/>
        <v>361.64761904761917</v>
      </c>
      <c r="P5" s="10">
        <f t="shared" si="3"/>
        <v>30.600952380952393</v>
      </c>
      <c r="Q5" s="10">
        <f t="shared" si="4"/>
        <v>1011.9178571428574</v>
      </c>
      <c r="R5" s="8">
        <v>1.6E-2</v>
      </c>
      <c r="S5" s="10">
        <f t="shared" si="5"/>
        <v>16.190685714285721</v>
      </c>
      <c r="T5" s="8">
        <v>0.05</v>
      </c>
      <c r="U5" s="10">
        <f t="shared" si="6"/>
        <v>15.381151428571433</v>
      </c>
      <c r="V5" s="39">
        <v>3.5035481970862703E-2</v>
      </c>
      <c r="W5" s="29" t="s">
        <v>902</v>
      </c>
      <c r="X5" s="29" t="s">
        <v>903</v>
      </c>
      <c r="Y5" s="29" t="s">
        <v>904</v>
      </c>
      <c r="Z5" s="29" t="s">
        <v>905</v>
      </c>
    </row>
    <row r="6" spans="1:26" ht="28.8" x14ac:dyDescent="0.3">
      <c r="A6" s="3" t="s">
        <v>299</v>
      </c>
      <c r="B6" s="3" t="s">
        <v>299</v>
      </c>
      <c r="C6" s="7">
        <v>13700</v>
      </c>
      <c r="D6" s="7">
        <f t="shared" si="0"/>
        <v>17599.999999999989</v>
      </c>
      <c r="E6" s="8">
        <v>0.5</v>
      </c>
      <c r="F6" s="8">
        <v>0.25</v>
      </c>
      <c r="G6" s="8">
        <v>2.5000000000000001E-2</v>
      </c>
      <c r="H6" s="9">
        <f>SUMPRODUCT(Financials!D2:D330,Financials!F2:F330,Financials!J2:J330)/SUMPRODUCT(Financials!D2:D330,Financials!F2:F330)</f>
        <v>0.52511538461538465</v>
      </c>
      <c r="I6" s="8">
        <v>0.55000000000000004</v>
      </c>
      <c r="J6" s="8">
        <v>0.8</v>
      </c>
      <c r="K6" s="8">
        <v>0.45</v>
      </c>
      <c r="L6" s="8">
        <v>0.65</v>
      </c>
      <c r="M6" s="8">
        <v>0.55000000000000004</v>
      </c>
      <c r="N6" s="10">
        <f t="shared" si="1"/>
        <v>1143.701307692307</v>
      </c>
      <c r="O6" s="10">
        <f t="shared" si="2"/>
        <v>1501.829999999999</v>
      </c>
      <c r="P6" s="10">
        <f t="shared" si="3"/>
        <v>101.66233846153844</v>
      </c>
      <c r="Q6" s="10">
        <f t="shared" si="4"/>
        <v>2747.1936461538444</v>
      </c>
      <c r="R6" s="8">
        <v>1.6E-2</v>
      </c>
      <c r="S6" s="10">
        <f t="shared" si="5"/>
        <v>43.955098338461511</v>
      </c>
      <c r="T6" s="8">
        <v>0.05</v>
      </c>
      <c r="U6" s="10">
        <f t="shared" si="6"/>
        <v>41.757343421538437</v>
      </c>
      <c r="V6" s="39">
        <v>4.2634321062627878E-2</v>
      </c>
      <c r="W6" s="29" t="s">
        <v>906</v>
      </c>
      <c r="X6" s="29" t="s">
        <v>907</v>
      </c>
      <c r="Y6" s="29" t="s">
        <v>908</v>
      </c>
      <c r="Z6" s="29" t="s">
        <v>909</v>
      </c>
    </row>
    <row r="7" spans="1:26" ht="28.8" x14ac:dyDescent="0.3">
      <c r="A7" s="3" t="s">
        <v>321</v>
      </c>
      <c r="B7" s="3" t="s">
        <v>910</v>
      </c>
      <c r="C7" s="7">
        <v>6500</v>
      </c>
      <c r="D7" s="7">
        <f t="shared" si="0"/>
        <v>8000.0000000000018</v>
      </c>
      <c r="E7" s="8">
        <v>0.7</v>
      </c>
      <c r="F7" s="8">
        <v>0.17</v>
      </c>
      <c r="G7" s="8">
        <v>0.02</v>
      </c>
      <c r="H7" s="9">
        <f>SUMPRODUCT(CD!D2:D210,CD!F2:F210,CD!J2:J210)/SUMPRODUCT(CD!D2:D210,CD!F2:F210)</f>
        <v>0.52091794158553539</v>
      </c>
      <c r="I7" s="8">
        <v>0.55000000000000004</v>
      </c>
      <c r="J7" s="8">
        <v>0.8</v>
      </c>
      <c r="K7" s="8">
        <v>0.45</v>
      </c>
      <c r="L7" s="8">
        <v>0.65</v>
      </c>
      <c r="M7" s="8">
        <v>0.55000000000000004</v>
      </c>
      <c r="N7" s="10">
        <f t="shared" si="1"/>
        <v>721.99226703755221</v>
      </c>
      <c r="O7" s="10">
        <f t="shared" si="2"/>
        <v>460.49146036161346</v>
      </c>
      <c r="P7" s="10">
        <f t="shared" si="3"/>
        <v>36.672623087621702</v>
      </c>
      <c r="Q7" s="10">
        <f t="shared" si="4"/>
        <v>1219.1563504867875</v>
      </c>
      <c r="R7" s="8">
        <v>1.6E-2</v>
      </c>
      <c r="S7" s="10">
        <f t="shared" si="5"/>
        <v>19.5065016077886</v>
      </c>
      <c r="T7" s="8">
        <v>0.05</v>
      </c>
      <c r="U7" s="10">
        <f t="shared" si="6"/>
        <v>18.531176527399168</v>
      </c>
      <c r="V7" s="39">
        <v>3.5212335549692275E-2</v>
      </c>
      <c r="W7" s="29" t="s">
        <v>902</v>
      </c>
      <c r="X7" s="29" t="s">
        <v>911</v>
      </c>
      <c r="Y7" s="29" t="s">
        <v>904</v>
      </c>
      <c r="Z7" s="29" t="s">
        <v>905</v>
      </c>
    </row>
    <row r="8" spans="1:26" ht="43.2" x14ac:dyDescent="0.3">
      <c r="A8" s="3" t="s">
        <v>395</v>
      </c>
      <c r="B8" s="3" t="s">
        <v>395</v>
      </c>
      <c r="C8" s="7">
        <v>6800</v>
      </c>
      <c r="D8" s="7">
        <f t="shared" si="0"/>
        <v>7999.9999999999991</v>
      </c>
      <c r="E8" s="8">
        <v>0.68</v>
      </c>
      <c r="F8" s="8">
        <v>0.1</v>
      </c>
      <c r="G8" s="8">
        <v>0.02</v>
      </c>
      <c r="H8" s="9">
        <f>SUMPRODUCT(Energy!D2:D138,Energy!F2:F138,Energy!J2:J138)/SUMPRODUCT(Energy!D2:D138,Energy!F2:F138)</f>
        <v>0.5295049504950502</v>
      </c>
      <c r="I8" s="8">
        <v>0.55000000000000004</v>
      </c>
      <c r="J8" s="8">
        <v>0.8</v>
      </c>
      <c r="K8" s="8">
        <v>0.45</v>
      </c>
      <c r="L8" s="8">
        <v>0.65</v>
      </c>
      <c r="M8" s="8">
        <v>0.55000000000000004</v>
      </c>
      <c r="N8" s="10">
        <f t="shared" si="1"/>
        <v>712.9254653465357</v>
      </c>
      <c r="O8" s="10">
        <f t="shared" si="2"/>
        <v>275.34257425742612</v>
      </c>
      <c r="P8" s="10">
        <f t="shared" si="3"/>
        <v>37.277148514851532</v>
      </c>
      <c r="Q8" s="10">
        <f t="shared" si="4"/>
        <v>1025.5451881188133</v>
      </c>
      <c r="R8" s="8">
        <v>1.6E-2</v>
      </c>
      <c r="S8" s="10">
        <f t="shared" si="5"/>
        <v>16.408723009901014</v>
      </c>
      <c r="T8" s="8">
        <v>0.05</v>
      </c>
      <c r="U8" s="10">
        <f t="shared" si="6"/>
        <v>15.588286859405962</v>
      </c>
      <c r="V8" s="39">
        <v>2.745666184905371E-2</v>
      </c>
      <c r="W8" s="29" t="s">
        <v>898</v>
      </c>
      <c r="X8" s="29" t="s">
        <v>912</v>
      </c>
      <c r="Y8" s="29" t="s">
        <v>913</v>
      </c>
      <c r="Z8" s="29" t="s">
        <v>914</v>
      </c>
    </row>
    <row r="9" spans="1:26" ht="43.2" x14ac:dyDescent="0.3">
      <c r="A9" s="3" t="s">
        <v>401</v>
      </c>
      <c r="B9" s="3" t="s">
        <v>915</v>
      </c>
      <c r="C9" s="7">
        <v>7200</v>
      </c>
      <c r="D9" s="7">
        <f t="shared" si="0"/>
        <v>9000.0000000000018</v>
      </c>
      <c r="E9" s="8">
        <v>0.55000000000000004</v>
      </c>
      <c r="F9" s="8">
        <v>0.25</v>
      </c>
      <c r="G9" s="8">
        <v>0.01</v>
      </c>
      <c r="H9" s="9">
        <f>SUMPRODUCT(Govt!D2:D82,Govt!F2:F82,Govt!J2:J82)/SUMPRODUCT(Govt!D2:D82,Govt!F2:F82)</f>
        <v>0.46028846153846159</v>
      </c>
      <c r="I9" s="8">
        <v>0.55000000000000004</v>
      </c>
      <c r="J9" s="8">
        <v>0.8</v>
      </c>
      <c r="K9" s="8">
        <v>0.45</v>
      </c>
      <c r="L9" s="8">
        <v>0.65</v>
      </c>
      <c r="M9" s="8">
        <v>0.55000000000000004</v>
      </c>
      <c r="N9" s="10">
        <f t="shared" si="1"/>
        <v>563.91090144230805</v>
      </c>
      <c r="O9" s="10">
        <f t="shared" si="2"/>
        <v>673.17187500000023</v>
      </c>
      <c r="P9" s="10">
        <f t="shared" si="3"/>
        <v>18.227423076923085</v>
      </c>
      <c r="Q9" s="10">
        <f t="shared" si="4"/>
        <v>1255.3101995192314</v>
      </c>
      <c r="R9" s="8">
        <v>1.6E-2</v>
      </c>
      <c r="S9" s="10">
        <f t="shared" si="5"/>
        <v>20.084963192307704</v>
      </c>
      <c r="T9" s="8">
        <v>0.05</v>
      </c>
      <c r="U9" s="10">
        <f t="shared" si="6"/>
        <v>19.080715032692318</v>
      </c>
      <c r="V9" s="39">
        <v>3.7890815556213431E-2</v>
      </c>
      <c r="W9" s="29" t="s">
        <v>916</v>
      </c>
      <c r="X9" s="29" t="s">
        <v>917</v>
      </c>
      <c r="Y9" s="29" t="s">
        <v>918</v>
      </c>
      <c r="Z9" s="29" t="s">
        <v>919</v>
      </c>
    </row>
    <row r="10" spans="1:26" ht="28.8" x14ac:dyDescent="0.3">
      <c r="A10" s="3" t="s">
        <v>448</v>
      </c>
      <c r="B10" s="3" t="s">
        <v>448</v>
      </c>
      <c r="C10" s="7">
        <v>4000</v>
      </c>
      <c r="D10" s="7">
        <f t="shared" si="0"/>
        <v>5000.0000000000009</v>
      </c>
      <c r="E10" s="8">
        <v>0.55000000000000004</v>
      </c>
      <c r="F10" s="8">
        <v>0.2</v>
      </c>
      <c r="G10" s="8">
        <v>0.01</v>
      </c>
      <c r="H10" s="9">
        <f>SUMPRODUCT('Real Estate'!D2:D130,'Real Estate'!F2:F130,'Real Estate'!J2:J130)/SUMPRODUCT('Real Estate'!D2:D130,'Real Estate'!F2:F130)</f>
        <v>0.50140000000000096</v>
      </c>
      <c r="I10" s="8">
        <v>0.55000000000000004</v>
      </c>
      <c r="J10" s="8">
        <v>0.8</v>
      </c>
      <c r="K10" s="8">
        <v>0.45</v>
      </c>
      <c r="L10" s="8">
        <v>0.65</v>
      </c>
      <c r="M10" s="8">
        <v>0.55000000000000004</v>
      </c>
      <c r="N10" s="10">
        <f t="shared" si="1"/>
        <v>341.2653750000008</v>
      </c>
      <c r="O10" s="10">
        <f t="shared" si="2"/>
        <v>325.91000000000071</v>
      </c>
      <c r="P10" s="10">
        <f t="shared" si="3"/>
        <v>11.030800000000022</v>
      </c>
      <c r="Q10" s="10">
        <f t="shared" si="4"/>
        <v>678.20617500000151</v>
      </c>
      <c r="R10" s="8">
        <v>1.6E-2</v>
      </c>
      <c r="S10" s="10">
        <f t="shared" si="5"/>
        <v>10.851298800000025</v>
      </c>
      <c r="T10" s="8">
        <v>0.05</v>
      </c>
      <c r="U10" s="10">
        <f t="shared" si="6"/>
        <v>10.308733860000023</v>
      </c>
      <c r="V10" s="39">
        <v>3.7890815556213431E-2</v>
      </c>
      <c r="W10" s="29" t="s">
        <v>902</v>
      </c>
      <c r="X10" s="29" t="s">
        <v>920</v>
      </c>
      <c r="Y10" s="29" t="s">
        <v>921</v>
      </c>
      <c r="Z10" s="29" t="s">
        <v>922</v>
      </c>
    </row>
    <row r="11" spans="1:26" ht="28.8" x14ac:dyDescent="0.3">
      <c r="A11" s="3" t="s">
        <v>478</v>
      </c>
      <c r="B11" s="3" t="s">
        <v>478</v>
      </c>
      <c r="C11" s="7">
        <v>1600</v>
      </c>
      <c r="D11" s="7">
        <f t="shared" si="0"/>
        <v>2000.0000000000005</v>
      </c>
      <c r="E11" s="8">
        <v>0.66</v>
      </c>
      <c r="F11" s="8">
        <v>0.13</v>
      </c>
      <c r="G11" s="8">
        <v>1.4999999999999999E-2</v>
      </c>
      <c r="H11" s="9">
        <f>SUMPRODUCT(Utilities!D2:D156,Utilities!F2:F156,Utilities!J2:J156)/SUMPRODUCT(Utilities!D2:D156,Utilities!F2:F156)</f>
        <v>0.51408333333333411</v>
      </c>
      <c r="I11" s="8">
        <v>0.55000000000000004</v>
      </c>
      <c r="J11" s="8">
        <v>0.8</v>
      </c>
      <c r="K11" s="8">
        <v>0.45</v>
      </c>
      <c r="L11" s="8">
        <v>0.65</v>
      </c>
      <c r="M11" s="8">
        <v>0.55000000000000004</v>
      </c>
      <c r="N11" s="10">
        <f t="shared" si="1"/>
        <v>167.95102500000033</v>
      </c>
      <c r="O11" s="10">
        <f t="shared" si="2"/>
        <v>86.880083333333488</v>
      </c>
      <c r="P11" s="10">
        <f t="shared" si="3"/>
        <v>6.7859000000000131</v>
      </c>
      <c r="Q11" s="10">
        <f t="shared" si="4"/>
        <v>261.61700833333384</v>
      </c>
      <c r="R11" s="8">
        <v>1.6E-2</v>
      </c>
      <c r="S11" s="10">
        <f t="shared" si="5"/>
        <v>4.1858721333333415</v>
      </c>
      <c r="T11" s="8">
        <v>0.05</v>
      </c>
      <c r="U11" s="10">
        <f t="shared" si="6"/>
        <v>3.9765785266666742</v>
      </c>
      <c r="V11" s="39">
        <v>3.7890815556213431E-2</v>
      </c>
      <c r="W11" s="29" t="s">
        <v>902</v>
      </c>
      <c r="X11" s="29" t="s">
        <v>923</v>
      </c>
      <c r="Y11" s="29" t="s">
        <v>924</v>
      </c>
      <c r="Z11" s="29" t="s">
        <v>925</v>
      </c>
    </row>
    <row r="12" spans="1:26" ht="43.2" x14ac:dyDescent="0.3">
      <c r="A12" s="3" t="s">
        <v>497</v>
      </c>
      <c r="B12" s="3" t="s">
        <v>497</v>
      </c>
      <c r="C12" s="7">
        <v>14200</v>
      </c>
      <c r="D12" s="7">
        <f t="shared" si="0"/>
        <v>17799.999999999996</v>
      </c>
      <c r="E12" s="8">
        <v>0.76</v>
      </c>
      <c r="F12" s="8">
        <v>0.11</v>
      </c>
      <c r="G12" s="8">
        <v>0.04</v>
      </c>
      <c r="H12" s="9">
        <f>SUMPRODUCT(Industrials!D2:D202,Industrials!F2:F202,Industrials!J2:J202)/SUMPRODUCT(Industrials!D2:D202,Industrials!F2:F202)</f>
        <v>0.48993506493506528</v>
      </c>
      <c r="I12" s="8">
        <v>0.55000000000000004</v>
      </c>
      <c r="J12" s="8">
        <v>0.8</v>
      </c>
      <c r="K12" s="8">
        <v>0.45</v>
      </c>
      <c r="L12" s="8">
        <v>0.65</v>
      </c>
      <c r="M12" s="8">
        <v>0.55000000000000004</v>
      </c>
      <c r="N12" s="10">
        <f t="shared" si="1"/>
        <v>1640.3907857142869</v>
      </c>
      <c r="O12" s="10">
        <f t="shared" si="2"/>
        <v>623.54035714285737</v>
      </c>
      <c r="P12" s="10">
        <f t="shared" si="3"/>
        <v>153.48685714285725</v>
      </c>
      <c r="Q12" s="10">
        <f t="shared" si="4"/>
        <v>2417.4180000000019</v>
      </c>
      <c r="R12" s="8">
        <v>1.6E-2</v>
      </c>
      <c r="S12" s="10">
        <f t="shared" si="5"/>
        <v>38.678688000000029</v>
      </c>
      <c r="T12" s="8">
        <v>0.05</v>
      </c>
      <c r="U12" s="10">
        <f t="shared" si="6"/>
        <v>36.744753600000024</v>
      </c>
      <c r="V12" s="39">
        <v>3.8377517305837383E-2</v>
      </c>
      <c r="W12" s="29" t="s">
        <v>926</v>
      </c>
      <c r="X12" s="29" t="s">
        <v>927</v>
      </c>
      <c r="Y12" s="29" t="s">
        <v>928</v>
      </c>
      <c r="Z12" s="29" t="s">
        <v>929</v>
      </c>
    </row>
    <row r="13" spans="1:26" ht="28.8" x14ac:dyDescent="0.3">
      <c r="A13" s="3" t="s">
        <v>560</v>
      </c>
      <c r="B13" s="3" t="s">
        <v>560</v>
      </c>
      <c r="C13" s="7">
        <v>3200</v>
      </c>
      <c r="D13" s="7">
        <f t="shared" si="0"/>
        <v>4000.0000000000009</v>
      </c>
      <c r="E13" s="8">
        <v>0.78</v>
      </c>
      <c r="F13" s="8">
        <v>0.1</v>
      </c>
      <c r="G13" s="8">
        <v>1.4999999999999999E-2</v>
      </c>
      <c r="H13" s="9">
        <f>SUMPRODUCT(Materials!D2:D116,Materials!F2:F116,Materials!J2:J116)/SUMPRODUCT(Materials!D2:D116,Materials!F2:F116)</f>
        <v>0.46228260869565219</v>
      </c>
      <c r="I13" s="8">
        <v>0.55000000000000004</v>
      </c>
      <c r="J13" s="8">
        <v>0.8</v>
      </c>
      <c r="K13" s="8">
        <v>0.45</v>
      </c>
      <c r="L13" s="8">
        <v>0.65</v>
      </c>
      <c r="M13" s="8">
        <v>0.55000000000000004</v>
      </c>
      <c r="N13" s="10">
        <f t="shared" si="1"/>
        <v>356.97463043478274</v>
      </c>
      <c r="O13" s="10">
        <f t="shared" si="2"/>
        <v>120.19347826086961</v>
      </c>
      <c r="P13" s="10">
        <f t="shared" si="3"/>
        <v>12.204260869565223</v>
      </c>
      <c r="Q13" s="10">
        <f t="shared" si="4"/>
        <v>489.37236956521758</v>
      </c>
      <c r="R13" s="8">
        <v>1.6E-2</v>
      </c>
      <c r="S13" s="10">
        <f t="shared" si="5"/>
        <v>7.8299579130434811</v>
      </c>
      <c r="T13" s="8">
        <v>0.05</v>
      </c>
      <c r="U13" s="10">
        <f t="shared" si="6"/>
        <v>7.4384600173913071</v>
      </c>
      <c r="V13" s="39">
        <v>3.7890815556213431E-2</v>
      </c>
      <c r="W13" s="29" t="s">
        <v>902</v>
      </c>
      <c r="X13" s="29" t="s">
        <v>930</v>
      </c>
      <c r="Y13" s="29" t="s">
        <v>931</v>
      </c>
      <c r="Z13" s="29" t="s">
        <v>925</v>
      </c>
    </row>
    <row r="14" spans="1:26" ht="43.2" x14ac:dyDescent="0.3">
      <c r="A14" s="3" t="s">
        <v>594</v>
      </c>
      <c r="B14" s="3" t="s">
        <v>594</v>
      </c>
      <c r="C14" s="7">
        <v>7200</v>
      </c>
      <c r="D14" s="7">
        <f t="shared" si="0"/>
        <v>10900.000000000005</v>
      </c>
      <c r="E14" s="8">
        <v>0.38</v>
      </c>
      <c r="F14" s="8">
        <v>0.22</v>
      </c>
      <c r="G14" s="8">
        <v>0.16</v>
      </c>
      <c r="H14" s="9">
        <f>SUMPRODUCT(Technology!D2:D120,Technology!F2:F120,Technology!J2:J120)/SUMPRODUCT(Technology!D2:D120,Technology!F2:F120)</f>
        <v>0.50767489711934199</v>
      </c>
      <c r="I14" s="8">
        <v>0.55000000000000004</v>
      </c>
      <c r="J14" s="8">
        <v>0.8</v>
      </c>
      <c r="K14" s="8">
        <v>0.45</v>
      </c>
      <c r="L14" s="8">
        <v>0.65</v>
      </c>
      <c r="M14" s="8">
        <v>0.55000000000000004</v>
      </c>
      <c r="N14" s="10">
        <f t="shared" si="1"/>
        <v>520.44038240740815</v>
      </c>
      <c r="O14" s="10">
        <f t="shared" si="2"/>
        <v>791.31286213991893</v>
      </c>
      <c r="P14" s="10">
        <f t="shared" si="3"/>
        <v>389.56940905349853</v>
      </c>
      <c r="Q14" s="10">
        <f t="shared" si="4"/>
        <v>1701.3226536008256</v>
      </c>
      <c r="R14" s="8">
        <v>1.6E-2</v>
      </c>
      <c r="S14" s="10">
        <f t="shared" si="5"/>
        <v>27.221162457613211</v>
      </c>
      <c r="T14" s="8">
        <v>0.05</v>
      </c>
      <c r="U14" s="10">
        <f t="shared" si="6"/>
        <v>25.860104334732551</v>
      </c>
      <c r="V14" s="39">
        <v>7.1557960364101669E-2</v>
      </c>
      <c r="W14" s="29" t="s">
        <v>932</v>
      </c>
      <c r="X14" s="29" t="s">
        <v>933</v>
      </c>
      <c r="Y14" s="29" t="s">
        <v>934</v>
      </c>
      <c r="Z14" s="29" t="s">
        <v>935</v>
      </c>
    </row>
    <row r="15" spans="1:26" ht="28.8" x14ac:dyDescent="0.3">
      <c r="A15" s="11" t="s">
        <v>936</v>
      </c>
      <c r="B15" s="11"/>
      <c r="C15" s="11">
        <f>SUM(C3:C14)</f>
        <v>79500</v>
      </c>
      <c r="D15" s="11">
        <f>SUM(D3:D14)</f>
        <v>101099.99999999999</v>
      </c>
      <c r="E15" s="11"/>
      <c r="F15" s="11"/>
      <c r="G15" s="11"/>
      <c r="H15" s="11"/>
      <c r="I15" s="11"/>
      <c r="J15" s="11"/>
      <c r="K15" s="11"/>
      <c r="L15" s="11"/>
      <c r="M15" s="11"/>
      <c r="N15" s="12">
        <f>SUM(N3:N14)</f>
        <v>7674.6950539769687</v>
      </c>
      <c r="O15" s="12">
        <f>SUM(O3:O14)</f>
        <v>5882.3487464186383</v>
      </c>
      <c r="P15" s="12">
        <f>SUM(P3:P14)</f>
        <v>865.42386133780815</v>
      </c>
      <c r="Q15" s="12">
        <f>SUM(Q3:Q14)</f>
        <v>14422.467661733417</v>
      </c>
      <c r="R15" s="11"/>
      <c r="S15" s="12">
        <f>SUM(S3:S14)</f>
        <v>230.75948258773465</v>
      </c>
      <c r="T15" s="11"/>
      <c r="U15" s="12">
        <f>SUM(U3:U14)</f>
        <v>219.22150845834793</v>
      </c>
      <c r="V15" s="40">
        <f>(D15/C15)^(1/6)-1</f>
        <v>4.0872028466248489E-2</v>
      </c>
      <c r="W15" s="31" t="s">
        <v>937</v>
      </c>
      <c r="X15" s="31" t="s">
        <v>938</v>
      </c>
      <c r="Y15" s="31"/>
      <c r="Z15" s="31"/>
    </row>
  </sheetData>
  <mergeCells count="1">
    <mergeCell ref="A1:Z1"/>
  </mergeCells>
  <pageMargins left="0.7" right="0.7" top="0.75" bottom="0.75" header="0.3" footer="0.3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8"/>
  <sheetViews>
    <sheetView showGridLines="0" workbookViewId="0">
      <selection sqref="A1:L1"/>
    </sheetView>
  </sheetViews>
  <sheetFormatPr defaultRowHeight="14.4" x14ac:dyDescent="0.3"/>
  <cols>
    <col min="1" max="1" width="36" customWidth="1"/>
    <col min="2" max="2" width="16" customWidth="1"/>
    <col min="4" max="4" width="34" customWidth="1"/>
    <col min="5" max="5" width="16" customWidth="1"/>
    <col min="6" max="8" width="18" customWidth="1"/>
    <col min="10" max="10" width="28" customWidth="1"/>
    <col min="11" max="12" width="15" customWidth="1"/>
  </cols>
  <sheetData>
    <row r="1" spans="1:12" ht="31.95" customHeight="1" x14ac:dyDescent="0.3">
      <c r="A1" s="120" t="s">
        <v>952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2" x14ac:dyDescent="0.3">
      <c r="A2" s="121" t="s">
        <v>953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3">
      <c r="A4" s="14" t="s">
        <v>954</v>
      </c>
      <c r="B4" s="14" t="s">
        <v>826</v>
      </c>
      <c r="C4" s="3"/>
      <c r="D4" s="14" t="s">
        <v>955</v>
      </c>
      <c r="E4" s="14" t="s">
        <v>826</v>
      </c>
      <c r="F4" s="3"/>
      <c r="G4" s="3"/>
      <c r="H4" s="3"/>
      <c r="I4" s="3"/>
      <c r="J4" s="14" t="s">
        <v>956</v>
      </c>
      <c r="K4" s="14" t="s">
        <v>957</v>
      </c>
      <c r="L4" s="14" t="s">
        <v>958</v>
      </c>
    </row>
    <row r="5" spans="1:12" x14ac:dyDescent="0.3">
      <c r="A5" s="3" t="s">
        <v>959</v>
      </c>
      <c r="B5" s="5">
        <f>'TAM Bridge'!B5</f>
        <v>1.1363099999999999</v>
      </c>
      <c r="C5" s="3"/>
      <c r="D5" s="3" t="s">
        <v>960</v>
      </c>
      <c r="E5" s="15" t="e">
        <f>'Provider Capture'!H13</f>
        <v>#REF!</v>
      </c>
      <c r="F5" s="3"/>
      <c r="G5" s="3"/>
      <c r="H5" s="3"/>
      <c r="I5" s="3"/>
      <c r="J5" s="3" t="s">
        <v>961</v>
      </c>
      <c r="K5" s="15" t="e">
        <f>'Provider Capture'!G13</f>
        <v>#REF!</v>
      </c>
      <c r="L5" s="15" t="e">
        <f>'Provider Capture'!K13</f>
        <v>#REF!</v>
      </c>
    </row>
    <row r="6" spans="1:12" x14ac:dyDescent="0.3">
      <c r="A6" s="3" t="s">
        <v>962</v>
      </c>
      <c r="B6" s="5" t="e">
        <f>'TAM Bridge'!B12</f>
        <v>#REF!</v>
      </c>
      <c r="C6" s="3"/>
      <c r="D6" s="3" t="s">
        <v>963</v>
      </c>
      <c r="E6" s="15" t="e">
        <f>'Provider Capture'!L13</f>
        <v>#REF!</v>
      </c>
      <c r="F6" s="3"/>
      <c r="G6" s="3"/>
      <c r="H6" s="3"/>
      <c r="I6" s="3"/>
      <c r="J6" s="3" t="s">
        <v>964</v>
      </c>
      <c r="K6" s="15" t="e">
        <f>'Provider Capture'!H13</f>
        <v>#REF!</v>
      </c>
      <c r="L6" s="15" t="e">
        <f>'Provider Capture'!L13</f>
        <v>#REF!</v>
      </c>
    </row>
    <row r="7" spans="1:12" x14ac:dyDescent="0.3">
      <c r="A7" s="3" t="s">
        <v>965</v>
      </c>
      <c r="B7" s="5" t="e">
        <f>'TAM Bridge'!B8</f>
        <v>#REF!</v>
      </c>
      <c r="C7" s="3"/>
      <c r="D7" s="3" t="s">
        <v>966</v>
      </c>
      <c r="E7" s="15" t="e">
        <f>E6-E5</f>
        <v>#REF!</v>
      </c>
      <c r="F7" s="3"/>
      <c r="G7" s="3"/>
      <c r="H7" s="3"/>
      <c r="I7" s="3"/>
      <c r="J7" s="3" t="s">
        <v>967</v>
      </c>
      <c r="K7" s="15" t="e">
        <f>'Provider Capture'!I13</f>
        <v>#REF!</v>
      </c>
      <c r="L7" s="15" t="e">
        <f>'Provider Capture'!M13</f>
        <v>#REF!</v>
      </c>
    </row>
    <row r="8" spans="1:12" x14ac:dyDescent="0.3">
      <c r="A8" s="3" t="s">
        <v>858</v>
      </c>
      <c r="B8" s="5">
        <f>'TAM Bridge'!B11</f>
        <v>0.21922150845834792</v>
      </c>
      <c r="C8" s="3"/>
      <c r="D8" s="3" t="s">
        <v>968</v>
      </c>
      <c r="E8" s="10" t="e">
        <f>'Provider Capture'!O13</f>
        <v>#REF!</v>
      </c>
      <c r="F8" s="3"/>
      <c r="G8" s="3"/>
      <c r="H8" s="3"/>
      <c r="I8" s="3"/>
      <c r="J8" s="3" t="s">
        <v>969</v>
      </c>
      <c r="K8" s="15" t="e">
        <f>'Provider Capture'!J13</f>
        <v>#REF!</v>
      </c>
      <c r="L8" s="15" t="e">
        <f>'Provider Capture'!N13</f>
        <v>#REF!</v>
      </c>
    </row>
    <row r="9" spans="1:12" x14ac:dyDescent="0.3">
      <c r="A9" s="3" t="s">
        <v>970</v>
      </c>
      <c r="B9" s="5">
        <f>-'TAM Bridge'!B10</f>
        <v>1.1537974129386732E-2</v>
      </c>
      <c r="C9" s="3"/>
      <c r="D9" s="3" t="s">
        <v>971</v>
      </c>
      <c r="E9" s="10" t="e">
        <f>'Provider Capture'!P13</f>
        <v>#REF!</v>
      </c>
      <c r="F9" s="3"/>
      <c r="G9" s="3"/>
      <c r="H9" s="3"/>
      <c r="I9" s="3"/>
      <c r="J9" s="3"/>
      <c r="K9" s="3"/>
      <c r="L9" s="3"/>
    </row>
    <row r="10" spans="1:12" x14ac:dyDescent="0.3">
      <c r="A10" s="3" t="s">
        <v>972</v>
      </c>
      <c r="B10" s="5" t="e">
        <f>B7+B8</f>
        <v>#REF!</v>
      </c>
      <c r="C10" s="3"/>
      <c r="D10" s="3" t="s">
        <v>973</v>
      </c>
      <c r="E10" s="10" t="e">
        <f>'Provider Capture'!Q13</f>
        <v>#REF!</v>
      </c>
      <c r="F10" s="3"/>
      <c r="G10" s="3"/>
      <c r="H10" s="3"/>
      <c r="I10" s="3"/>
      <c r="J10" s="3"/>
      <c r="K10" s="3"/>
      <c r="L10" s="3"/>
    </row>
    <row r="11" spans="1:12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">
      <c r="A12" s="122" t="s">
        <v>974</v>
      </c>
      <c r="B12" s="122"/>
      <c r="C12" s="122"/>
      <c r="D12" s="122"/>
      <c r="E12" s="122"/>
      <c r="F12" s="122"/>
      <c r="G12" s="122"/>
      <c r="H12" s="122"/>
      <c r="I12" s="3"/>
      <c r="J12" s="3"/>
      <c r="K12" s="3"/>
      <c r="L12" s="3"/>
    </row>
    <row r="13" spans="1:12" x14ac:dyDescent="0.3">
      <c r="A13" s="119" t="s">
        <v>975</v>
      </c>
      <c r="B13" s="119"/>
      <c r="C13" s="119"/>
      <c r="D13" s="119"/>
      <c r="E13" s="119"/>
      <c r="F13" s="119"/>
      <c r="G13" s="119"/>
      <c r="H13" s="119"/>
      <c r="I13" s="3"/>
      <c r="J13" s="3"/>
      <c r="K13" s="3"/>
      <c r="L13" s="3"/>
    </row>
    <row r="14" spans="1:12" x14ac:dyDescent="0.3">
      <c r="A14" s="119" t="s">
        <v>976</v>
      </c>
      <c r="B14" s="119"/>
      <c r="C14" s="119"/>
      <c r="D14" s="119"/>
      <c r="E14" s="119"/>
      <c r="F14" s="119"/>
      <c r="G14" s="119"/>
      <c r="H14" s="119"/>
      <c r="I14" s="3"/>
      <c r="J14" s="3"/>
      <c r="K14" s="3"/>
      <c r="L14" s="3"/>
    </row>
    <row r="15" spans="1:12" x14ac:dyDescent="0.3">
      <c r="A15" s="119" t="s">
        <v>977</v>
      </c>
      <c r="B15" s="119"/>
      <c r="C15" s="119"/>
      <c r="D15" s="119"/>
      <c r="E15" s="119"/>
      <c r="F15" s="119"/>
      <c r="G15" s="119"/>
      <c r="H15" s="119"/>
      <c r="I15" s="3"/>
      <c r="J15" s="3"/>
      <c r="K15" s="3"/>
      <c r="L15" s="3"/>
    </row>
    <row r="16" spans="1:12" x14ac:dyDescent="0.3">
      <c r="A16" s="119" t="s">
        <v>978</v>
      </c>
      <c r="B16" s="119"/>
      <c r="C16" s="119"/>
      <c r="D16" s="119"/>
      <c r="E16" s="119"/>
      <c r="F16" s="119"/>
      <c r="G16" s="119"/>
      <c r="H16" s="119"/>
      <c r="I16" s="3"/>
      <c r="J16" s="3"/>
      <c r="K16" s="3"/>
      <c r="L16" s="3"/>
    </row>
    <row r="17" spans="1:12" x14ac:dyDescent="0.3">
      <c r="A17" s="119" t="s">
        <v>979</v>
      </c>
      <c r="B17" s="119"/>
      <c r="C17" s="119"/>
      <c r="D17" s="119"/>
      <c r="E17" s="119"/>
      <c r="F17" s="119"/>
      <c r="G17" s="119"/>
      <c r="H17" s="119"/>
      <c r="I17" s="3"/>
      <c r="J17" s="3"/>
      <c r="K17" s="3"/>
      <c r="L17" s="3"/>
    </row>
    <row r="18" spans="1:12" x14ac:dyDescent="0.3">
      <c r="A18" s="119" t="s">
        <v>980</v>
      </c>
      <c r="B18" s="119"/>
      <c r="C18" s="119"/>
      <c r="D18" s="119"/>
      <c r="E18" s="119"/>
      <c r="F18" s="119"/>
      <c r="G18" s="119"/>
      <c r="H18" s="119"/>
      <c r="I18" s="3"/>
      <c r="J18" s="3"/>
      <c r="K18" s="3"/>
      <c r="L18" s="3"/>
    </row>
  </sheetData>
  <mergeCells count="9">
    <mergeCell ref="A16:H16"/>
    <mergeCell ref="A17:H17"/>
    <mergeCell ref="A18:H18"/>
    <mergeCell ref="A13:H13"/>
    <mergeCell ref="A1:L1"/>
    <mergeCell ref="A2:L2"/>
    <mergeCell ref="A12:H12"/>
    <mergeCell ref="A14:H14"/>
    <mergeCell ref="A15:H1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136"/>
  <sheetViews>
    <sheetView showGridLines="0" topLeftCell="A127" workbookViewId="0">
      <selection sqref="A1:L1"/>
    </sheetView>
  </sheetViews>
  <sheetFormatPr defaultRowHeight="14.4" x14ac:dyDescent="0.3"/>
  <cols>
    <col min="1" max="1" width="8" customWidth="1"/>
    <col min="2" max="4" width="25" customWidth="1"/>
    <col min="5" max="6" width="13" customWidth="1"/>
    <col min="7" max="11" width="36" customWidth="1"/>
    <col min="12" max="12" width="58" customWidth="1"/>
    <col min="13" max="14" width="18" customWidth="1"/>
  </cols>
  <sheetData>
    <row r="1" spans="1:14" ht="31.95" customHeight="1" x14ac:dyDescent="0.3">
      <c r="A1" s="120" t="s">
        <v>981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</row>
    <row r="2" spans="1:14" ht="55.05" customHeight="1" x14ac:dyDescent="0.3">
      <c r="A2" s="14" t="s">
        <v>982</v>
      </c>
      <c r="B2" s="14" t="s">
        <v>983</v>
      </c>
      <c r="C2" s="14" t="s">
        <v>984</v>
      </c>
      <c r="D2" s="14" t="s">
        <v>985</v>
      </c>
      <c r="E2" s="14" t="s">
        <v>986</v>
      </c>
      <c r="F2" s="14" t="s">
        <v>827</v>
      </c>
      <c r="G2" s="14" t="s">
        <v>987</v>
      </c>
      <c r="H2" s="14" t="s">
        <v>988</v>
      </c>
      <c r="I2" s="14" t="s">
        <v>989</v>
      </c>
      <c r="J2" s="14" t="s">
        <v>990</v>
      </c>
      <c r="K2" s="14" t="s">
        <v>991</v>
      </c>
      <c r="L2" s="14" t="s">
        <v>992</v>
      </c>
      <c r="M2" s="14" t="s">
        <v>993</v>
      </c>
      <c r="N2" s="14" t="s">
        <v>951</v>
      </c>
    </row>
    <row r="3" spans="1:14" ht="69" x14ac:dyDescent="0.3">
      <c r="A3" s="13">
        <v>1</v>
      </c>
      <c r="B3" s="13" t="s">
        <v>994</v>
      </c>
      <c r="C3" s="13" t="s">
        <v>995</v>
      </c>
      <c r="D3" s="13" t="s">
        <v>835</v>
      </c>
      <c r="E3" s="23">
        <f>'TAM Bridge'!B5</f>
        <v>1.1363099999999999</v>
      </c>
      <c r="F3" s="13" t="s">
        <v>836</v>
      </c>
      <c r="G3" s="13" t="s">
        <v>996</v>
      </c>
      <c r="H3" s="13" t="s">
        <v>997</v>
      </c>
      <c r="I3" s="13" t="s">
        <v>998</v>
      </c>
      <c r="J3" s="13" t="s">
        <v>999</v>
      </c>
      <c r="K3" s="13" t="s">
        <v>1000</v>
      </c>
      <c r="L3" s="13" t="s">
        <v>1001</v>
      </c>
      <c r="M3" s="13" t="s">
        <v>1002</v>
      </c>
      <c r="N3" s="13" t="s">
        <v>1003</v>
      </c>
    </row>
    <row r="4" spans="1:14" ht="55.2" x14ac:dyDescent="0.3">
      <c r="A4" s="13">
        <v>2</v>
      </c>
      <c r="B4" s="13" t="s">
        <v>994</v>
      </c>
      <c r="C4" s="13" t="s">
        <v>1004</v>
      </c>
      <c r="D4" s="13" t="s">
        <v>1005</v>
      </c>
      <c r="E4" s="23">
        <f>'TAM Bridge'!B6</f>
        <v>0.23360235930182177</v>
      </c>
      <c r="F4" s="13" t="s">
        <v>836</v>
      </c>
      <c r="G4" s="13" t="s">
        <v>1006</v>
      </c>
      <c r="H4" s="13" t="s">
        <v>1007</v>
      </c>
      <c r="I4" s="13" t="s">
        <v>1008</v>
      </c>
      <c r="J4" s="13" t="s">
        <v>1009</v>
      </c>
      <c r="K4" s="13" t="s">
        <v>1010</v>
      </c>
      <c r="L4" s="13"/>
      <c r="M4" s="13" t="s">
        <v>1011</v>
      </c>
      <c r="N4" s="13" t="s">
        <v>1003</v>
      </c>
    </row>
    <row r="5" spans="1:14" ht="27.6" x14ac:dyDescent="0.3">
      <c r="A5" s="13">
        <v>3</v>
      </c>
      <c r="B5" s="13" t="s">
        <v>994</v>
      </c>
      <c r="C5" s="13" t="s">
        <v>1012</v>
      </c>
      <c r="D5" s="13" t="s">
        <v>965</v>
      </c>
      <c r="E5" s="23" t="e">
        <f>'TAM Bridge'!B8</f>
        <v>#REF!</v>
      </c>
      <c r="F5" s="13" t="s">
        <v>836</v>
      </c>
      <c r="G5" s="13" t="s">
        <v>1013</v>
      </c>
      <c r="H5" s="13" t="s">
        <v>1014</v>
      </c>
      <c r="I5" s="13" t="s">
        <v>1015</v>
      </c>
      <c r="J5" s="13" t="s">
        <v>1016</v>
      </c>
      <c r="K5" s="13" t="s">
        <v>1017</v>
      </c>
      <c r="L5" s="13"/>
      <c r="M5" s="13" t="s">
        <v>1018</v>
      </c>
      <c r="N5" s="13" t="s">
        <v>1003</v>
      </c>
    </row>
    <row r="6" spans="1:14" ht="41.4" x14ac:dyDescent="0.3">
      <c r="A6" s="13">
        <v>4</v>
      </c>
      <c r="B6" s="13" t="s">
        <v>994</v>
      </c>
      <c r="C6" s="13" t="s">
        <v>1019</v>
      </c>
      <c r="D6" s="13" t="s">
        <v>858</v>
      </c>
      <c r="E6" s="23">
        <f>'TAM Bridge'!B11</f>
        <v>0.21922150845834792</v>
      </c>
      <c r="F6" s="13" t="s">
        <v>836</v>
      </c>
      <c r="G6" s="13" t="s">
        <v>1013</v>
      </c>
      <c r="H6" s="13" t="s">
        <v>1020</v>
      </c>
      <c r="I6" s="13" t="s">
        <v>1021</v>
      </c>
      <c r="J6" s="13" t="s">
        <v>1022</v>
      </c>
      <c r="K6" s="13" t="s">
        <v>1017</v>
      </c>
      <c r="L6" s="13"/>
      <c r="M6" s="13" t="s">
        <v>1018</v>
      </c>
      <c r="N6" s="13" t="s">
        <v>1003</v>
      </c>
    </row>
    <row r="7" spans="1:14" ht="55.2" x14ac:dyDescent="0.3">
      <c r="A7" s="13">
        <v>5</v>
      </c>
      <c r="B7" s="13" t="s">
        <v>1023</v>
      </c>
      <c r="C7" s="13" t="s">
        <v>1024</v>
      </c>
      <c r="D7" s="13" t="s">
        <v>1025</v>
      </c>
      <c r="E7" s="19">
        <f>AVERAGE('Adjacent TAM Detail'!T3:T14)</f>
        <v>4.9999999999999996E-2</v>
      </c>
      <c r="F7" s="13" t="s">
        <v>1026</v>
      </c>
      <c r="G7" s="13" t="s">
        <v>1027</v>
      </c>
      <c r="H7" s="13" t="s">
        <v>1028</v>
      </c>
      <c r="I7" s="13" t="s">
        <v>1029</v>
      </c>
      <c r="J7" s="13" t="s">
        <v>1030</v>
      </c>
      <c r="K7" s="13" t="s">
        <v>1031</v>
      </c>
      <c r="L7" s="13" t="s">
        <v>1032</v>
      </c>
      <c r="M7" s="13" t="s">
        <v>1002</v>
      </c>
      <c r="N7" s="13" t="s">
        <v>1003</v>
      </c>
    </row>
    <row r="8" spans="1:14" ht="41.4" x14ac:dyDescent="0.3">
      <c r="A8" s="13">
        <v>6</v>
      </c>
      <c r="B8" s="13" t="s">
        <v>1023</v>
      </c>
      <c r="C8" s="13" t="s">
        <v>1033</v>
      </c>
      <c r="D8" s="13" t="s">
        <v>1034</v>
      </c>
      <c r="E8" s="19" t="e">
        <f>AVERAGE('Service Line TAM'!#REF!)</f>
        <v>#REF!</v>
      </c>
      <c r="F8" s="13" t="s">
        <v>1026</v>
      </c>
      <c r="G8" s="13" t="s">
        <v>1027</v>
      </c>
      <c r="H8" s="13" t="s">
        <v>1035</v>
      </c>
      <c r="I8" s="13" t="s">
        <v>1036</v>
      </c>
      <c r="J8" s="13" t="s">
        <v>1037</v>
      </c>
      <c r="K8" s="13" t="s">
        <v>1038</v>
      </c>
      <c r="L8" s="13"/>
      <c r="M8" s="13" t="s">
        <v>1039</v>
      </c>
      <c r="N8" s="13" t="s">
        <v>1003</v>
      </c>
    </row>
    <row r="9" spans="1:14" ht="55.2" x14ac:dyDescent="0.3">
      <c r="A9" s="13">
        <v>7</v>
      </c>
      <c r="B9" s="13" t="s">
        <v>1040</v>
      </c>
      <c r="C9" s="13" t="s">
        <v>1041</v>
      </c>
      <c r="D9" s="13" t="s">
        <v>942</v>
      </c>
      <c r="E9" s="19" t="e">
        <f>'Service Line TAM'!#REF!</f>
        <v>#REF!</v>
      </c>
      <c r="F9" s="13" t="s">
        <v>1026</v>
      </c>
      <c r="G9" s="13" t="s">
        <v>1042</v>
      </c>
      <c r="H9" s="13" t="s">
        <v>1043</v>
      </c>
      <c r="I9" s="13" t="s">
        <v>1044</v>
      </c>
      <c r="J9" s="13" t="s">
        <v>1045</v>
      </c>
      <c r="K9" s="13" t="s">
        <v>1046</v>
      </c>
      <c r="L9" s="13" t="s">
        <v>1047</v>
      </c>
      <c r="M9" s="13" t="s">
        <v>1002</v>
      </c>
      <c r="N9" s="13" t="s">
        <v>1003</v>
      </c>
    </row>
    <row r="10" spans="1:14" ht="41.4" x14ac:dyDescent="0.3">
      <c r="A10" s="13">
        <v>8</v>
      </c>
      <c r="B10" s="13" t="s">
        <v>1040</v>
      </c>
      <c r="C10" s="13" t="s">
        <v>1048</v>
      </c>
      <c r="D10" s="13" t="s">
        <v>943</v>
      </c>
      <c r="E10" s="19">
        <f>'Service Line TAM'!D3</f>
        <v>0.75119047619047596</v>
      </c>
      <c r="F10" s="13" t="s">
        <v>1026</v>
      </c>
      <c r="G10" s="13" t="s">
        <v>1049</v>
      </c>
      <c r="H10" s="13" t="s">
        <v>1050</v>
      </c>
      <c r="I10" s="13" t="s">
        <v>1051</v>
      </c>
      <c r="J10" s="13" t="s">
        <v>1052</v>
      </c>
      <c r="K10" s="13" t="s">
        <v>1053</v>
      </c>
      <c r="L10" s="13"/>
      <c r="M10" s="13" t="s">
        <v>1054</v>
      </c>
      <c r="N10" s="13" t="s">
        <v>1003</v>
      </c>
    </row>
    <row r="11" spans="1:14" ht="55.2" x14ac:dyDescent="0.3">
      <c r="A11" s="13">
        <v>9</v>
      </c>
      <c r="B11" s="13" t="s">
        <v>1040</v>
      </c>
      <c r="C11" s="13" t="s">
        <v>1055</v>
      </c>
      <c r="D11" s="13" t="s">
        <v>944</v>
      </c>
      <c r="E11" s="19">
        <f>'Service Line TAM'!E3</f>
        <v>0.60212121212121206</v>
      </c>
      <c r="F11" s="13" t="s">
        <v>1026</v>
      </c>
      <c r="G11" s="13" t="s">
        <v>1027</v>
      </c>
      <c r="H11" s="13" t="s">
        <v>1056</v>
      </c>
      <c r="I11" s="13" t="s">
        <v>1057</v>
      </c>
      <c r="J11" s="13" t="s">
        <v>1058</v>
      </c>
      <c r="K11" s="13" t="s">
        <v>1031</v>
      </c>
      <c r="L11" s="13" t="s">
        <v>1059</v>
      </c>
      <c r="M11" s="13" t="s">
        <v>1002</v>
      </c>
      <c r="N11" s="13" t="s">
        <v>1003</v>
      </c>
    </row>
    <row r="12" spans="1:14" ht="41.4" x14ac:dyDescent="0.3">
      <c r="A12" s="13">
        <v>10</v>
      </c>
      <c r="B12" s="13" t="s">
        <v>1040</v>
      </c>
      <c r="C12" s="13" t="s">
        <v>1060</v>
      </c>
      <c r="D12" s="13" t="s">
        <v>945</v>
      </c>
      <c r="E12" s="19" t="e">
        <f>'Service Line TAM'!#REF!</f>
        <v>#REF!</v>
      </c>
      <c r="F12" s="13" t="s">
        <v>1026</v>
      </c>
      <c r="G12" s="13" t="s">
        <v>1027</v>
      </c>
      <c r="H12" s="13" t="s">
        <v>1061</v>
      </c>
      <c r="I12" s="13" t="s">
        <v>1062</v>
      </c>
      <c r="J12" s="13" t="s">
        <v>1063</v>
      </c>
      <c r="K12" s="13" t="s">
        <v>1038</v>
      </c>
      <c r="L12" s="13"/>
      <c r="M12" s="13" t="s">
        <v>1018</v>
      </c>
      <c r="N12" s="13" t="s">
        <v>1003</v>
      </c>
    </row>
    <row r="13" spans="1:14" ht="55.2" x14ac:dyDescent="0.3">
      <c r="A13" s="13">
        <v>11</v>
      </c>
      <c r="B13" s="13" t="s">
        <v>1040</v>
      </c>
      <c r="C13" s="13" t="s">
        <v>1064</v>
      </c>
      <c r="D13" s="13" t="s">
        <v>942</v>
      </c>
      <c r="E13" s="19" t="e">
        <f>'Service Line TAM'!#REF!</f>
        <v>#REF!</v>
      </c>
      <c r="F13" s="13" t="s">
        <v>1026</v>
      </c>
      <c r="G13" s="13" t="s">
        <v>1042</v>
      </c>
      <c r="H13" s="13" t="s">
        <v>1043</v>
      </c>
      <c r="I13" s="13" t="s">
        <v>1044</v>
      </c>
      <c r="J13" s="13" t="s">
        <v>1045</v>
      </c>
      <c r="K13" s="13" t="s">
        <v>1046</v>
      </c>
      <c r="L13" s="13" t="s">
        <v>1047</v>
      </c>
      <c r="M13" s="13" t="s">
        <v>1002</v>
      </c>
      <c r="N13" s="13" t="s">
        <v>1003</v>
      </c>
    </row>
    <row r="14" spans="1:14" ht="41.4" x14ac:dyDescent="0.3">
      <c r="A14" s="13">
        <v>12</v>
      </c>
      <c r="B14" s="13" t="s">
        <v>1040</v>
      </c>
      <c r="C14" s="13" t="s">
        <v>1065</v>
      </c>
      <c r="D14" s="13" t="s">
        <v>943</v>
      </c>
      <c r="E14" s="19">
        <f>'Service Line TAM'!D4</f>
        <v>0.75049999999999983</v>
      </c>
      <c r="F14" s="13" t="s">
        <v>1026</v>
      </c>
      <c r="G14" s="13" t="s">
        <v>1049</v>
      </c>
      <c r="H14" s="13" t="s">
        <v>1050</v>
      </c>
      <c r="I14" s="13" t="s">
        <v>1051</v>
      </c>
      <c r="J14" s="13" t="s">
        <v>1052</v>
      </c>
      <c r="K14" s="13" t="s">
        <v>1053</v>
      </c>
      <c r="L14" s="13"/>
      <c r="M14" s="13" t="s">
        <v>1054</v>
      </c>
      <c r="N14" s="13" t="s">
        <v>1003</v>
      </c>
    </row>
    <row r="15" spans="1:14" ht="55.2" x14ac:dyDescent="0.3">
      <c r="A15" s="13">
        <v>13</v>
      </c>
      <c r="B15" s="13" t="s">
        <v>1040</v>
      </c>
      <c r="C15" s="13" t="s">
        <v>1066</v>
      </c>
      <c r="D15" s="13" t="s">
        <v>944</v>
      </c>
      <c r="E15" s="19">
        <f>'Service Line TAM'!E4</f>
        <v>0.60599999999999987</v>
      </c>
      <c r="F15" s="13" t="s">
        <v>1026</v>
      </c>
      <c r="G15" s="13" t="s">
        <v>1027</v>
      </c>
      <c r="H15" s="13" t="s">
        <v>1056</v>
      </c>
      <c r="I15" s="13" t="s">
        <v>1057</v>
      </c>
      <c r="J15" s="13" t="s">
        <v>1058</v>
      </c>
      <c r="K15" s="13" t="s">
        <v>1031</v>
      </c>
      <c r="L15" s="13" t="s">
        <v>1059</v>
      </c>
      <c r="M15" s="13" t="s">
        <v>1002</v>
      </c>
      <c r="N15" s="13" t="s">
        <v>1003</v>
      </c>
    </row>
    <row r="16" spans="1:14" ht="41.4" x14ac:dyDescent="0.3">
      <c r="A16" s="13">
        <v>14</v>
      </c>
      <c r="B16" s="13" t="s">
        <v>1040</v>
      </c>
      <c r="C16" s="13" t="s">
        <v>1067</v>
      </c>
      <c r="D16" s="13" t="s">
        <v>945</v>
      </c>
      <c r="E16" s="19" t="e">
        <f>'Service Line TAM'!#REF!</f>
        <v>#REF!</v>
      </c>
      <c r="F16" s="13" t="s">
        <v>1026</v>
      </c>
      <c r="G16" s="13" t="s">
        <v>1027</v>
      </c>
      <c r="H16" s="13" t="s">
        <v>1061</v>
      </c>
      <c r="I16" s="13" t="s">
        <v>1062</v>
      </c>
      <c r="J16" s="13" t="s">
        <v>1063</v>
      </c>
      <c r="K16" s="13" t="s">
        <v>1038</v>
      </c>
      <c r="L16" s="13"/>
      <c r="M16" s="13" t="s">
        <v>1018</v>
      </c>
      <c r="N16" s="13" t="s">
        <v>1003</v>
      </c>
    </row>
    <row r="17" spans="1:14" ht="55.2" x14ac:dyDescent="0.3">
      <c r="A17" s="13">
        <v>15</v>
      </c>
      <c r="B17" s="13" t="s">
        <v>1040</v>
      </c>
      <c r="C17" s="13" t="s">
        <v>1068</v>
      </c>
      <c r="D17" s="13" t="s">
        <v>942</v>
      </c>
      <c r="E17" s="19" t="e">
        <f>'Service Line TAM'!#REF!</f>
        <v>#REF!</v>
      </c>
      <c r="F17" s="13" t="s">
        <v>1026</v>
      </c>
      <c r="G17" s="13" t="s">
        <v>1042</v>
      </c>
      <c r="H17" s="13" t="s">
        <v>1043</v>
      </c>
      <c r="I17" s="13" t="s">
        <v>1044</v>
      </c>
      <c r="J17" s="13" t="s">
        <v>1045</v>
      </c>
      <c r="K17" s="13" t="s">
        <v>1046</v>
      </c>
      <c r="L17" s="13" t="s">
        <v>1047</v>
      </c>
      <c r="M17" s="13" t="s">
        <v>1002</v>
      </c>
      <c r="N17" s="13" t="s">
        <v>1003</v>
      </c>
    </row>
    <row r="18" spans="1:14" ht="41.4" x14ac:dyDescent="0.3">
      <c r="A18" s="13">
        <v>16</v>
      </c>
      <c r="B18" s="13" t="s">
        <v>1040</v>
      </c>
      <c r="C18" s="13" t="s">
        <v>1069</v>
      </c>
      <c r="D18" s="13" t="s">
        <v>943</v>
      </c>
      <c r="E18" s="19">
        <f>'Service Line TAM'!D5</f>
        <v>0.61712500000000003</v>
      </c>
      <c r="F18" s="13" t="s">
        <v>1026</v>
      </c>
      <c r="G18" s="13" t="s">
        <v>1049</v>
      </c>
      <c r="H18" s="13" t="s">
        <v>1050</v>
      </c>
      <c r="I18" s="13" t="s">
        <v>1051</v>
      </c>
      <c r="J18" s="13" t="s">
        <v>1052</v>
      </c>
      <c r="K18" s="13" t="s">
        <v>1053</v>
      </c>
      <c r="L18" s="13"/>
      <c r="M18" s="13" t="s">
        <v>1054</v>
      </c>
      <c r="N18" s="13" t="s">
        <v>1003</v>
      </c>
    </row>
    <row r="19" spans="1:14" ht="55.2" x14ac:dyDescent="0.3">
      <c r="A19" s="13">
        <v>17</v>
      </c>
      <c r="B19" s="13" t="s">
        <v>1040</v>
      </c>
      <c r="C19" s="13" t="s">
        <v>1070</v>
      </c>
      <c r="D19" s="13" t="s">
        <v>944</v>
      </c>
      <c r="E19" s="19">
        <f>'Service Line TAM'!E5</f>
        <v>0.32</v>
      </c>
      <c r="F19" s="13" t="s">
        <v>1026</v>
      </c>
      <c r="G19" s="13" t="s">
        <v>1027</v>
      </c>
      <c r="H19" s="13" t="s">
        <v>1056</v>
      </c>
      <c r="I19" s="13" t="s">
        <v>1057</v>
      </c>
      <c r="J19" s="13" t="s">
        <v>1058</v>
      </c>
      <c r="K19" s="13" t="s">
        <v>1031</v>
      </c>
      <c r="L19" s="13" t="s">
        <v>1059</v>
      </c>
      <c r="M19" s="13" t="s">
        <v>1002</v>
      </c>
      <c r="N19" s="13" t="s">
        <v>1003</v>
      </c>
    </row>
    <row r="20" spans="1:14" ht="41.4" x14ac:dyDescent="0.3">
      <c r="A20" s="13">
        <v>18</v>
      </c>
      <c r="B20" s="13" t="s">
        <v>1040</v>
      </c>
      <c r="C20" s="13" t="s">
        <v>1071</v>
      </c>
      <c r="D20" s="13" t="s">
        <v>945</v>
      </c>
      <c r="E20" s="19" t="e">
        <f>'Service Line TAM'!#REF!</f>
        <v>#REF!</v>
      </c>
      <c r="F20" s="13" t="s">
        <v>1026</v>
      </c>
      <c r="G20" s="13" t="s">
        <v>1027</v>
      </c>
      <c r="H20" s="13" t="s">
        <v>1061</v>
      </c>
      <c r="I20" s="13" t="s">
        <v>1062</v>
      </c>
      <c r="J20" s="13" t="s">
        <v>1063</v>
      </c>
      <c r="K20" s="13" t="s">
        <v>1038</v>
      </c>
      <c r="L20" s="13"/>
      <c r="M20" s="13" t="s">
        <v>1018</v>
      </c>
      <c r="N20" s="13" t="s">
        <v>1003</v>
      </c>
    </row>
    <row r="21" spans="1:14" ht="55.2" x14ac:dyDescent="0.3">
      <c r="A21" s="13">
        <v>19</v>
      </c>
      <c r="B21" s="13" t="s">
        <v>1040</v>
      </c>
      <c r="C21" s="13" t="s">
        <v>1072</v>
      </c>
      <c r="D21" s="13" t="s">
        <v>942</v>
      </c>
      <c r="E21" s="19" t="e">
        <f>'Service Line TAM'!#REF!</f>
        <v>#REF!</v>
      </c>
      <c r="F21" s="13" t="s">
        <v>1026</v>
      </c>
      <c r="G21" s="13" t="s">
        <v>1042</v>
      </c>
      <c r="H21" s="13" t="s">
        <v>1043</v>
      </c>
      <c r="I21" s="13" t="s">
        <v>1044</v>
      </c>
      <c r="J21" s="13" t="s">
        <v>1045</v>
      </c>
      <c r="K21" s="13" t="s">
        <v>1046</v>
      </c>
      <c r="L21" s="13" t="s">
        <v>1047</v>
      </c>
      <c r="M21" s="13" t="s">
        <v>1002</v>
      </c>
      <c r="N21" s="13" t="s">
        <v>1003</v>
      </c>
    </row>
    <row r="22" spans="1:14" ht="41.4" x14ac:dyDescent="0.3">
      <c r="A22" s="13">
        <v>20</v>
      </c>
      <c r="B22" s="13" t="s">
        <v>1040</v>
      </c>
      <c r="C22" s="13" t="s">
        <v>1073</v>
      </c>
      <c r="D22" s="13" t="s">
        <v>943</v>
      </c>
      <c r="E22" s="19">
        <f>'Service Line TAM'!D6</f>
        <v>0.79037499999999994</v>
      </c>
      <c r="F22" s="13" t="s">
        <v>1026</v>
      </c>
      <c r="G22" s="13" t="s">
        <v>1049</v>
      </c>
      <c r="H22" s="13" t="s">
        <v>1050</v>
      </c>
      <c r="I22" s="13" t="s">
        <v>1051</v>
      </c>
      <c r="J22" s="13" t="s">
        <v>1052</v>
      </c>
      <c r="K22" s="13" t="s">
        <v>1053</v>
      </c>
      <c r="L22" s="13"/>
      <c r="M22" s="13" t="s">
        <v>1054</v>
      </c>
      <c r="N22" s="13" t="s">
        <v>1003</v>
      </c>
    </row>
    <row r="23" spans="1:14" ht="55.2" x14ac:dyDescent="0.3">
      <c r="A23" s="13">
        <v>21</v>
      </c>
      <c r="B23" s="13" t="s">
        <v>1040</v>
      </c>
      <c r="C23" s="13" t="s">
        <v>1074</v>
      </c>
      <c r="D23" s="13" t="s">
        <v>944</v>
      </c>
      <c r="E23" s="19">
        <f>'Service Line TAM'!E6</f>
        <v>0.63</v>
      </c>
      <c r="F23" s="13" t="s">
        <v>1026</v>
      </c>
      <c r="G23" s="13" t="s">
        <v>1027</v>
      </c>
      <c r="H23" s="13" t="s">
        <v>1056</v>
      </c>
      <c r="I23" s="13" t="s">
        <v>1057</v>
      </c>
      <c r="J23" s="13" t="s">
        <v>1058</v>
      </c>
      <c r="K23" s="13" t="s">
        <v>1031</v>
      </c>
      <c r="L23" s="13" t="s">
        <v>1059</v>
      </c>
      <c r="M23" s="13" t="s">
        <v>1002</v>
      </c>
      <c r="N23" s="13" t="s">
        <v>1003</v>
      </c>
    </row>
    <row r="24" spans="1:14" ht="41.4" x14ac:dyDescent="0.3">
      <c r="A24" s="13">
        <v>22</v>
      </c>
      <c r="B24" s="13" t="s">
        <v>1040</v>
      </c>
      <c r="C24" s="13" t="s">
        <v>1075</v>
      </c>
      <c r="D24" s="13" t="s">
        <v>945</v>
      </c>
      <c r="E24" s="19" t="e">
        <f>'Service Line TAM'!#REF!</f>
        <v>#REF!</v>
      </c>
      <c r="F24" s="13" t="s">
        <v>1026</v>
      </c>
      <c r="G24" s="13" t="s">
        <v>1027</v>
      </c>
      <c r="H24" s="13" t="s">
        <v>1061</v>
      </c>
      <c r="I24" s="13" t="s">
        <v>1062</v>
      </c>
      <c r="J24" s="13" t="s">
        <v>1063</v>
      </c>
      <c r="K24" s="13" t="s">
        <v>1038</v>
      </c>
      <c r="L24" s="13"/>
      <c r="M24" s="13" t="s">
        <v>1018</v>
      </c>
      <c r="N24" s="13" t="s">
        <v>1003</v>
      </c>
    </row>
    <row r="25" spans="1:14" ht="55.2" x14ac:dyDescent="0.3">
      <c r="A25" s="13">
        <v>23</v>
      </c>
      <c r="B25" s="13" t="s">
        <v>1040</v>
      </c>
      <c r="C25" s="13" t="s">
        <v>1076</v>
      </c>
      <c r="D25" s="13" t="s">
        <v>942</v>
      </c>
      <c r="E25" s="19" t="e">
        <f>'Service Line TAM'!#REF!</f>
        <v>#REF!</v>
      </c>
      <c r="F25" s="13" t="s">
        <v>1026</v>
      </c>
      <c r="G25" s="13" t="s">
        <v>1042</v>
      </c>
      <c r="H25" s="13" t="s">
        <v>1043</v>
      </c>
      <c r="I25" s="13" t="s">
        <v>1044</v>
      </c>
      <c r="J25" s="13" t="s">
        <v>1045</v>
      </c>
      <c r="K25" s="13" t="s">
        <v>1046</v>
      </c>
      <c r="L25" s="13" t="s">
        <v>1047</v>
      </c>
      <c r="M25" s="13" t="s">
        <v>1002</v>
      </c>
      <c r="N25" s="13" t="s">
        <v>1003</v>
      </c>
    </row>
    <row r="26" spans="1:14" ht="41.4" x14ac:dyDescent="0.3">
      <c r="A26" s="13">
        <v>24</v>
      </c>
      <c r="B26" s="13" t="s">
        <v>1040</v>
      </c>
      <c r="C26" s="13" t="s">
        <v>1077</v>
      </c>
      <c r="D26" s="13" t="s">
        <v>943</v>
      </c>
      <c r="E26" s="19">
        <f>'Service Line TAM'!D7</f>
        <v>0.61375000000000013</v>
      </c>
      <c r="F26" s="13" t="s">
        <v>1026</v>
      </c>
      <c r="G26" s="13" t="s">
        <v>1049</v>
      </c>
      <c r="H26" s="13" t="s">
        <v>1050</v>
      </c>
      <c r="I26" s="13" t="s">
        <v>1051</v>
      </c>
      <c r="J26" s="13" t="s">
        <v>1052</v>
      </c>
      <c r="K26" s="13" t="s">
        <v>1053</v>
      </c>
      <c r="L26" s="13"/>
      <c r="M26" s="13" t="s">
        <v>1054</v>
      </c>
      <c r="N26" s="13" t="s">
        <v>1003</v>
      </c>
    </row>
    <row r="27" spans="1:14" ht="55.2" x14ac:dyDescent="0.3">
      <c r="A27" s="13">
        <v>25</v>
      </c>
      <c r="B27" s="13" t="s">
        <v>1040</v>
      </c>
      <c r="C27" s="13" t="s">
        <v>1078</v>
      </c>
      <c r="D27" s="13" t="s">
        <v>944</v>
      </c>
      <c r="E27" s="19">
        <f>'Service Line TAM'!E7</f>
        <v>0.37</v>
      </c>
      <c r="F27" s="13" t="s">
        <v>1026</v>
      </c>
      <c r="G27" s="13" t="s">
        <v>1027</v>
      </c>
      <c r="H27" s="13" t="s">
        <v>1056</v>
      </c>
      <c r="I27" s="13" t="s">
        <v>1057</v>
      </c>
      <c r="J27" s="13" t="s">
        <v>1058</v>
      </c>
      <c r="K27" s="13" t="s">
        <v>1031</v>
      </c>
      <c r="L27" s="13" t="s">
        <v>1059</v>
      </c>
      <c r="M27" s="13" t="s">
        <v>1002</v>
      </c>
      <c r="N27" s="13" t="s">
        <v>1003</v>
      </c>
    </row>
    <row r="28" spans="1:14" ht="41.4" x14ac:dyDescent="0.3">
      <c r="A28" s="13">
        <v>26</v>
      </c>
      <c r="B28" s="13" t="s">
        <v>1040</v>
      </c>
      <c r="C28" s="13" t="s">
        <v>1079</v>
      </c>
      <c r="D28" s="13" t="s">
        <v>945</v>
      </c>
      <c r="E28" s="19" t="e">
        <f>'Service Line TAM'!#REF!</f>
        <v>#REF!</v>
      </c>
      <c r="F28" s="13" t="s">
        <v>1026</v>
      </c>
      <c r="G28" s="13" t="s">
        <v>1027</v>
      </c>
      <c r="H28" s="13" t="s">
        <v>1061</v>
      </c>
      <c r="I28" s="13" t="s">
        <v>1062</v>
      </c>
      <c r="J28" s="13" t="s">
        <v>1063</v>
      </c>
      <c r="K28" s="13" t="s">
        <v>1038</v>
      </c>
      <c r="L28" s="13"/>
      <c r="M28" s="13" t="s">
        <v>1018</v>
      </c>
      <c r="N28" s="13" t="s">
        <v>1003</v>
      </c>
    </row>
    <row r="29" spans="1:14" ht="55.2" x14ac:dyDescent="0.3">
      <c r="A29" s="13">
        <v>27</v>
      </c>
      <c r="B29" s="13" t="s">
        <v>1040</v>
      </c>
      <c r="C29" s="13" t="s">
        <v>1080</v>
      </c>
      <c r="D29" s="13" t="s">
        <v>942</v>
      </c>
      <c r="E29" s="19" t="e">
        <f>'Service Line TAM'!#REF!</f>
        <v>#REF!</v>
      </c>
      <c r="F29" s="13" t="s">
        <v>1026</v>
      </c>
      <c r="G29" s="13" t="s">
        <v>1042</v>
      </c>
      <c r="H29" s="13" t="s">
        <v>1043</v>
      </c>
      <c r="I29" s="13" t="s">
        <v>1044</v>
      </c>
      <c r="J29" s="13" t="s">
        <v>1045</v>
      </c>
      <c r="K29" s="13" t="s">
        <v>1046</v>
      </c>
      <c r="L29" s="13" t="s">
        <v>1047</v>
      </c>
      <c r="M29" s="13" t="s">
        <v>1002</v>
      </c>
      <c r="N29" s="13" t="s">
        <v>1003</v>
      </c>
    </row>
    <row r="30" spans="1:14" ht="41.4" x14ac:dyDescent="0.3">
      <c r="A30" s="13">
        <v>28</v>
      </c>
      <c r="B30" s="13" t="s">
        <v>1040</v>
      </c>
      <c r="C30" s="13" t="s">
        <v>1081</v>
      </c>
      <c r="D30" s="13" t="s">
        <v>943</v>
      </c>
      <c r="E30" s="19">
        <f>'Service Line TAM'!D8</f>
        <v>0.82425000000000015</v>
      </c>
      <c r="F30" s="13" t="s">
        <v>1026</v>
      </c>
      <c r="G30" s="13" t="s">
        <v>1049</v>
      </c>
      <c r="H30" s="13" t="s">
        <v>1050</v>
      </c>
      <c r="I30" s="13" t="s">
        <v>1051</v>
      </c>
      <c r="J30" s="13" t="s">
        <v>1052</v>
      </c>
      <c r="K30" s="13" t="s">
        <v>1053</v>
      </c>
      <c r="L30" s="13"/>
      <c r="M30" s="13" t="s">
        <v>1054</v>
      </c>
      <c r="N30" s="13" t="s">
        <v>1003</v>
      </c>
    </row>
    <row r="31" spans="1:14" ht="55.2" x14ac:dyDescent="0.3">
      <c r="A31" s="13">
        <v>29</v>
      </c>
      <c r="B31" s="13" t="s">
        <v>1040</v>
      </c>
      <c r="C31" s="13" t="s">
        <v>1082</v>
      </c>
      <c r="D31" s="13" t="s">
        <v>944</v>
      </c>
      <c r="E31" s="19">
        <f>'Service Line TAM'!E8</f>
        <v>0.73</v>
      </c>
      <c r="F31" s="13" t="s">
        <v>1026</v>
      </c>
      <c r="G31" s="13" t="s">
        <v>1027</v>
      </c>
      <c r="H31" s="13" t="s">
        <v>1056</v>
      </c>
      <c r="I31" s="13" t="s">
        <v>1057</v>
      </c>
      <c r="J31" s="13" t="s">
        <v>1058</v>
      </c>
      <c r="K31" s="13" t="s">
        <v>1031</v>
      </c>
      <c r="L31" s="13" t="s">
        <v>1059</v>
      </c>
      <c r="M31" s="13" t="s">
        <v>1002</v>
      </c>
      <c r="N31" s="13" t="s">
        <v>1003</v>
      </c>
    </row>
    <row r="32" spans="1:14" ht="41.4" x14ac:dyDescent="0.3">
      <c r="A32" s="13">
        <v>30</v>
      </c>
      <c r="B32" s="13" t="s">
        <v>1040</v>
      </c>
      <c r="C32" s="13" t="s">
        <v>1083</v>
      </c>
      <c r="D32" s="13" t="s">
        <v>945</v>
      </c>
      <c r="E32" s="19" t="e">
        <f>'Service Line TAM'!#REF!</f>
        <v>#REF!</v>
      </c>
      <c r="F32" s="13" t="s">
        <v>1026</v>
      </c>
      <c r="G32" s="13" t="s">
        <v>1027</v>
      </c>
      <c r="H32" s="13" t="s">
        <v>1061</v>
      </c>
      <c r="I32" s="13" t="s">
        <v>1062</v>
      </c>
      <c r="J32" s="13" t="s">
        <v>1063</v>
      </c>
      <c r="K32" s="13" t="s">
        <v>1038</v>
      </c>
      <c r="L32" s="13"/>
      <c r="M32" s="13" t="s">
        <v>1018</v>
      </c>
      <c r="N32" s="13" t="s">
        <v>1003</v>
      </c>
    </row>
    <row r="33" spans="1:14" ht="55.2" x14ac:dyDescent="0.3">
      <c r="A33" s="13">
        <v>31</v>
      </c>
      <c r="B33" s="13" t="s">
        <v>1040</v>
      </c>
      <c r="C33" s="13" t="s">
        <v>1084</v>
      </c>
      <c r="D33" s="13" t="s">
        <v>942</v>
      </c>
      <c r="E33" s="19" t="e">
        <f>'Service Line TAM'!#REF!</f>
        <v>#REF!</v>
      </c>
      <c r="F33" s="13" t="s">
        <v>1026</v>
      </c>
      <c r="G33" s="13" t="s">
        <v>1042</v>
      </c>
      <c r="H33" s="13" t="s">
        <v>1043</v>
      </c>
      <c r="I33" s="13" t="s">
        <v>1044</v>
      </c>
      <c r="J33" s="13" t="s">
        <v>1045</v>
      </c>
      <c r="K33" s="13" t="s">
        <v>1046</v>
      </c>
      <c r="L33" s="13" t="s">
        <v>1047</v>
      </c>
      <c r="M33" s="13" t="s">
        <v>1002</v>
      </c>
      <c r="N33" s="13" t="s">
        <v>1003</v>
      </c>
    </row>
    <row r="34" spans="1:14" ht="41.4" x14ac:dyDescent="0.3">
      <c r="A34" s="13">
        <v>32</v>
      </c>
      <c r="B34" s="13" t="s">
        <v>1040</v>
      </c>
      <c r="C34" s="13" t="s">
        <v>1085</v>
      </c>
      <c r="D34" s="13" t="s">
        <v>943</v>
      </c>
      <c r="E34" s="19">
        <f>'Service Line TAM'!D9</f>
        <v>0.82850000000000001</v>
      </c>
      <c r="F34" s="13" t="s">
        <v>1026</v>
      </c>
      <c r="G34" s="13" t="s">
        <v>1049</v>
      </c>
      <c r="H34" s="13" t="s">
        <v>1050</v>
      </c>
      <c r="I34" s="13" t="s">
        <v>1051</v>
      </c>
      <c r="J34" s="13" t="s">
        <v>1052</v>
      </c>
      <c r="K34" s="13" t="s">
        <v>1053</v>
      </c>
      <c r="L34" s="13"/>
      <c r="M34" s="13" t="s">
        <v>1054</v>
      </c>
      <c r="N34" s="13" t="s">
        <v>1003</v>
      </c>
    </row>
    <row r="35" spans="1:14" ht="55.2" x14ac:dyDescent="0.3">
      <c r="A35" s="13">
        <v>33</v>
      </c>
      <c r="B35" s="13" t="s">
        <v>1040</v>
      </c>
      <c r="C35" s="13" t="s">
        <v>1086</v>
      </c>
      <c r="D35" s="13" t="s">
        <v>944</v>
      </c>
      <c r="E35" s="19">
        <f>'Service Line TAM'!E9</f>
        <v>0.67</v>
      </c>
      <c r="F35" s="13" t="s">
        <v>1026</v>
      </c>
      <c r="G35" s="13" t="s">
        <v>1027</v>
      </c>
      <c r="H35" s="13" t="s">
        <v>1056</v>
      </c>
      <c r="I35" s="13" t="s">
        <v>1057</v>
      </c>
      <c r="J35" s="13" t="s">
        <v>1058</v>
      </c>
      <c r="K35" s="13" t="s">
        <v>1031</v>
      </c>
      <c r="L35" s="13" t="s">
        <v>1059</v>
      </c>
      <c r="M35" s="13" t="s">
        <v>1002</v>
      </c>
      <c r="N35" s="13" t="s">
        <v>1003</v>
      </c>
    </row>
    <row r="36" spans="1:14" ht="41.4" x14ac:dyDescent="0.3">
      <c r="A36" s="13">
        <v>34</v>
      </c>
      <c r="B36" s="13" t="s">
        <v>1040</v>
      </c>
      <c r="C36" s="13" t="s">
        <v>1087</v>
      </c>
      <c r="D36" s="13" t="s">
        <v>945</v>
      </c>
      <c r="E36" s="19" t="e">
        <f>'Service Line TAM'!#REF!</f>
        <v>#REF!</v>
      </c>
      <c r="F36" s="13" t="s">
        <v>1026</v>
      </c>
      <c r="G36" s="13" t="s">
        <v>1027</v>
      </c>
      <c r="H36" s="13" t="s">
        <v>1061</v>
      </c>
      <c r="I36" s="13" t="s">
        <v>1062</v>
      </c>
      <c r="J36" s="13" t="s">
        <v>1063</v>
      </c>
      <c r="K36" s="13" t="s">
        <v>1038</v>
      </c>
      <c r="L36" s="13"/>
      <c r="M36" s="13" t="s">
        <v>1018</v>
      </c>
      <c r="N36" s="13" t="s">
        <v>1003</v>
      </c>
    </row>
    <row r="37" spans="1:14" ht="55.2" x14ac:dyDescent="0.3">
      <c r="A37" s="13">
        <v>35</v>
      </c>
      <c r="B37" s="13" t="s">
        <v>1040</v>
      </c>
      <c r="C37" s="13" t="s">
        <v>1088</v>
      </c>
      <c r="D37" s="13" t="s">
        <v>942</v>
      </c>
      <c r="E37" s="19" t="e">
        <f>'Service Line TAM'!#REF!</f>
        <v>#REF!</v>
      </c>
      <c r="F37" s="13" t="s">
        <v>1026</v>
      </c>
      <c r="G37" s="13" t="s">
        <v>1042</v>
      </c>
      <c r="H37" s="13" t="s">
        <v>1043</v>
      </c>
      <c r="I37" s="13" t="s">
        <v>1044</v>
      </c>
      <c r="J37" s="13" t="s">
        <v>1045</v>
      </c>
      <c r="K37" s="13" t="s">
        <v>1046</v>
      </c>
      <c r="L37" s="13" t="s">
        <v>1047</v>
      </c>
      <c r="M37" s="13" t="s">
        <v>1002</v>
      </c>
      <c r="N37" s="13" t="s">
        <v>1003</v>
      </c>
    </row>
    <row r="38" spans="1:14" ht="41.4" x14ac:dyDescent="0.3">
      <c r="A38" s="13">
        <v>36</v>
      </c>
      <c r="B38" s="13" t="s">
        <v>1040</v>
      </c>
      <c r="C38" s="13" t="s">
        <v>1089</v>
      </c>
      <c r="D38" s="13" t="s">
        <v>943</v>
      </c>
      <c r="E38" s="19" t="e">
        <f>'Service Line TAM'!#REF!</f>
        <v>#REF!</v>
      </c>
      <c r="F38" s="13" t="s">
        <v>1026</v>
      </c>
      <c r="G38" s="13" t="s">
        <v>1049</v>
      </c>
      <c r="H38" s="13" t="s">
        <v>1050</v>
      </c>
      <c r="I38" s="13" t="s">
        <v>1051</v>
      </c>
      <c r="J38" s="13" t="s">
        <v>1052</v>
      </c>
      <c r="K38" s="13" t="s">
        <v>1053</v>
      </c>
      <c r="L38" s="13"/>
      <c r="M38" s="13" t="s">
        <v>1054</v>
      </c>
      <c r="N38" s="13" t="s">
        <v>1003</v>
      </c>
    </row>
    <row r="39" spans="1:14" ht="55.2" x14ac:dyDescent="0.3">
      <c r="A39" s="13">
        <v>37</v>
      </c>
      <c r="B39" s="13" t="s">
        <v>1040</v>
      </c>
      <c r="C39" s="13" t="s">
        <v>1090</v>
      </c>
      <c r="D39" s="13" t="s">
        <v>944</v>
      </c>
      <c r="E39" s="19" t="e">
        <f>'Service Line TAM'!#REF!</f>
        <v>#REF!</v>
      </c>
      <c r="F39" s="13" t="s">
        <v>1026</v>
      </c>
      <c r="G39" s="13" t="s">
        <v>1027</v>
      </c>
      <c r="H39" s="13" t="s">
        <v>1056</v>
      </c>
      <c r="I39" s="13" t="s">
        <v>1057</v>
      </c>
      <c r="J39" s="13" t="s">
        <v>1058</v>
      </c>
      <c r="K39" s="13" t="s">
        <v>1031</v>
      </c>
      <c r="L39" s="13" t="s">
        <v>1059</v>
      </c>
      <c r="M39" s="13" t="s">
        <v>1002</v>
      </c>
      <c r="N39" s="13" t="s">
        <v>1003</v>
      </c>
    </row>
    <row r="40" spans="1:14" ht="41.4" x14ac:dyDescent="0.3">
      <c r="A40" s="13">
        <v>38</v>
      </c>
      <c r="B40" s="13" t="s">
        <v>1040</v>
      </c>
      <c r="C40" s="13" t="s">
        <v>1091</v>
      </c>
      <c r="D40" s="13" t="s">
        <v>945</v>
      </c>
      <c r="E40" s="19" t="e">
        <f>'Service Line TAM'!#REF!</f>
        <v>#REF!</v>
      </c>
      <c r="F40" s="13" t="s">
        <v>1026</v>
      </c>
      <c r="G40" s="13" t="s">
        <v>1027</v>
      </c>
      <c r="H40" s="13" t="s">
        <v>1061</v>
      </c>
      <c r="I40" s="13" t="s">
        <v>1062</v>
      </c>
      <c r="J40" s="13" t="s">
        <v>1063</v>
      </c>
      <c r="K40" s="13" t="s">
        <v>1038</v>
      </c>
      <c r="L40" s="13"/>
      <c r="M40" s="13" t="s">
        <v>1018</v>
      </c>
      <c r="N40" s="13" t="s">
        <v>1003</v>
      </c>
    </row>
    <row r="41" spans="1:14" ht="55.2" x14ac:dyDescent="0.3">
      <c r="A41" s="13">
        <v>39</v>
      </c>
      <c r="B41" s="13" t="s">
        <v>1040</v>
      </c>
      <c r="C41" s="13" t="s">
        <v>1092</v>
      </c>
      <c r="D41" s="13" t="s">
        <v>942</v>
      </c>
      <c r="E41" s="19" t="e">
        <f>'Service Line TAM'!#REF!</f>
        <v>#REF!</v>
      </c>
      <c r="F41" s="13" t="s">
        <v>1026</v>
      </c>
      <c r="G41" s="13" t="s">
        <v>1042</v>
      </c>
      <c r="H41" s="13" t="s">
        <v>1043</v>
      </c>
      <c r="I41" s="13" t="s">
        <v>1044</v>
      </c>
      <c r="J41" s="13" t="s">
        <v>1045</v>
      </c>
      <c r="K41" s="13" t="s">
        <v>1046</v>
      </c>
      <c r="L41" s="13" t="s">
        <v>1047</v>
      </c>
      <c r="M41" s="13" t="s">
        <v>1002</v>
      </c>
      <c r="N41" s="13" t="s">
        <v>1003</v>
      </c>
    </row>
    <row r="42" spans="1:14" ht="41.4" x14ac:dyDescent="0.3">
      <c r="A42" s="13">
        <v>40</v>
      </c>
      <c r="B42" s="13" t="s">
        <v>1040</v>
      </c>
      <c r="C42" s="13" t="s">
        <v>1093</v>
      </c>
      <c r="D42" s="13" t="s">
        <v>943</v>
      </c>
      <c r="E42" s="19">
        <f>'Service Line TAM'!D10</f>
        <v>0.62425000000000008</v>
      </c>
      <c r="F42" s="13" t="s">
        <v>1026</v>
      </c>
      <c r="G42" s="13" t="s">
        <v>1049</v>
      </c>
      <c r="H42" s="13" t="s">
        <v>1050</v>
      </c>
      <c r="I42" s="13" t="s">
        <v>1051</v>
      </c>
      <c r="J42" s="13" t="s">
        <v>1052</v>
      </c>
      <c r="K42" s="13" t="s">
        <v>1053</v>
      </c>
      <c r="L42" s="13"/>
      <c r="M42" s="13" t="s">
        <v>1054</v>
      </c>
      <c r="N42" s="13" t="s">
        <v>1003</v>
      </c>
    </row>
    <row r="43" spans="1:14" ht="55.2" x14ac:dyDescent="0.3">
      <c r="A43" s="13">
        <v>41</v>
      </c>
      <c r="B43" s="13" t="s">
        <v>1040</v>
      </c>
      <c r="C43" s="13" t="s">
        <v>1094</v>
      </c>
      <c r="D43" s="13" t="s">
        <v>944</v>
      </c>
      <c r="E43" s="19">
        <f>'Service Line TAM'!E10</f>
        <v>0.32</v>
      </c>
      <c r="F43" s="13" t="s">
        <v>1026</v>
      </c>
      <c r="G43" s="13" t="s">
        <v>1027</v>
      </c>
      <c r="H43" s="13" t="s">
        <v>1056</v>
      </c>
      <c r="I43" s="13" t="s">
        <v>1057</v>
      </c>
      <c r="J43" s="13" t="s">
        <v>1058</v>
      </c>
      <c r="K43" s="13" t="s">
        <v>1031</v>
      </c>
      <c r="L43" s="13" t="s">
        <v>1059</v>
      </c>
      <c r="M43" s="13" t="s">
        <v>1002</v>
      </c>
      <c r="N43" s="13" t="s">
        <v>1003</v>
      </c>
    </row>
    <row r="44" spans="1:14" ht="41.4" x14ac:dyDescent="0.3">
      <c r="A44" s="13">
        <v>42</v>
      </c>
      <c r="B44" s="13" t="s">
        <v>1040</v>
      </c>
      <c r="C44" s="13" t="s">
        <v>1095</v>
      </c>
      <c r="D44" s="13" t="s">
        <v>945</v>
      </c>
      <c r="E44" s="19" t="e">
        <f>'Service Line TAM'!#REF!</f>
        <v>#REF!</v>
      </c>
      <c r="F44" s="13" t="s">
        <v>1026</v>
      </c>
      <c r="G44" s="13" t="s">
        <v>1027</v>
      </c>
      <c r="H44" s="13" t="s">
        <v>1061</v>
      </c>
      <c r="I44" s="13" t="s">
        <v>1062</v>
      </c>
      <c r="J44" s="13" t="s">
        <v>1063</v>
      </c>
      <c r="K44" s="13" t="s">
        <v>1038</v>
      </c>
      <c r="L44" s="13"/>
      <c r="M44" s="13" t="s">
        <v>1018</v>
      </c>
      <c r="N44" s="13" t="s">
        <v>1003</v>
      </c>
    </row>
    <row r="45" spans="1:14" ht="55.2" x14ac:dyDescent="0.3">
      <c r="A45" s="13">
        <v>43</v>
      </c>
      <c r="B45" s="13" t="s">
        <v>1096</v>
      </c>
      <c r="C45" s="13" t="s">
        <v>1097</v>
      </c>
      <c r="D45" s="13" t="s">
        <v>1098</v>
      </c>
      <c r="E45" s="18">
        <f>'Adjacent TAM Detail'!C3</f>
        <v>4800</v>
      </c>
      <c r="F45" s="13" t="s">
        <v>1099</v>
      </c>
      <c r="G45" s="13" t="s">
        <v>1100</v>
      </c>
      <c r="H45" s="13" t="s">
        <v>1101</v>
      </c>
      <c r="I45" s="13" t="s">
        <v>1102</v>
      </c>
      <c r="J45" s="13" t="s">
        <v>1103</v>
      </c>
      <c r="K45" s="13" t="s">
        <v>1046</v>
      </c>
      <c r="L45" s="13" t="s">
        <v>1104</v>
      </c>
      <c r="M45" s="13" t="s">
        <v>1002</v>
      </c>
      <c r="N45" s="13" t="s">
        <v>1003</v>
      </c>
    </row>
    <row r="46" spans="1:14" ht="41.4" x14ac:dyDescent="0.3">
      <c r="A46" s="13">
        <v>44</v>
      </c>
      <c r="B46" s="13" t="s">
        <v>1096</v>
      </c>
      <c r="C46" s="13" t="s">
        <v>1105</v>
      </c>
      <c r="D46" s="13" t="s">
        <v>1106</v>
      </c>
      <c r="E46" s="18">
        <f>'Adjacent TAM Detail'!D3</f>
        <v>6200</v>
      </c>
      <c r="F46" s="13" t="s">
        <v>1099</v>
      </c>
      <c r="G46" s="13" t="s">
        <v>1100</v>
      </c>
      <c r="H46" s="13" t="s">
        <v>1107</v>
      </c>
      <c r="I46" s="13" t="s">
        <v>1108</v>
      </c>
      <c r="J46" s="13" t="s">
        <v>1103</v>
      </c>
      <c r="K46" s="13" t="s">
        <v>1038</v>
      </c>
      <c r="L46" s="13" t="s">
        <v>1104</v>
      </c>
      <c r="M46" s="13" t="s">
        <v>1002</v>
      </c>
      <c r="N46" s="13" t="s">
        <v>1003</v>
      </c>
    </row>
    <row r="47" spans="1:14" ht="41.4" x14ac:dyDescent="0.3">
      <c r="A47" s="13">
        <v>45</v>
      </c>
      <c r="B47" s="13" t="s">
        <v>1109</v>
      </c>
      <c r="C47" s="13" t="s">
        <v>1110</v>
      </c>
      <c r="D47" s="13" t="s">
        <v>1111</v>
      </c>
      <c r="E47" s="19">
        <f>'Adjacent TAM Detail'!E3</f>
        <v>0.72</v>
      </c>
      <c r="F47" s="13" t="s">
        <v>1026</v>
      </c>
      <c r="G47" s="13" t="s">
        <v>1100</v>
      </c>
      <c r="H47" s="13" t="s">
        <v>1112</v>
      </c>
      <c r="I47" s="13" t="s">
        <v>1113</v>
      </c>
      <c r="J47" s="13" t="s">
        <v>1114</v>
      </c>
      <c r="K47" s="13" t="s">
        <v>1031</v>
      </c>
      <c r="L47" s="13" t="s">
        <v>1115</v>
      </c>
      <c r="M47" s="13" t="s">
        <v>1002</v>
      </c>
      <c r="N47" s="13" t="s">
        <v>1003</v>
      </c>
    </row>
    <row r="48" spans="1:14" ht="41.4" x14ac:dyDescent="0.3">
      <c r="A48" s="13">
        <v>46</v>
      </c>
      <c r="B48" s="13" t="s">
        <v>1109</v>
      </c>
      <c r="C48" s="13" t="s">
        <v>1116</v>
      </c>
      <c r="D48" s="13" t="s">
        <v>1117</v>
      </c>
      <c r="E48" s="19">
        <f>'Adjacent TAM Detail'!F3</f>
        <v>0.15</v>
      </c>
      <c r="F48" s="13" t="s">
        <v>1026</v>
      </c>
      <c r="G48" s="13" t="s">
        <v>1100</v>
      </c>
      <c r="H48" s="13" t="s">
        <v>1112</v>
      </c>
      <c r="I48" s="13" t="s">
        <v>1118</v>
      </c>
      <c r="J48" s="13" t="s">
        <v>1119</v>
      </c>
      <c r="K48" s="13" t="s">
        <v>1031</v>
      </c>
      <c r="L48" s="13" t="s">
        <v>1115</v>
      </c>
      <c r="M48" s="13" t="s">
        <v>1002</v>
      </c>
      <c r="N48" s="13" t="s">
        <v>1003</v>
      </c>
    </row>
    <row r="49" spans="1:14" ht="55.2" x14ac:dyDescent="0.3">
      <c r="A49" s="13">
        <v>47</v>
      </c>
      <c r="B49" s="13" t="s">
        <v>1109</v>
      </c>
      <c r="C49" s="13" t="s">
        <v>1120</v>
      </c>
      <c r="D49" s="13" t="s">
        <v>1121</v>
      </c>
      <c r="E49" s="19">
        <f>'Adjacent TAM Detail'!G3</f>
        <v>0.01</v>
      </c>
      <c r="F49" s="13" t="s">
        <v>1026</v>
      </c>
      <c r="G49" s="13" t="s">
        <v>1100</v>
      </c>
      <c r="H49" s="13" t="s">
        <v>1122</v>
      </c>
      <c r="I49" s="13" t="s">
        <v>1123</v>
      </c>
      <c r="J49" s="13" t="s">
        <v>1124</v>
      </c>
      <c r="K49" s="13" t="s">
        <v>1031</v>
      </c>
      <c r="L49" s="13" t="s">
        <v>1125</v>
      </c>
      <c r="M49" s="13" t="s">
        <v>1002</v>
      </c>
      <c r="N49" s="13" t="s">
        <v>1003</v>
      </c>
    </row>
    <row r="50" spans="1:14" ht="55.2" x14ac:dyDescent="0.3">
      <c r="A50" s="13">
        <v>48</v>
      </c>
      <c r="B50" s="13" t="s">
        <v>1096</v>
      </c>
      <c r="C50" s="13" t="s">
        <v>1126</v>
      </c>
      <c r="D50" s="13" t="s">
        <v>1127</v>
      </c>
      <c r="E50" s="18">
        <f>'Adjacent TAM Detail'!C4</f>
        <v>4200</v>
      </c>
      <c r="F50" s="13" t="s">
        <v>1099</v>
      </c>
      <c r="G50" s="13" t="s">
        <v>1100</v>
      </c>
      <c r="H50" s="13" t="s">
        <v>1101</v>
      </c>
      <c r="I50" s="13" t="s">
        <v>1102</v>
      </c>
      <c r="J50" s="13" t="s">
        <v>1103</v>
      </c>
      <c r="K50" s="13" t="s">
        <v>1046</v>
      </c>
      <c r="L50" s="13" t="s">
        <v>1104</v>
      </c>
      <c r="M50" s="13" t="s">
        <v>1002</v>
      </c>
      <c r="N50" s="13" t="s">
        <v>1003</v>
      </c>
    </row>
    <row r="51" spans="1:14" ht="41.4" x14ac:dyDescent="0.3">
      <c r="A51" s="13">
        <v>49</v>
      </c>
      <c r="B51" s="13" t="s">
        <v>1096</v>
      </c>
      <c r="C51" s="13" t="s">
        <v>1128</v>
      </c>
      <c r="D51" s="13" t="s">
        <v>1129</v>
      </c>
      <c r="E51" s="18">
        <f>'Adjacent TAM Detail'!D4</f>
        <v>5099.9999999999964</v>
      </c>
      <c r="F51" s="13" t="s">
        <v>1099</v>
      </c>
      <c r="G51" s="13" t="s">
        <v>1100</v>
      </c>
      <c r="H51" s="13" t="s">
        <v>1107</v>
      </c>
      <c r="I51" s="13" t="s">
        <v>1108</v>
      </c>
      <c r="J51" s="13" t="s">
        <v>1103</v>
      </c>
      <c r="K51" s="13" t="s">
        <v>1038</v>
      </c>
      <c r="L51" s="13" t="s">
        <v>1104</v>
      </c>
      <c r="M51" s="13" t="s">
        <v>1002</v>
      </c>
      <c r="N51" s="13" t="s">
        <v>1003</v>
      </c>
    </row>
    <row r="52" spans="1:14" ht="41.4" x14ac:dyDescent="0.3">
      <c r="A52" s="13">
        <v>50</v>
      </c>
      <c r="B52" s="13" t="s">
        <v>1109</v>
      </c>
      <c r="C52" s="13" t="s">
        <v>1130</v>
      </c>
      <c r="D52" s="13" t="s">
        <v>1131</v>
      </c>
      <c r="E52" s="19">
        <f>'Adjacent TAM Detail'!E4</f>
        <v>0.52</v>
      </c>
      <c r="F52" s="13" t="s">
        <v>1026</v>
      </c>
      <c r="G52" s="13" t="s">
        <v>1100</v>
      </c>
      <c r="H52" s="13" t="s">
        <v>1112</v>
      </c>
      <c r="I52" s="13" t="s">
        <v>1113</v>
      </c>
      <c r="J52" s="13" t="s">
        <v>1114</v>
      </c>
      <c r="K52" s="13" t="s">
        <v>1031</v>
      </c>
      <c r="L52" s="13" t="s">
        <v>1115</v>
      </c>
      <c r="M52" s="13" t="s">
        <v>1002</v>
      </c>
      <c r="N52" s="13" t="s">
        <v>1003</v>
      </c>
    </row>
    <row r="53" spans="1:14" ht="41.4" x14ac:dyDescent="0.3">
      <c r="A53" s="13">
        <v>51</v>
      </c>
      <c r="B53" s="13" t="s">
        <v>1109</v>
      </c>
      <c r="C53" s="13" t="s">
        <v>1132</v>
      </c>
      <c r="D53" s="13" t="s">
        <v>1133</v>
      </c>
      <c r="E53" s="19">
        <f>'Adjacent TAM Detail'!F4</f>
        <v>0.22</v>
      </c>
      <c r="F53" s="13" t="s">
        <v>1026</v>
      </c>
      <c r="G53" s="13" t="s">
        <v>1100</v>
      </c>
      <c r="H53" s="13" t="s">
        <v>1112</v>
      </c>
      <c r="I53" s="13" t="s">
        <v>1118</v>
      </c>
      <c r="J53" s="13" t="s">
        <v>1119</v>
      </c>
      <c r="K53" s="13" t="s">
        <v>1031</v>
      </c>
      <c r="L53" s="13" t="s">
        <v>1115</v>
      </c>
      <c r="M53" s="13" t="s">
        <v>1002</v>
      </c>
      <c r="N53" s="13" t="s">
        <v>1003</v>
      </c>
    </row>
    <row r="54" spans="1:14" ht="55.2" x14ac:dyDescent="0.3">
      <c r="A54" s="13">
        <v>52</v>
      </c>
      <c r="B54" s="13" t="s">
        <v>1109</v>
      </c>
      <c r="C54" s="13" t="s">
        <v>1134</v>
      </c>
      <c r="D54" s="13" t="s">
        <v>1135</v>
      </c>
      <c r="E54" s="19">
        <f>'Adjacent TAM Detail'!G4</f>
        <v>0.05</v>
      </c>
      <c r="F54" s="13" t="s">
        <v>1026</v>
      </c>
      <c r="G54" s="13" t="s">
        <v>1100</v>
      </c>
      <c r="H54" s="13" t="s">
        <v>1122</v>
      </c>
      <c r="I54" s="13" t="s">
        <v>1123</v>
      </c>
      <c r="J54" s="13" t="s">
        <v>1124</v>
      </c>
      <c r="K54" s="13" t="s">
        <v>1031</v>
      </c>
      <c r="L54" s="13" t="s">
        <v>1125</v>
      </c>
      <c r="M54" s="13" t="s">
        <v>1002</v>
      </c>
      <c r="N54" s="13" t="s">
        <v>1003</v>
      </c>
    </row>
    <row r="55" spans="1:14" ht="55.2" x14ac:dyDescent="0.3">
      <c r="A55" s="13">
        <v>53</v>
      </c>
      <c r="B55" s="13" t="s">
        <v>1096</v>
      </c>
      <c r="C55" s="13" t="s">
        <v>1136</v>
      </c>
      <c r="D55" s="13" t="s">
        <v>1137</v>
      </c>
      <c r="E55" s="18">
        <f>'Adjacent TAM Detail'!C5</f>
        <v>6100</v>
      </c>
      <c r="F55" s="13" t="s">
        <v>1099</v>
      </c>
      <c r="G55" s="13" t="s">
        <v>1100</v>
      </c>
      <c r="H55" s="13" t="s">
        <v>1101</v>
      </c>
      <c r="I55" s="13" t="s">
        <v>1102</v>
      </c>
      <c r="J55" s="13" t="s">
        <v>1103</v>
      </c>
      <c r="K55" s="13" t="s">
        <v>1046</v>
      </c>
      <c r="L55" s="13" t="s">
        <v>1104</v>
      </c>
      <c r="M55" s="13" t="s">
        <v>1002</v>
      </c>
      <c r="N55" s="13" t="s">
        <v>1003</v>
      </c>
    </row>
    <row r="56" spans="1:14" ht="41.4" x14ac:dyDescent="0.3">
      <c r="A56" s="13">
        <v>54</v>
      </c>
      <c r="B56" s="13" t="s">
        <v>1096</v>
      </c>
      <c r="C56" s="13" t="s">
        <v>1138</v>
      </c>
      <c r="D56" s="13" t="s">
        <v>1139</v>
      </c>
      <c r="E56" s="18">
        <f>'Adjacent TAM Detail'!D5</f>
        <v>7500.0000000000045</v>
      </c>
      <c r="F56" s="13" t="s">
        <v>1099</v>
      </c>
      <c r="G56" s="13" t="s">
        <v>1100</v>
      </c>
      <c r="H56" s="13" t="s">
        <v>1107</v>
      </c>
      <c r="I56" s="13" t="s">
        <v>1108</v>
      </c>
      <c r="J56" s="13" t="s">
        <v>1103</v>
      </c>
      <c r="K56" s="13" t="s">
        <v>1038</v>
      </c>
      <c r="L56" s="13" t="s">
        <v>1104</v>
      </c>
      <c r="M56" s="13" t="s">
        <v>1002</v>
      </c>
      <c r="N56" s="13" t="s">
        <v>1003</v>
      </c>
    </row>
    <row r="57" spans="1:14" ht="41.4" x14ac:dyDescent="0.3">
      <c r="A57" s="13">
        <v>55</v>
      </c>
      <c r="B57" s="13" t="s">
        <v>1109</v>
      </c>
      <c r="C57" s="13" t="s">
        <v>1140</v>
      </c>
      <c r="D57" s="13" t="s">
        <v>1141</v>
      </c>
      <c r="E57" s="19">
        <f>'Adjacent TAM Detail'!E5</f>
        <v>0.72</v>
      </c>
      <c r="F57" s="13" t="s">
        <v>1026</v>
      </c>
      <c r="G57" s="13" t="s">
        <v>1100</v>
      </c>
      <c r="H57" s="13" t="s">
        <v>1112</v>
      </c>
      <c r="I57" s="13" t="s">
        <v>1113</v>
      </c>
      <c r="J57" s="13" t="s">
        <v>1114</v>
      </c>
      <c r="K57" s="13" t="s">
        <v>1031</v>
      </c>
      <c r="L57" s="13" t="s">
        <v>1115</v>
      </c>
      <c r="M57" s="13" t="s">
        <v>1002</v>
      </c>
      <c r="N57" s="13" t="s">
        <v>1003</v>
      </c>
    </row>
    <row r="58" spans="1:14" ht="41.4" x14ac:dyDescent="0.3">
      <c r="A58" s="13">
        <v>56</v>
      </c>
      <c r="B58" s="13" t="s">
        <v>1109</v>
      </c>
      <c r="C58" s="13" t="s">
        <v>1142</v>
      </c>
      <c r="D58" s="13" t="s">
        <v>1143</v>
      </c>
      <c r="E58" s="19">
        <f>'Adjacent TAM Detail'!F5</f>
        <v>0.16</v>
      </c>
      <c r="F58" s="13" t="s">
        <v>1026</v>
      </c>
      <c r="G58" s="13" t="s">
        <v>1100</v>
      </c>
      <c r="H58" s="13" t="s">
        <v>1112</v>
      </c>
      <c r="I58" s="13" t="s">
        <v>1118</v>
      </c>
      <c r="J58" s="13" t="s">
        <v>1119</v>
      </c>
      <c r="K58" s="13" t="s">
        <v>1031</v>
      </c>
      <c r="L58" s="13" t="s">
        <v>1115</v>
      </c>
      <c r="M58" s="13" t="s">
        <v>1002</v>
      </c>
      <c r="N58" s="13" t="s">
        <v>1003</v>
      </c>
    </row>
    <row r="59" spans="1:14" ht="55.2" x14ac:dyDescent="0.3">
      <c r="A59" s="13">
        <v>57</v>
      </c>
      <c r="B59" s="13" t="s">
        <v>1109</v>
      </c>
      <c r="C59" s="13" t="s">
        <v>1144</v>
      </c>
      <c r="D59" s="13" t="s">
        <v>1145</v>
      </c>
      <c r="E59" s="19">
        <f>'Adjacent TAM Detail'!G5</f>
        <v>0.02</v>
      </c>
      <c r="F59" s="13" t="s">
        <v>1026</v>
      </c>
      <c r="G59" s="13" t="s">
        <v>1100</v>
      </c>
      <c r="H59" s="13" t="s">
        <v>1122</v>
      </c>
      <c r="I59" s="13" t="s">
        <v>1123</v>
      </c>
      <c r="J59" s="13" t="s">
        <v>1124</v>
      </c>
      <c r="K59" s="13" t="s">
        <v>1031</v>
      </c>
      <c r="L59" s="13" t="s">
        <v>1125</v>
      </c>
      <c r="M59" s="13" t="s">
        <v>1002</v>
      </c>
      <c r="N59" s="13" t="s">
        <v>1003</v>
      </c>
    </row>
    <row r="60" spans="1:14" ht="55.2" x14ac:dyDescent="0.3">
      <c r="A60" s="13">
        <v>58</v>
      </c>
      <c r="B60" s="13" t="s">
        <v>1096</v>
      </c>
      <c r="C60" s="13" t="s">
        <v>1146</v>
      </c>
      <c r="D60" s="13" t="s">
        <v>1147</v>
      </c>
      <c r="E60" s="18">
        <f>'Adjacent TAM Detail'!C6</f>
        <v>13700</v>
      </c>
      <c r="F60" s="13" t="s">
        <v>1099</v>
      </c>
      <c r="G60" s="13" t="s">
        <v>1100</v>
      </c>
      <c r="H60" s="13" t="s">
        <v>1101</v>
      </c>
      <c r="I60" s="13" t="s">
        <v>1102</v>
      </c>
      <c r="J60" s="13" t="s">
        <v>1103</v>
      </c>
      <c r="K60" s="13" t="s">
        <v>1046</v>
      </c>
      <c r="L60" s="13" t="s">
        <v>1104</v>
      </c>
      <c r="M60" s="13" t="s">
        <v>1002</v>
      </c>
      <c r="N60" s="13" t="s">
        <v>1003</v>
      </c>
    </row>
    <row r="61" spans="1:14" ht="41.4" x14ac:dyDescent="0.3">
      <c r="A61" s="13">
        <v>59</v>
      </c>
      <c r="B61" s="13" t="s">
        <v>1096</v>
      </c>
      <c r="C61" s="13" t="s">
        <v>1148</v>
      </c>
      <c r="D61" s="13" t="s">
        <v>1149</v>
      </c>
      <c r="E61" s="18">
        <f>'Adjacent TAM Detail'!D6</f>
        <v>17599.999999999989</v>
      </c>
      <c r="F61" s="13" t="s">
        <v>1099</v>
      </c>
      <c r="G61" s="13" t="s">
        <v>1100</v>
      </c>
      <c r="H61" s="13" t="s">
        <v>1107</v>
      </c>
      <c r="I61" s="13" t="s">
        <v>1108</v>
      </c>
      <c r="J61" s="13" t="s">
        <v>1103</v>
      </c>
      <c r="K61" s="13" t="s">
        <v>1038</v>
      </c>
      <c r="L61" s="13" t="s">
        <v>1104</v>
      </c>
      <c r="M61" s="13" t="s">
        <v>1002</v>
      </c>
      <c r="N61" s="13" t="s">
        <v>1003</v>
      </c>
    </row>
    <row r="62" spans="1:14" ht="41.4" x14ac:dyDescent="0.3">
      <c r="A62" s="13">
        <v>60</v>
      </c>
      <c r="B62" s="13" t="s">
        <v>1109</v>
      </c>
      <c r="C62" s="13" t="s">
        <v>1150</v>
      </c>
      <c r="D62" s="13" t="s">
        <v>1151</v>
      </c>
      <c r="E62" s="19">
        <f>'Adjacent TAM Detail'!E6</f>
        <v>0.5</v>
      </c>
      <c r="F62" s="13" t="s">
        <v>1026</v>
      </c>
      <c r="G62" s="13" t="s">
        <v>1100</v>
      </c>
      <c r="H62" s="13" t="s">
        <v>1112</v>
      </c>
      <c r="I62" s="13" t="s">
        <v>1113</v>
      </c>
      <c r="J62" s="13" t="s">
        <v>1114</v>
      </c>
      <c r="K62" s="13" t="s">
        <v>1031</v>
      </c>
      <c r="L62" s="13" t="s">
        <v>1115</v>
      </c>
      <c r="M62" s="13" t="s">
        <v>1002</v>
      </c>
      <c r="N62" s="13" t="s">
        <v>1003</v>
      </c>
    </row>
    <row r="63" spans="1:14" ht="41.4" x14ac:dyDescent="0.3">
      <c r="A63" s="13">
        <v>61</v>
      </c>
      <c r="B63" s="13" t="s">
        <v>1109</v>
      </c>
      <c r="C63" s="13" t="s">
        <v>1152</v>
      </c>
      <c r="D63" s="13" t="s">
        <v>1153</v>
      </c>
      <c r="E63" s="19">
        <f>'Adjacent TAM Detail'!F6</f>
        <v>0.25</v>
      </c>
      <c r="F63" s="13" t="s">
        <v>1026</v>
      </c>
      <c r="G63" s="13" t="s">
        <v>1100</v>
      </c>
      <c r="H63" s="13" t="s">
        <v>1112</v>
      </c>
      <c r="I63" s="13" t="s">
        <v>1118</v>
      </c>
      <c r="J63" s="13" t="s">
        <v>1119</v>
      </c>
      <c r="K63" s="13" t="s">
        <v>1031</v>
      </c>
      <c r="L63" s="13" t="s">
        <v>1115</v>
      </c>
      <c r="M63" s="13" t="s">
        <v>1002</v>
      </c>
      <c r="N63" s="13" t="s">
        <v>1003</v>
      </c>
    </row>
    <row r="64" spans="1:14" ht="55.2" x14ac:dyDescent="0.3">
      <c r="A64" s="13">
        <v>62</v>
      </c>
      <c r="B64" s="13" t="s">
        <v>1109</v>
      </c>
      <c r="C64" s="13" t="s">
        <v>1154</v>
      </c>
      <c r="D64" s="13" t="s">
        <v>1155</v>
      </c>
      <c r="E64" s="19">
        <f>'Adjacent TAM Detail'!G6</f>
        <v>2.5000000000000001E-2</v>
      </c>
      <c r="F64" s="13" t="s">
        <v>1026</v>
      </c>
      <c r="G64" s="13" t="s">
        <v>1100</v>
      </c>
      <c r="H64" s="13" t="s">
        <v>1122</v>
      </c>
      <c r="I64" s="13" t="s">
        <v>1123</v>
      </c>
      <c r="J64" s="13" t="s">
        <v>1124</v>
      </c>
      <c r="K64" s="13" t="s">
        <v>1031</v>
      </c>
      <c r="L64" s="13" t="s">
        <v>1125</v>
      </c>
      <c r="M64" s="13" t="s">
        <v>1002</v>
      </c>
      <c r="N64" s="13" t="s">
        <v>1003</v>
      </c>
    </row>
    <row r="65" spans="1:14" ht="55.2" x14ac:dyDescent="0.3">
      <c r="A65" s="13">
        <v>63</v>
      </c>
      <c r="B65" s="13" t="s">
        <v>1096</v>
      </c>
      <c r="C65" s="13" t="s">
        <v>1156</v>
      </c>
      <c r="D65" s="13" t="s">
        <v>1157</v>
      </c>
      <c r="E65" s="18">
        <f>'Adjacent TAM Detail'!C7</f>
        <v>6500</v>
      </c>
      <c r="F65" s="13" t="s">
        <v>1099</v>
      </c>
      <c r="G65" s="13" t="s">
        <v>1100</v>
      </c>
      <c r="H65" s="13" t="s">
        <v>1101</v>
      </c>
      <c r="I65" s="13" t="s">
        <v>1102</v>
      </c>
      <c r="J65" s="13" t="s">
        <v>1103</v>
      </c>
      <c r="K65" s="13" t="s">
        <v>1046</v>
      </c>
      <c r="L65" s="13" t="s">
        <v>1104</v>
      </c>
      <c r="M65" s="13" t="s">
        <v>1002</v>
      </c>
      <c r="N65" s="13" t="s">
        <v>1003</v>
      </c>
    </row>
    <row r="66" spans="1:14" ht="41.4" x14ac:dyDescent="0.3">
      <c r="A66" s="13">
        <v>64</v>
      </c>
      <c r="B66" s="13" t="s">
        <v>1096</v>
      </c>
      <c r="C66" s="13" t="s">
        <v>1158</v>
      </c>
      <c r="D66" s="13" t="s">
        <v>1159</v>
      </c>
      <c r="E66" s="18">
        <f>'Adjacent TAM Detail'!D7</f>
        <v>8000.0000000000018</v>
      </c>
      <c r="F66" s="13" t="s">
        <v>1099</v>
      </c>
      <c r="G66" s="13" t="s">
        <v>1100</v>
      </c>
      <c r="H66" s="13" t="s">
        <v>1107</v>
      </c>
      <c r="I66" s="13" t="s">
        <v>1108</v>
      </c>
      <c r="J66" s="13" t="s">
        <v>1103</v>
      </c>
      <c r="K66" s="13" t="s">
        <v>1038</v>
      </c>
      <c r="L66" s="13" t="s">
        <v>1104</v>
      </c>
      <c r="M66" s="13" t="s">
        <v>1002</v>
      </c>
      <c r="N66" s="13" t="s">
        <v>1003</v>
      </c>
    </row>
    <row r="67" spans="1:14" ht="41.4" x14ac:dyDescent="0.3">
      <c r="A67" s="13">
        <v>65</v>
      </c>
      <c r="B67" s="13" t="s">
        <v>1109</v>
      </c>
      <c r="C67" s="13" t="s">
        <v>1160</v>
      </c>
      <c r="D67" s="13" t="s">
        <v>1161</v>
      </c>
      <c r="E67" s="19">
        <f>'Adjacent TAM Detail'!E7</f>
        <v>0.7</v>
      </c>
      <c r="F67" s="13" t="s">
        <v>1026</v>
      </c>
      <c r="G67" s="13" t="s">
        <v>1100</v>
      </c>
      <c r="H67" s="13" t="s">
        <v>1112</v>
      </c>
      <c r="I67" s="13" t="s">
        <v>1113</v>
      </c>
      <c r="J67" s="13" t="s">
        <v>1114</v>
      </c>
      <c r="K67" s="13" t="s">
        <v>1031</v>
      </c>
      <c r="L67" s="13" t="s">
        <v>1115</v>
      </c>
      <c r="M67" s="13" t="s">
        <v>1002</v>
      </c>
      <c r="N67" s="13" t="s">
        <v>1003</v>
      </c>
    </row>
    <row r="68" spans="1:14" ht="41.4" x14ac:dyDescent="0.3">
      <c r="A68" s="13">
        <v>66</v>
      </c>
      <c r="B68" s="13" t="s">
        <v>1109</v>
      </c>
      <c r="C68" s="13" t="s">
        <v>1162</v>
      </c>
      <c r="D68" s="13" t="s">
        <v>1163</v>
      </c>
      <c r="E68" s="19">
        <f>'Adjacent TAM Detail'!F7</f>
        <v>0.17</v>
      </c>
      <c r="F68" s="13" t="s">
        <v>1026</v>
      </c>
      <c r="G68" s="13" t="s">
        <v>1100</v>
      </c>
      <c r="H68" s="13" t="s">
        <v>1112</v>
      </c>
      <c r="I68" s="13" t="s">
        <v>1118</v>
      </c>
      <c r="J68" s="13" t="s">
        <v>1119</v>
      </c>
      <c r="K68" s="13" t="s">
        <v>1031</v>
      </c>
      <c r="L68" s="13" t="s">
        <v>1115</v>
      </c>
      <c r="M68" s="13" t="s">
        <v>1002</v>
      </c>
      <c r="N68" s="13" t="s">
        <v>1003</v>
      </c>
    </row>
    <row r="69" spans="1:14" ht="55.2" x14ac:dyDescent="0.3">
      <c r="A69" s="13">
        <v>67</v>
      </c>
      <c r="B69" s="13" t="s">
        <v>1109</v>
      </c>
      <c r="C69" s="13" t="s">
        <v>1164</v>
      </c>
      <c r="D69" s="13" t="s">
        <v>1165</v>
      </c>
      <c r="E69" s="19">
        <f>'Adjacent TAM Detail'!G7</f>
        <v>0.02</v>
      </c>
      <c r="F69" s="13" t="s">
        <v>1026</v>
      </c>
      <c r="G69" s="13" t="s">
        <v>1100</v>
      </c>
      <c r="H69" s="13" t="s">
        <v>1122</v>
      </c>
      <c r="I69" s="13" t="s">
        <v>1123</v>
      </c>
      <c r="J69" s="13" t="s">
        <v>1124</v>
      </c>
      <c r="K69" s="13" t="s">
        <v>1031</v>
      </c>
      <c r="L69" s="13" t="s">
        <v>1125</v>
      </c>
      <c r="M69" s="13" t="s">
        <v>1002</v>
      </c>
      <c r="N69" s="13" t="s">
        <v>1003</v>
      </c>
    </row>
    <row r="70" spans="1:14" ht="55.2" x14ac:dyDescent="0.3">
      <c r="A70" s="13">
        <v>68</v>
      </c>
      <c r="B70" s="13" t="s">
        <v>1096</v>
      </c>
      <c r="C70" s="13" t="s">
        <v>1166</v>
      </c>
      <c r="D70" s="13" t="s">
        <v>1167</v>
      </c>
      <c r="E70" s="18">
        <f>'Adjacent TAM Detail'!C8</f>
        <v>6800</v>
      </c>
      <c r="F70" s="13" t="s">
        <v>1099</v>
      </c>
      <c r="G70" s="13" t="s">
        <v>1100</v>
      </c>
      <c r="H70" s="13" t="s">
        <v>1101</v>
      </c>
      <c r="I70" s="13" t="s">
        <v>1102</v>
      </c>
      <c r="J70" s="13" t="s">
        <v>1103</v>
      </c>
      <c r="K70" s="13" t="s">
        <v>1046</v>
      </c>
      <c r="L70" s="13" t="s">
        <v>1104</v>
      </c>
      <c r="M70" s="13" t="s">
        <v>1002</v>
      </c>
      <c r="N70" s="13" t="s">
        <v>1003</v>
      </c>
    </row>
    <row r="71" spans="1:14" ht="41.4" x14ac:dyDescent="0.3">
      <c r="A71" s="13">
        <v>69</v>
      </c>
      <c r="B71" s="13" t="s">
        <v>1096</v>
      </c>
      <c r="C71" s="13" t="s">
        <v>1168</v>
      </c>
      <c r="D71" s="13" t="s">
        <v>1169</v>
      </c>
      <c r="E71" s="18">
        <f>'Adjacent TAM Detail'!D8</f>
        <v>7999.9999999999991</v>
      </c>
      <c r="F71" s="13" t="s">
        <v>1099</v>
      </c>
      <c r="G71" s="13" t="s">
        <v>1100</v>
      </c>
      <c r="H71" s="13" t="s">
        <v>1107</v>
      </c>
      <c r="I71" s="13" t="s">
        <v>1108</v>
      </c>
      <c r="J71" s="13" t="s">
        <v>1103</v>
      </c>
      <c r="K71" s="13" t="s">
        <v>1038</v>
      </c>
      <c r="L71" s="13" t="s">
        <v>1104</v>
      </c>
      <c r="M71" s="13" t="s">
        <v>1002</v>
      </c>
      <c r="N71" s="13" t="s">
        <v>1003</v>
      </c>
    </row>
    <row r="72" spans="1:14" ht="41.4" x14ac:dyDescent="0.3">
      <c r="A72" s="13">
        <v>70</v>
      </c>
      <c r="B72" s="13" t="s">
        <v>1109</v>
      </c>
      <c r="C72" s="13" t="s">
        <v>1170</v>
      </c>
      <c r="D72" s="13" t="s">
        <v>1171</v>
      </c>
      <c r="E72" s="19">
        <f>'Adjacent TAM Detail'!E8</f>
        <v>0.68</v>
      </c>
      <c r="F72" s="13" t="s">
        <v>1026</v>
      </c>
      <c r="G72" s="13" t="s">
        <v>1100</v>
      </c>
      <c r="H72" s="13" t="s">
        <v>1112</v>
      </c>
      <c r="I72" s="13" t="s">
        <v>1113</v>
      </c>
      <c r="J72" s="13" t="s">
        <v>1114</v>
      </c>
      <c r="K72" s="13" t="s">
        <v>1031</v>
      </c>
      <c r="L72" s="13" t="s">
        <v>1115</v>
      </c>
      <c r="M72" s="13" t="s">
        <v>1002</v>
      </c>
      <c r="N72" s="13" t="s">
        <v>1003</v>
      </c>
    </row>
    <row r="73" spans="1:14" ht="41.4" x14ac:dyDescent="0.3">
      <c r="A73" s="13">
        <v>71</v>
      </c>
      <c r="B73" s="13" t="s">
        <v>1109</v>
      </c>
      <c r="C73" s="13" t="s">
        <v>1172</v>
      </c>
      <c r="D73" s="13" t="s">
        <v>1173</v>
      </c>
      <c r="E73" s="19">
        <f>'Adjacent TAM Detail'!F8</f>
        <v>0.1</v>
      </c>
      <c r="F73" s="13" t="s">
        <v>1026</v>
      </c>
      <c r="G73" s="13" t="s">
        <v>1100</v>
      </c>
      <c r="H73" s="13" t="s">
        <v>1112</v>
      </c>
      <c r="I73" s="13" t="s">
        <v>1118</v>
      </c>
      <c r="J73" s="13" t="s">
        <v>1119</v>
      </c>
      <c r="K73" s="13" t="s">
        <v>1031</v>
      </c>
      <c r="L73" s="13" t="s">
        <v>1115</v>
      </c>
      <c r="M73" s="13" t="s">
        <v>1002</v>
      </c>
      <c r="N73" s="13" t="s">
        <v>1003</v>
      </c>
    </row>
    <row r="74" spans="1:14" ht="55.2" x14ac:dyDescent="0.3">
      <c r="A74" s="13">
        <v>72</v>
      </c>
      <c r="B74" s="13" t="s">
        <v>1109</v>
      </c>
      <c r="C74" s="13" t="s">
        <v>1174</v>
      </c>
      <c r="D74" s="13" t="s">
        <v>1175</v>
      </c>
      <c r="E74" s="19">
        <f>'Adjacent TAM Detail'!G8</f>
        <v>0.02</v>
      </c>
      <c r="F74" s="13" t="s">
        <v>1026</v>
      </c>
      <c r="G74" s="13" t="s">
        <v>1100</v>
      </c>
      <c r="H74" s="13" t="s">
        <v>1122</v>
      </c>
      <c r="I74" s="13" t="s">
        <v>1123</v>
      </c>
      <c r="J74" s="13" t="s">
        <v>1124</v>
      </c>
      <c r="K74" s="13" t="s">
        <v>1031</v>
      </c>
      <c r="L74" s="13" t="s">
        <v>1125</v>
      </c>
      <c r="M74" s="13" t="s">
        <v>1002</v>
      </c>
      <c r="N74" s="13" t="s">
        <v>1003</v>
      </c>
    </row>
    <row r="75" spans="1:14" ht="55.2" x14ac:dyDescent="0.3">
      <c r="A75" s="13">
        <v>73</v>
      </c>
      <c r="B75" s="13" t="s">
        <v>1096</v>
      </c>
      <c r="C75" s="13" t="s">
        <v>1176</v>
      </c>
      <c r="D75" s="13" t="s">
        <v>1177</v>
      </c>
      <c r="E75" s="18">
        <f>'Adjacent TAM Detail'!C9</f>
        <v>7200</v>
      </c>
      <c r="F75" s="13" t="s">
        <v>1099</v>
      </c>
      <c r="G75" s="13" t="s">
        <v>1100</v>
      </c>
      <c r="H75" s="13" t="s">
        <v>1101</v>
      </c>
      <c r="I75" s="13" t="s">
        <v>1102</v>
      </c>
      <c r="J75" s="13" t="s">
        <v>1103</v>
      </c>
      <c r="K75" s="13" t="s">
        <v>1046</v>
      </c>
      <c r="L75" s="13" t="s">
        <v>1104</v>
      </c>
      <c r="M75" s="13" t="s">
        <v>1002</v>
      </c>
      <c r="N75" s="13" t="s">
        <v>1003</v>
      </c>
    </row>
    <row r="76" spans="1:14" ht="41.4" x14ac:dyDescent="0.3">
      <c r="A76" s="13">
        <v>74</v>
      </c>
      <c r="B76" s="13" t="s">
        <v>1096</v>
      </c>
      <c r="C76" s="13" t="s">
        <v>1178</v>
      </c>
      <c r="D76" s="13" t="s">
        <v>1179</v>
      </c>
      <c r="E76" s="18">
        <f>'Adjacent TAM Detail'!D9</f>
        <v>9000.0000000000018</v>
      </c>
      <c r="F76" s="13" t="s">
        <v>1099</v>
      </c>
      <c r="G76" s="13" t="s">
        <v>1100</v>
      </c>
      <c r="H76" s="13" t="s">
        <v>1107</v>
      </c>
      <c r="I76" s="13" t="s">
        <v>1108</v>
      </c>
      <c r="J76" s="13" t="s">
        <v>1103</v>
      </c>
      <c r="K76" s="13" t="s">
        <v>1038</v>
      </c>
      <c r="L76" s="13" t="s">
        <v>1104</v>
      </c>
      <c r="M76" s="13" t="s">
        <v>1002</v>
      </c>
      <c r="N76" s="13" t="s">
        <v>1003</v>
      </c>
    </row>
    <row r="77" spans="1:14" ht="41.4" x14ac:dyDescent="0.3">
      <c r="A77" s="13">
        <v>75</v>
      </c>
      <c r="B77" s="13" t="s">
        <v>1109</v>
      </c>
      <c r="C77" s="13" t="s">
        <v>1180</v>
      </c>
      <c r="D77" s="13" t="s">
        <v>1181</v>
      </c>
      <c r="E77" s="19">
        <f>'Adjacent TAM Detail'!E9</f>
        <v>0.55000000000000004</v>
      </c>
      <c r="F77" s="13" t="s">
        <v>1026</v>
      </c>
      <c r="G77" s="13" t="s">
        <v>1100</v>
      </c>
      <c r="H77" s="13" t="s">
        <v>1112</v>
      </c>
      <c r="I77" s="13" t="s">
        <v>1113</v>
      </c>
      <c r="J77" s="13" t="s">
        <v>1114</v>
      </c>
      <c r="K77" s="13" t="s">
        <v>1031</v>
      </c>
      <c r="L77" s="13" t="s">
        <v>1115</v>
      </c>
      <c r="M77" s="13" t="s">
        <v>1002</v>
      </c>
      <c r="N77" s="13" t="s">
        <v>1003</v>
      </c>
    </row>
    <row r="78" spans="1:14" ht="41.4" x14ac:dyDescent="0.3">
      <c r="A78" s="13">
        <v>76</v>
      </c>
      <c r="B78" s="13" t="s">
        <v>1109</v>
      </c>
      <c r="C78" s="13" t="s">
        <v>1182</v>
      </c>
      <c r="D78" s="13" t="s">
        <v>1183</v>
      </c>
      <c r="E78" s="19">
        <f>'Adjacent TAM Detail'!F9</f>
        <v>0.25</v>
      </c>
      <c r="F78" s="13" t="s">
        <v>1026</v>
      </c>
      <c r="G78" s="13" t="s">
        <v>1100</v>
      </c>
      <c r="H78" s="13" t="s">
        <v>1112</v>
      </c>
      <c r="I78" s="13" t="s">
        <v>1118</v>
      </c>
      <c r="J78" s="13" t="s">
        <v>1119</v>
      </c>
      <c r="K78" s="13" t="s">
        <v>1031</v>
      </c>
      <c r="L78" s="13" t="s">
        <v>1115</v>
      </c>
      <c r="M78" s="13" t="s">
        <v>1002</v>
      </c>
      <c r="N78" s="13" t="s">
        <v>1003</v>
      </c>
    </row>
    <row r="79" spans="1:14" ht="55.2" x14ac:dyDescent="0.3">
      <c r="A79" s="13">
        <v>77</v>
      </c>
      <c r="B79" s="13" t="s">
        <v>1109</v>
      </c>
      <c r="C79" s="13" t="s">
        <v>1184</v>
      </c>
      <c r="D79" s="13" t="s">
        <v>1185</v>
      </c>
      <c r="E79" s="19">
        <f>'Adjacent TAM Detail'!G9</f>
        <v>0.01</v>
      </c>
      <c r="F79" s="13" t="s">
        <v>1026</v>
      </c>
      <c r="G79" s="13" t="s">
        <v>1100</v>
      </c>
      <c r="H79" s="13" t="s">
        <v>1122</v>
      </c>
      <c r="I79" s="13" t="s">
        <v>1123</v>
      </c>
      <c r="J79" s="13" t="s">
        <v>1124</v>
      </c>
      <c r="K79" s="13" t="s">
        <v>1031</v>
      </c>
      <c r="L79" s="13" t="s">
        <v>1125</v>
      </c>
      <c r="M79" s="13" t="s">
        <v>1002</v>
      </c>
      <c r="N79" s="13" t="s">
        <v>1003</v>
      </c>
    </row>
    <row r="80" spans="1:14" ht="55.2" x14ac:dyDescent="0.3">
      <c r="A80" s="13">
        <v>78</v>
      </c>
      <c r="B80" s="13" t="s">
        <v>1096</v>
      </c>
      <c r="C80" s="13" t="s">
        <v>1186</v>
      </c>
      <c r="D80" s="13" t="s">
        <v>1187</v>
      </c>
      <c r="E80" s="18">
        <f>'Adjacent TAM Detail'!C10</f>
        <v>4000</v>
      </c>
      <c r="F80" s="13" t="s">
        <v>1099</v>
      </c>
      <c r="G80" s="13" t="s">
        <v>1100</v>
      </c>
      <c r="H80" s="13" t="s">
        <v>1101</v>
      </c>
      <c r="I80" s="13" t="s">
        <v>1102</v>
      </c>
      <c r="J80" s="13" t="s">
        <v>1103</v>
      </c>
      <c r="K80" s="13" t="s">
        <v>1046</v>
      </c>
      <c r="L80" s="13" t="s">
        <v>1104</v>
      </c>
      <c r="M80" s="13" t="s">
        <v>1002</v>
      </c>
      <c r="N80" s="13" t="s">
        <v>1003</v>
      </c>
    </row>
    <row r="81" spans="1:14" ht="41.4" x14ac:dyDescent="0.3">
      <c r="A81" s="13">
        <v>79</v>
      </c>
      <c r="B81" s="13" t="s">
        <v>1096</v>
      </c>
      <c r="C81" s="13" t="s">
        <v>1188</v>
      </c>
      <c r="D81" s="13" t="s">
        <v>1189</v>
      </c>
      <c r="E81" s="18">
        <f>'Adjacent TAM Detail'!D10</f>
        <v>5000.0000000000009</v>
      </c>
      <c r="F81" s="13" t="s">
        <v>1099</v>
      </c>
      <c r="G81" s="13" t="s">
        <v>1100</v>
      </c>
      <c r="H81" s="13" t="s">
        <v>1107</v>
      </c>
      <c r="I81" s="13" t="s">
        <v>1108</v>
      </c>
      <c r="J81" s="13" t="s">
        <v>1103</v>
      </c>
      <c r="K81" s="13" t="s">
        <v>1038</v>
      </c>
      <c r="L81" s="13" t="s">
        <v>1104</v>
      </c>
      <c r="M81" s="13" t="s">
        <v>1002</v>
      </c>
      <c r="N81" s="13" t="s">
        <v>1003</v>
      </c>
    </row>
    <row r="82" spans="1:14" ht="41.4" x14ac:dyDescent="0.3">
      <c r="A82" s="13">
        <v>80</v>
      </c>
      <c r="B82" s="13" t="s">
        <v>1109</v>
      </c>
      <c r="C82" s="13" t="s">
        <v>1190</v>
      </c>
      <c r="D82" s="13" t="s">
        <v>1191</v>
      </c>
      <c r="E82" s="19">
        <f>'Adjacent TAM Detail'!E10</f>
        <v>0.55000000000000004</v>
      </c>
      <c r="F82" s="13" t="s">
        <v>1026</v>
      </c>
      <c r="G82" s="13" t="s">
        <v>1100</v>
      </c>
      <c r="H82" s="13" t="s">
        <v>1112</v>
      </c>
      <c r="I82" s="13" t="s">
        <v>1113</v>
      </c>
      <c r="J82" s="13" t="s">
        <v>1114</v>
      </c>
      <c r="K82" s="13" t="s">
        <v>1031</v>
      </c>
      <c r="L82" s="13" t="s">
        <v>1115</v>
      </c>
      <c r="M82" s="13" t="s">
        <v>1002</v>
      </c>
      <c r="N82" s="13" t="s">
        <v>1003</v>
      </c>
    </row>
    <row r="83" spans="1:14" ht="41.4" x14ac:dyDescent="0.3">
      <c r="A83" s="13">
        <v>81</v>
      </c>
      <c r="B83" s="13" t="s">
        <v>1109</v>
      </c>
      <c r="C83" s="13" t="s">
        <v>1192</v>
      </c>
      <c r="D83" s="13" t="s">
        <v>1193</v>
      </c>
      <c r="E83" s="19">
        <f>'Adjacent TAM Detail'!F10</f>
        <v>0.2</v>
      </c>
      <c r="F83" s="13" t="s">
        <v>1026</v>
      </c>
      <c r="G83" s="13" t="s">
        <v>1100</v>
      </c>
      <c r="H83" s="13" t="s">
        <v>1112</v>
      </c>
      <c r="I83" s="13" t="s">
        <v>1118</v>
      </c>
      <c r="J83" s="13" t="s">
        <v>1119</v>
      </c>
      <c r="K83" s="13" t="s">
        <v>1031</v>
      </c>
      <c r="L83" s="13" t="s">
        <v>1115</v>
      </c>
      <c r="M83" s="13" t="s">
        <v>1002</v>
      </c>
      <c r="N83" s="13" t="s">
        <v>1003</v>
      </c>
    </row>
    <row r="84" spans="1:14" ht="55.2" x14ac:dyDescent="0.3">
      <c r="A84" s="13">
        <v>82</v>
      </c>
      <c r="B84" s="13" t="s">
        <v>1109</v>
      </c>
      <c r="C84" s="13" t="s">
        <v>1194</v>
      </c>
      <c r="D84" s="13" t="s">
        <v>1195</v>
      </c>
      <c r="E84" s="19">
        <f>'Adjacent TAM Detail'!G10</f>
        <v>0.01</v>
      </c>
      <c r="F84" s="13" t="s">
        <v>1026</v>
      </c>
      <c r="G84" s="13" t="s">
        <v>1100</v>
      </c>
      <c r="H84" s="13" t="s">
        <v>1122</v>
      </c>
      <c r="I84" s="13" t="s">
        <v>1123</v>
      </c>
      <c r="J84" s="13" t="s">
        <v>1124</v>
      </c>
      <c r="K84" s="13" t="s">
        <v>1031</v>
      </c>
      <c r="L84" s="13" t="s">
        <v>1125</v>
      </c>
      <c r="M84" s="13" t="s">
        <v>1002</v>
      </c>
      <c r="N84" s="13" t="s">
        <v>1003</v>
      </c>
    </row>
    <row r="85" spans="1:14" ht="55.2" x14ac:dyDescent="0.3">
      <c r="A85" s="13">
        <v>83</v>
      </c>
      <c r="B85" s="13" t="s">
        <v>1096</v>
      </c>
      <c r="C85" s="13" t="s">
        <v>1196</v>
      </c>
      <c r="D85" s="13" t="s">
        <v>1197</v>
      </c>
      <c r="E85" s="18">
        <f>'Adjacent TAM Detail'!C11</f>
        <v>1600</v>
      </c>
      <c r="F85" s="13" t="s">
        <v>1099</v>
      </c>
      <c r="G85" s="13" t="s">
        <v>1100</v>
      </c>
      <c r="H85" s="13" t="s">
        <v>1101</v>
      </c>
      <c r="I85" s="13" t="s">
        <v>1102</v>
      </c>
      <c r="J85" s="13" t="s">
        <v>1103</v>
      </c>
      <c r="K85" s="13" t="s">
        <v>1046</v>
      </c>
      <c r="L85" s="13" t="s">
        <v>1104</v>
      </c>
      <c r="M85" s="13" t="s">
        <v>1002</v>
      </c>
      <c r="N85" s="13" t="s">
        <v>1003</v>
      </c>
    </row>
    <row r="86" spans="1:14" ht="41.4" x14ac:dyDescent="0.3">
      <c r="A86" s="13">
        <v>84</v>
      </c>
      <c r="B86" s="13" t="s">
        <v>1096</v>
      </c>
      <c r="C86" s="13" t="s">
        <v>1198</v>
      </c>
      <c r="D86" s="13" t="s">
        <v>1199</v>
      </c>
      <c r="E86" s="18">
        <f>'Adjacent TAM Detail'!D11</f>
        <v>2000.0000000000005</v>
      </c>
      <c r="F86" s="13" t="s">
        <v>1099</v>
      </c>
      <c r="G86" s="13" t="s">
        <v>1100</v>
      </c>
      <c r="H86" s="13" t="s">
        <v>1107</v>
      </c>
      <c r="I86" s="13" t="s">
        <v>1108</v>
      </c>
      <c r="J86" s="13" t="s">
        <v>1103</v>
      </c>
      <c r="K86" s="13" t="s">
        <v>1038</v>
      </c>
      <c r="L86" s="13" t="s">
        <v>1104</v>
      </c>
      <c r="M86" s="13" t="s">
        <v>1002</v>
      </c>
      <c r="N86" s="13" t="s">
        <v>1003</v>
      </c>
    </row>
    <row r="87" spans="1:14" ht="41.4" x14ac:dyDescent="0.3">
      <c r="A87" s="13">
        <v>85</v>
      </c>
      <c r="B87" s="13" t="s">
        <v>1109</v>
      </c>
      <c r="C87" s="13" t="s">
        <v>1200</v>
      </c>
      <c r="D87" s="13" t="s">
        <v>1201</v>
      </c>
      <c r="E87" s="19">
        <f>'Adjacent TAM Detail'!E11</f>
        <v>0.66</v>
      </c>
      <c r="F87" s="13" t="s">
        <v>1026</v>
      </c>
      <c r="G87" s="13" t="s">
        <v>1100</v>
      </c>
      <c r="H87" s="13" t="s">
        <v>1112</v>
      </c>
      <c r="I87" s="13" t="s">
        <v>1113</v>
      </c>
      <c r="J87" s="13" t="s">
        <v>1114</v>
      </c>
      <c r="K87" s="13" t="s">
        <v>1031</v>
      </c>
      <c r="L87" s="13" t="s">
        <v>1115</v>
      </c>
      <c r="M87" s="13" t="s">
        <v>1002</v>
      </c>
      <c r="N87" s="13" t="s">
        <v>1003</v>
      </c>
    </row>
    <row r="88" spans="1:14" ht="41.4" x14ac:dyDescent="0.3">
      <c r="A88" s="13">
        <v>86</v>
      </c>
      <c r="B88" s="13" t="s">
        <v>1109</v>
      </c>
      <c r="C88" s="13" t="s">
        <v>1202</v>
      </c>
      <c r="D88" s="13" t="s">
        <v>1203</v>
      </c>
      <c r="E88" s="19">
        <f>'Adjacent TAM Detail'!F11</f>
        <v>0.13</v>
      </c>
      <c r="F88" s="13" t="s">
        <v>1026</v>
      </c>
      <c r="G88" s="13" t="s">
        <v>1100</v>
      </c>
      <c r="H88" s="13" t="s">
        <v>1112</v>
      </c>
      <c r="I88" s="13" t="s">
        <v>1118</v>
      </c>
      <c r="J88" s="13" t="s">
        <v>1119</v>
      </c>
      <c r="K88" s="13" t="s">
        <v>1031</v>
      </c>
      <c r="L88" s="13" t="s">
        <v>1115</v>
      </c>
      <c r="M88" s="13" t="s">
        <v>1002</v>
      </c>
      <c r="N88" s="13" t="s">
        <v>1003</v>
      </c>
    </row>
    <row r="89" spans="1:14" ht="55.2" x14ac:dyDescent="0.3">
      <c r="A89" s="13">
        <v>87</v>
      </c>
      <c r="B89" s="13" t="s">
        <v>1109</v>
      </c>
      <c r="C89" s="13" t="s">
        <v>1204</v>
      </c>
      <c r="D89" s="13" t="s">
        <v>1205</v>
      </c>
      <c r="E89" s="19">
        <f>'Adjacent TAM Detail'!G11</f>
        <v>1.4999999999999999E-2</v>
      </c>
      <c r="F89" s="13" t="s">
        <v>1026</v>
      </c>
      <c r="G89" s="13" t="s">
        <v>1100</v>
      </c>
      <c r="H89" s="13" t="s">
        <v>1122</v>
      </c>
      <c r="I89" s="13" t="s">
        <v>1123</v>
      </c>
      <c r="J89" s="13" t="s">
        <v>1124</v>
      </c>
      <c r="K89" s="13" t="s">
        <v>1031</v>
      </c>
      <c r="L89" s="13" t="s">
        <v>1125</v>
      </c>
      <c r="M89" s="13" t="s">
        <v>1002</v>
      </c>
      <c r="N89" s="13" t="s">
        <v>1003</v>
      </c>
    </row>
    <row r="90" spans="1:14" ht="55.2" x14ac:dyDescent="0.3">
      <c r="A90" s="13">
        <v>88</v>
      </c>
      <c r="B90" s="13" t="s">
        <v>1096</v>
      </c>
      <c r="C90" s="13" t="s">
        <v>1206</v>
      </c>
      <c r="D90" s="13" t="s">
        <v>1207</v>
      </c>
      <c r="E90" s="18">
        <f>'Adjacent TAM Detail'!C12</f>
        <v>14200</v>
      </c>
      <c r="F90" s="13" t="s">
        <v>1099</v>
      </c>
      <c r="G90" s="13" t="s">
        <v>1100</v>
      </c>
      <c r="H90" s="13" t="s">
        <v>1101</v>
      </c>
      <c r="I90" s="13" t="s">
        <v>1102</v>
      </c>
      <c r="J90" s="13" t="s">
        <v>1103</v>
      </c>
      <c r="K90" s="13" t="s">
        <v>1046</v>
      </c>
      <c r="L90" s="13" t="s">
        <v>1104</v>
      </c>
      <c r="M90" s="13" t="s">
        <v>1002</v>
      </c>
      <c r="N90" s="13" t="s">
        <v>1003</v>
      </c>
    </row>
    <row r="91" spans="1:14" ht="41.4" x14ac:dyDescent="0.3">
      <c r="A91" s="13">
        <v>89</v>
      </c>
      <c r="B91" s="13" t="s">
        <v>1096</v>
      </c>
      <c r="C91" s="13" t="s">
        <v>1208</v>
      </c>
      <c r="D91" s="13" t="s">
        <v>1209</v>
      </c>
      <c r="E91" s="18">
        <f>'Adjacent TAM Detail'!D12</f>
        <v>17799.999999999996</v>
      </c>
      <c r="F91" s="13" t="s">
        <v>1099</v>
      </c>
      <c r="G91" s="13" t="s">
        <v>1100</v>
      </c>
      <c r="H91" s="13" t="s">
        <v>1107</v>
      </c>
      <c r="I91" s="13" t="s">
        <v>1108</v>
      </c>
      <c r="J91" s="13" t="s">
        <v>1103</v>
      </c>
      <c r="K91" s="13" t="s">
        <v>1038</v>
      </c>
      <c r="L91" s="13" t="s">
        <v>1104</v>
      </c>
      <c r="M91" s="13" t="s">
        <v>1002</v>
      </c>
      <c r="N91" s="13" t="s">
        <v>1003</v>
      </c>
    </row>
    <row r="92" spans="1:14" ht="41.4" x14ac:dyDescent="0.3">
      <c r="A92" s="13">
        <v>90</v>
      </c>
      <c r="B92" s="13" t="s">
        <v>1109</v>
      </c>
      <c r="C92" s="13" t="s">
        <v>1210</v>
      </c>
      <c r="D92" s="13" t="s">
        <v>1211</v>
      </c>
      <c r="E92" s="19">
        <f>'Adjacent TAM Detail'!E12</f>
        <v>0.76</v>
      </c>
      <c r="F92" s="13" t="s">
        <v>1026</v>
      </c>
      <c r="G92" s="13" t="s">
        <v>1100</v>
      </c>
      <c r="H92" s="13" t="s">
        <v>1112</v>
      </c>
      <c r="I92" s="13" t="s">
        <v>1113</v>
      </c>
      <c r="J92" s="13" t="s">
        <v>1114</v>
      </c>
      <c r="K92" s="13" t="s">
        <v>1031</v>
      </c>
      <c r="L92" s="13" t="s">
        <v>1115</v>
      </c>
      <c r="M92" s="13" t="s">
        <v>1002</v>
      </c>
      <c r="N92" s="13" t="s">
        <v>1003</v>
      </c>
    </row>
    <row r="93" spans="1:14" ht="41.4" x14ac:dyDescent="0.3">
      <c r="A93" s="13">
        <v>91</v>
      </c>
      <c r="B93" s="13" t="s">
        <v>1109</v>
      </c>
      <c r="C93" s="13" t="s">
        <v>1212</v>
      </c>
      <c r="D93" s="13" t="s">
        <v>1213</v>
      </c>
      <c r="E93" s="19">
        <f>'Adjacent TAM Detail'!F12</f>
        <v>0.11</v>
      </c>
      <c r="F93" s="13" t="s">
        <v>1026</v>
      </c>
      <c r="G93" s="13" t="s">
        <v>1100</v>
      </c>
      <c r="H93" s="13" t="s">
        <v>1112</v>
      </c>
      <c r="I93" s="13" t="s">
        <v>1118</v>
      </c>
      <c r="J93" s="13" t="s">
        <v>1119</v>
      </c>
      <c r="K93" s="13" t="s">
        <v>1031</v>
      </c>
      <c r="L93" s="13" t="s">
        <v>1115</v>
      </c>
      <c r="M93" s="13" t="s">
        <v>1002</v>
      </c>
      <c r="N93" s="13" t="s">
        <v>1003</v>
      </c>
    </row>
    <row r="94" spans="1:14" ht="55.2" x14ac:dyDescent="0.3">
      <c r="A94" s="13">
        <v>92</v>
      </c>
      <c r="B94" s="13" t="s">
        <v>1109</v>
      </c>
      <c r="C94" s="13" t="s">
        <v>1214</v>
      </c>
      <c r="D94" s="13" t="s">
        <v>1215</v>
      </c>
      <c r="E94" s="19">
        <f>'Adjacent TAM Detail'!G12</f>
        <v>0.04</v>
      </c>
      <c r="F94" s="13" t="s">
        <v>1026</v>
      </c>
      <c r="G94" s="13" t="s">
        <v>1100</v>
      </c>
      <c r="H94" s="13" t="s">
        <v>1122</v>
      </c>
      <c r="I94" s="13" t="s">
        <v>1123</v>
      </c>
      <c r="J94" s="13" t="s">
        <v>1124</v>
      </c>
      <c r="K94" s="13" t="s">
        <v>1031</v>
      </c>
      <c r="L94" s="13" t="s">
        <v>1125</v>
      </c>
      <c r="M94" s="13" t="s">
        <v>1002</v>
      </c>
      <c r="N94" s="13" t="s">
        <v>1003</v>
      </c>
    </row>
    <row r="95" spans="1:14" ht="55.2" x14ac:dyDescent="0.3">
      <c r="A95" s="13">
        <v>93</v>
      </c>
      <c r="B95" s="13" t="s">
        <v>1096</v>
      </c>
      <c r="C95" s="13" t="s">
        <v>1216</v>
      </c>
      <c r="D95" s="13" t="s">
        <v>1217</v>
      </c>
      <c r="E95" s="18">
        <f>'Adjacent TAM Detail'!C13</f>
        <v>3200</v>
      </c>
      <c r="F95" s="13" t="s">
        <v>1099</v>
      </c>
      <c r="G95" s="13" t="s">
        <v>1100</v>
      </c>
      <c r="H95" s="13" t="s">
        <v>1101</v>
      </c>
      <c r="I95" s="13" t="s">
        <v>1102</v>
      </c>
      <c r="J95" s="13" t="s">
        <v>1103</v>
      </c>
      <c r="K95" s="13" t="s">
        <v>1046</v>
      </c>
      <c r="L95" s="13" t="s">
        <v>1104</v>
      </c>
      <c r="M95" s="13" t="s">
        <v>1002</v>
      </c>
      <c r="N95" s="13" t="s">
        <v>1003</v>
      </c>
    </row>
    <row r="96" spans="1:14" ht="41.4" x14ac:dyDescent="0.3">
      <c r="A96" s="13">
        <v>94</v>
      </c>
      <c r="B96" s="13" t="s">
        <v>1096</v>
      </c>
      <c r="C96" s="13" t="s">
        <v>1218</v>
      </c>
      <c r="D96" s="13" t="s">
        <v>1219</v>
      </c>
      <c r="E96" s="18">
        <f>'Adjacent TAM Detail'!D13</f>
        <v>4000.0000000000009</v>
      </c>
      <c r="F96" s="13" t="s">
        <v>1099</v>
      </c>
      <c r="G96" s="13" t="s">
        <v>1100</v>
      </c>
      <c r="H96" s="13" t="s">
        <v>1107</v>
      </c>
      <c r="I96" s="13" t="s">
        <v>1108</v>
      </c>
      <c r="J96" s="13" t="s">
        <v>1103</v>
      </c>
      <c r="K96" s="13" t="s">
        <v>1038</v>
      </c>
      <c r="L96" s="13" t="s">
        <v>1104</v>
      </c>
      <c r="M96" s="13" t="s">
        <v>1002</v>
      </c>
      <c r="N96" s="13" t="s">
        <v>1003</v>
      </c>
    </row>
    <row r="97" spans="1:14" ht="41.4" x14ac:dyDescent="0.3">
      <c r="A97" s="13">
        <v>95</v>
      </c>
      <c r="B97" s="13" t="s">
        <v>1109</v>
      </c>
      <c r="C97" s="13" t="s">
        <v>1220</v>
      </c>
      <c r="D97" s="13" t="s">
        <v>1221</v>
      </c>
      <c r="E97" s="19">
        <f>'Adjacent TAM Detail'!E13</f>
        <v>0.78</v>
      </c>
      <c r="F97" s="13" t="s">
        <v>1026</v>
      </c>
      <c r="G97" s="13" t="s">
        <v>1100</v>
      </c>
      <c r="H97" s="13" t="s">
        <v>1112</v>
      </c>
      <c r="I97" s="13" t="s">
        <v>1113</v>
      </c>
      <c r="J97" s="13" t="s">
        <v>1114</v>
      </c>
      <c r="K97" s="13" t="s">
        <v>1031</v>
      </c>
      <c r="L97" s="13" t="s">
        <v>1115</v>
      </c>
      <c r="M97" s="13" t="s">
        <v>1002</v>
      </c>
      <c r="N97" s="13" t="s">
        <v>1003</v>
      </c>
    </row>
    <row r="98" spans="1:14" ht="41.4" x14ac:dyDescent="0.3">
      <c r="A98" s="13">
        <v>96</v>
      </c>
      <c r="B98" s="13" t="s">
        <v>1109</v>
      </c>
      <c r="C98" s="13" t="s">
        <v>1222</v>
      </c>
      <c r="D98" s="13" t="s">
        <v>1223</v>
      </c>
      <c r="E98" s="19">
        <f>'Adjacent TAM Detail'!F13</f>
        <v>0.1</v>
      </c>
      <c r="F98" s="13" t="s">
        <v>1026</v>
      </c>
      <c r="G98" s="13" t="s">
        <v>1100</v>
      </c>
      <c r="H98" s="13" t="s">
        <v>1112</v>
      </c>
      <c r="I98" s="13" t="s">
        <v>1118</v>
      </c>
      <c r="J98" s="13" t="s">
        <v>1119</v>
      </c>
      <c r="K98" s="13" t="s">
        <v>1031</v>
      </c>
      <c r="L98" s="13" t="s">
        <v>1115</v>
      </c>
      <c r="M98" s="13" t="s">
        <v>1002</v>
      </c>
      <c r="N98" s="13" t="s">
        <v>1003</v>
      </c>
    </row>
    <row r="99" spans="1:14" ht="55.2" x14ac:dyDescent="0.3">
      <c r="A99" s="13">
        <v>97</v>
      </c>
      <c r="B99" s="13" t="s">
        <v>1109</v>
      </c>
      <c r="C99" s="13" t="s">
        <v>1224</v>
      </c>
      <c r="D99" s="13" t="s">
        <v>1225</v>
      </c>
      <c r="E99" s="19">
        <f>'Adjacent TAM Detail'!G13</f>
        <v>1.4999999999999999E-2</v>
      </c>
      <c r="F99" s="13" t="s">
        <v>1026</v>
      </c>
      <c r="G99" s="13" t="s">
        <v>1100</v>
      </c>
      <c r="H99" s="13" t="s">
        <v>1122</v>
      </c>
      <c r="I99" s="13" t="s">
        <v>1123</v>
      </c>
      <c r="J99" s="13" t="s">
        <v>1124</v>
      </c>
      <c r="K99" s="13" t="s">
        <v>1031</v>
      </c>
      <c r="L99" s="13" t="s">
        <v>1125</v>
      </c>
      <c r="M99" s="13" t="s">
        <v>1002</v>
      </c>
      <c r="N99" s="13" t="s">
        <v>1003</v>
      </c>
    </row>
    <row r="100" spans="1:14" ht="55.2" x14ac:dyDescent="0.3">
      <c r="A100" s="13">
        <v>98</v>
      </c>
      <c r="B100" s="13" t="s">
        <v>1096</v>
      </c>
      <c r="C100" s="13" t="s">
        <v>1226</v>
      </c>
      <c r="D100" s="13" t="s">
        <v>1227</v>
      </c>
      <c r="E100" s="18">
        <f>'Adjacent TAM Detail'!C14</f>
        <v>7200</v>
      </c>
      <c r="F100" s="13" t="s">
        <v>1099</v>
      </c>
      <c r="G100" s="13" t="s">
        <v>1100</v>
      </c>
      <c r="H100" s="13" t="s">
        <v>1101</v>
      </c>
      <c r="I100" s="13" t="s">
        <v>1102</v>
      </c>
      <c r="J100" s="13" t="s">
        <v>1103</v>
      </c>
      <c r="K100" s="13" t="s">
        <v>1046</v>
      </c>
      <c r="L100" s="13" t="s">
        <v>1104</v>
      </c>
      <c r="M100" s="13" t="s">
        <v>1002</v>
      </c>
      <c r="N100" s="13" t="s">
        <v>1003</v>
      </c>
    </row>
    <row r="101" spans="1:14" ht="41.4" x14ac:dyDescent="0.3">
      <c r="A101" s="13">
        <v>99</v>
      </c>
      <c r="B101" s="13" t="s">
        <v>1096</v>
      </c>
      <c r="C101" s="13" t="s">
        <v>1228</v>
      </c>
      <c r="D101" s="13" t="s">
        <v>1229</v>
      </c>
      <c r="E101" s="18">
        <f>'Adjacent TAM Detail'!D14</f>
        <v>10900.000000000005</v>
      </c>
      <c r="F101" s="13" t="s">
        <v>1099</v>
      </c>
      <c r="G101" s="13" t="s">
        <v>1100</v>
      </c>
      <c r="H101" s="13" t="s">
        <v>1107</v>
      </c>
      <c r="I101" s="13" t="s">
        <v>1108</v>
      </c>
      <c r="J101" s="13" t="s">
        <v>1103</v>
      </c>
      <c r="K101" s="13" t="s">
        <v>1038</v>
      </c>
      <c r="L101" s="13" t="s">
        <v>1104</v>
      </c>
      <c r="M101" s="13" t="s">
        <v>1002</v>
      </c>
      <c r="N101" s="13" t="s">
        <v>1003</v>
      </c>
    </row>
    <row r="102" spans="1:14" ht="41.4" x14ac:dyDescent="0.3">
      <c r="A102" s="13">
        <v>100</v>
      </c>
      <c r="B102" s="13" t="s">
        <v>1109</v>
      </c>
      <c r="C102" s="13" t="s">
        <v>1230</v>
      </c>
      <c r="D102" s="13" t="s">
        <v>1231</v>
      </c>
      <c r="E102" s="19">
        <f>'Adjacent TAM Detail'!E14</f>
        <v>0.38</v>
      </c>
      <c r="F102" s="13" t="s">
        <v>1026</v>
      </c>
      <c r="G102" s="13" t="s">
        <v>1100</v>
      </c>
      <c r="H102" s="13" t="s">
        <v>1112</v>
      </c>
      <c r="I102" s="13" t="s">
        <v>1113</v>
      </c>
      <c r="J102" s="13" t="s">
        <v>1114</v>
      </c>
      <c r="K102" s="13" t="s">
        <v>1031</v>
      </c>
      <c r="L102" s="13" t="s">
        <v>1115</v>
      </c>
      <c r="M102" s="13" t="s">
        <v>1002</v>
      </c>
      <c r="N102" s="13" t="s">
        <v>1003</v>
      </c>
    </row>
    <row r="103" spans="1:14" ht="41.4" x14ac:dyDescent="0.3">
      <c r="A103" s="13">
        <v>101</v>
      </c>
      <c r="B103" s="13" t="s">
        <v>1109</v>
      </c>
      <c r="C103" s="13" t="s">
        <v>1232</v>
      </c>
      <c r="D103" s="13" t="s">
        <v>1233</v>
      </c>
      <c r="E103" s="19">
        <f>'Adjacent TAM Detail'!F14</f>
        <v>0.22</v>
      </c>
      <c r="F103" s="13" t="s">
        <v>1026</v>
      </c>
      <c r="G103" s="13" t="s">
        <v>1100</v>
      </c>
      <c r="H103" s="13" t="s">
        <v>1112</v>
      </c>
      <c r="I103" s="13" t="s">
        <v>1118</v>
      </c>
      <c r="J103" s="13" t="s">
        <v>1119</v>
      </c>
      <c r="K103" s="13" t="s">
        <v>1031</v>
      </c>
      <c r="L103" s="13" t="s">
        <v>1115</v>
      </c>
      <c r="M103" s="13" t="s">
        <v>1002</v>
      </c>
      <c r="N103" s="13" t="s">
        <v>1003</v>
      </c>
    </row>
    <row r="104" spans="1:14" ht="55.2" x14ac:dyDescent="0.3">
      <c r="A104" s="13">
        <v>102</v>
      </c>
      <c r="B104" s="13" t="s">
        <v>1109</v>
      </c>
      <c r="C104" s="13" t="s">
        <v>1234</v>
      </c>
      <c r="D104" s="13" t="s">
        <v>1235</v>
      </c>
      <c r="E104" s="19">
        <f>'Adjacent TAM Detail'!G14</f>
        <v>0.16</v>
      </c>
      <c r="F104" s="13" t="s">
        <v>1026</v>
      </c>
      <c r="G104" s="13" t="s">
        <v>1100</v>
      </c>
      <c r="H104" s="13" t="s">
        <v>1122</v>
      </c>
      <c r="I104" s="13" t="s">
        <v>1123</v>
      </c>
      <c r="J104" s="13" t="s">
        <v>1124</v>
      </c>
      <c r="K104" s="13" t="s">
        <v>1031</v>
      </c>
      <c r="L104" s="13" t="s">
        <v>1125</v>
      </c>
      <c r="M104" s="13" t="s">
        <v>1002</v>
      </c>
      <c r="N104" s="13" t="s">
        <v>1003</v>
      </c>
    </row>
    <row r="105" spans="1:14" ht="41.4" x14ac:dyDescent="0.3">
      <c r="A105" s="13">
        <v>103</v>
      </c>
      <c r="B105" s="13" t="s">
        <v>1236</v>
      </c>
      <c r="C105" s="13" t="s">
        <v>1237</v>
      </c>
      <c r="D105" s="13" t="s">
        <v>876</v>
      </c>
      <c r="E105" s="19">
        <f>AVERAGE('Adjacent TAM Detail'!I3:I14)</f>
        <v>0.54999999999999993</v>
      </c>
      <c r="F105" s="13" t="s">
        <v>1026</v>
      </c>
      <c r="G105" s="13" t="s">
        <v>1238</v>
      </c>
      <c r="H105" s="13" t="s">
        <v>1239</v>
      </c>
      <c r="I105" s="13" t="s">
        <v>1240</v>
      </c>
      <c r="J105" s="13" t="s">
        <v>1241</v>
      </c>
      <c r="K105" s="13" t="s">
        <v>1038</v>
      </c>
      <c r="L105" s="13"/>
      <c r="M105" s="13" t="s">
        <v>1018</v>
      </c>
      <c r="N105" s="13" t="s">
        <v>1003</v>
      </c>
    </row>
    <row r="106" spans="1:14" ht="41.4" x14ac:dyDescent="0.3">
      <c r="A106" s="13">
        <v>104</v>
      </c>
      <c r="B106" s="13" t="s">
        <v>1236</v>
      </c>
      <c r="C106" s="13" t="s">
        <v>1242</v>
      </c>
      <c r="D106" s="13" t="s">
        <v>877</v>
      </c>
      <c r="E106" s="19">
        <f>AVERAGE('Adjacent TAM Detail'!J3:J14)</f>
        <v>0.79999999999999993</v>
      </c>
      <c r="F106" s="13" t="s">
        <v>1026</v>
      </c>
      <c r="G106" s="13" t="s">
        <v>1238</v>
      </c>
      <c r="H106" s="13" t="s">
        <v>1239</v>
      </c>
      <c r="I106" s="13" t="s">
        <v>1243</v>
      </c>
      <c r="J106" s="13" t="s">
        <v>1241</v>
      </c>
      <c r="K106" s="13" t="s">
        <v>1046</v>
      </c>
      <c r="L106" s="13" t="s">
        <v>1244</v>
      </c>
      <c r="M106" s="13" t="s">
        <v>1018</v>
      </c>
      <c r="N106" s="13" t="s">
        <v>1003</v>
      </c>
    </row>
    <row r="107" spans="1:14" ht="27.6" x14ac:dyDescent="0.3">
      <c r="A107" s="13">
        <v>105</v>
      </c>
      <c r="B107" s="13" t="s">
        <v>1236</v>
      </c>
      <c r="C107" s="13" t="s">
        <v>1245</v>
      </c>
      <c r="D107" s="13" t="s">
        <v>1246</v>
      </c>
      <c r="E107" s="19">
        <f>AVERAGE('Adjacent TAM Detail'!K3:K14)</f>
        <v>0.45000000000000012</v>
      </c>
      <c r="F107" s="13" t="s">
        <v>1026</v>
      </c>
      <c r="G107" s="13" t="s">
        <v>1027</v>
      </c>
      <c r="H107" s="13" t="s">
        <v>1239</v>
      </c>
      <c r="I107" s="13" t="s">
        <v>1247</v>
      </c>
      <c r="J107" s="13" t="s">
        <v>1241</v>
      </c>
      <c r="K107" s="13" t="s">
        <v>1038</v>
      </c>
      <c r="L107" s="13"/>
      <c r="M107" s="13" t="s">
        <v>1018</v>
      </c>
      <c r="N107" s="13" t="s">
        <v>1003</v>
      </c>
    </row>
    <row r="108" spans="1:14" ht="41.4" x14ac:dyDescent="0.3">
      <c r="A108" s="13">
        <v>106</v>
      </c>
      <c r="B108" s="13" t="s">
        <v>1236</v>
      </c>
      <c r="C108" s="13" t="s">
        <v>1248</v>
      </c>
      <c r="D108" s="13" t="s">
        <v>1249</v>
      </c>
      <c r="E108" s="19">
        <f>AVERAGE('Adjacent TAM Detail'!L3:L14)</f>
        <v>0.65000000000000013</v>
      </c>
      <c r="F108" s="13" t="s">
        <v>1026</v>
      </c>
      <c r="G108" s="13" t="s">
        <v>1027</v>
      </c>
      <c r="H108" s="13" t="s">
        <v>1239</v>
      </c>
      <c r="I108" s="13" t="s">
        <v>1250</v>
      </c>
      <c r="J108" s="13" t="s">
        <v>1241</v>
      </c>
      <c r="K108" s="13" t="s">
        <v>1031</v>
      </c>
      <c r="L108" s="13" t="s">
        <v>1059</v>
      </c>
      <c r="M108" s="13" t="s">
        <v>1018</v>
      </c>
      <c r="N108" s="13" t="s">
        <v>1003</v>
      </c>
    </row>
    <row r="109" spans="1:14" ht="27.6" x14ac:dyDescent="0.3">
      <c r="A109" s="13">
        <v>107</v>
      </c>
      <c r="B109" s="13" t="s">
        <v>1236</v>
      </c>
      <c r="C109" s="13" t="s">
        <v>1251</v>
      </c>
      <c r="D109" s="13" t="s">
        <v>1252</v>
      </c>
      <c r="E109" s="19">
        <f>AVERAGE('Adjacent TAM Detail'!M3:M14)</f>
        <v>0.54999999999999993</v>
      </c>
      <c r="F109" s="13" t="s">
        <v>1026</v>
      </c>
      <c r="G109" s="13" t="s">
        <v>1027</v>
      </c>
      <c r="H109" s="13" t="s">
        <v>1239</v>
      </c>
      <c r="I109" s="13" t="s">
        <v>1253</v>
      </c>
      <c r="J109" s="13" t="s">
        <v>1241</v>
      </c>
      <c r="K109" s="13" t="s">
        <v>1046</v>
      </c>
      <c r="L109" s="13" t="s">
        <v>1244</v>
      </c>
      <c r="M109" s="13" t="s">
        <v>1018</v>
      </c>
      <c r="N109" s="13" t="s">
        <v>1003</v>
      </c>
    </row>
    <row r="110" spans="1:14" ht="41.4" x14ac:dyDescent="0.3">
      <c r="A110" s="13">
        <v>108</v>
      </c>
      <c r="B110" s="13" t="s">
        <v>1236</v>
      </c>
      <c r="C110" s="13" t="s">
        <v>1254</v>
      </c>
      <c r="D110" s="13" t="s">
        <v>885</v>
      </c>
      <c r="E110" s="19">
        <f>AVERAGE('Adjacent TAM Detail'!R3:R14)</f>
        <v>1.6000000000000004E-2</v>
      </c>
      <c r="F110" s="13" t="s">
        <v>1026</v>
      </c>
      <c r="G110" s="13" t="s">
        <v>1027</v>
      </c>
      <c r="H110" s="13" t="s">
        <v>1239</v>
      </c>
      <c r="I110" s="13" t="s">
        <v>1255</v>
      </c>
      <c r="J110" s="13" t="s">
        <v>1241</v>
      </c>
      <c r="K110" s="13" t="s">
        <v>1038</v>
      </c>
      <c r="L110" s="13" t="s">
        <v>1256</v>
      </c>
      <c r="M110" s="13" t="s">
        <v>1018</v>
      </c>
      <c r="N110" s="13" t="s">
        <v>1003</v>
      </c>
    </row>
    <row r="111" spans="1:14" ht="41.4" x14ac:dyDescent="0.3">
      <c r="A111" s="13">
        <v>109</v>
      </c>
      <c r="B111" s="13" t="s">
        <v>1257</v>
      </c>
      <c r="C111" s="13" t="s">
        <v>1258</v>
      </c>
      <c r="D111" s="13" t="s">
        <v>1259</v>
      </c>
      <c r="E111" s="19">
        <f>'Provider Capture'!H3</f>
        <v>0.12</v>
      </c>
      <c r="F111" s="13" t="s">
        <v>1026</v>
      </c>
      <c r="G111" s="13" t="s">
        <v>1260</v>
      </c>
      <c r="H111" s="13" t="s">
        <v>1261</v>
      </c>
      <c r="I111" s="13" t="s">
        <v>1262</v>
      </c>
      <c r="J111" s="13" t="s">
        <v>1263</v>
      </c>
      <c r="K111" s="13" t="s">
        <v>1046</v>
      </c>
      <c r="L111" s="13" t="s">
        <v>1264</v>
      </c>
      <c r="M111" s="13" t="s">
        <v>1039</v>
      </c>
      <c r="N111" s="13" t="s">
        <v>1003</v>
      </c>
    </row>
    <row r="112" spans="1:14" ht="55.2" x14ac:dyDescent="0.3">
      <c r="A112" s="13">
        <v>110</v>
      </c>
      <c r="B112" s="13" t="s">
        <v>1257</v>
      </c>
      <c r="C112" s="13" t="s">
        <v>1265</v>
      </c>
      <c r="D112" s="13" t="s">
        <v>1266</v>
      </c>
      <c r="E112" s="19">
        <f>'Provider Capture'!L3</f>
        <v>0.21</v>
      </c>
      <c r="F112" s="13" t="s">
        <v>1026</v>
      </c>
      <c r="G112" s="13" t="s">
        <v>1267</v>
      </c>
      <c r="H112" s="13" t="s">
        <v>1268</v>
      </c>
      <c r="I112" s="13" t="s">
        <v>1269</v>
      </c>
      <c r="J112" s="13" t="s">
        <v>1270</v>
      </c>
      <c r="K112" s="13" t="s">
        <v>1038</v>
      </c>
      <c r="L112" s="13" t="s">
        <v>1271</v>
      </c>
      <c r="M112" s="13" t="s">
        <v>1039</v>
      </c>
      <c r="N112" s="13" t="s">
        <v>1003</v>
      </c>
    </row>
    <row r="113" spans="1:14" ht="41.4" x14ac:dyDescent="0.3">
      <c r="A113" s="13">
        <v>111</v>
      </c>
      <c r="B113" s="13" t="s">
        <v>1257</v>
      </c>
      <c r="C113" s="13" t="s">
        <v>1272</v>
      </c>
      <c r="D113" s="13" t="s">
        <v>1273</v>
      </c>
      <c r="E113" s="19">
        <f>'Provider Capture'!H4</f>
        <v>0.1</v>
      </c>
      <c r="F113" s="13" t="s">
        <v>1026</v>
      </c>
      <c r="G113" s="13" t="s">
        <v>1260</v>
      </c>
      <c r="H113" s="13" t="s">
        <v>1261</v>
      </c>
      <c r="I113" s="13" t="s">
        <v>1262</v>
      </c>
      <c r="J113" s="13" t="s">
        <v>1263</v>
      </c>
      <c r="K113" s="13" t="s">
        <v>1046</v>
      </c>
      <c r="L113" s="13" t="s">
        <v>1264</v>
      </c>
      <c r="M113" s="13" t="s">
        <v>1039</v>
      </c>
      <c r="N113" s="13" t="s">
        <v>1003</v>
      </c>
    </row>
    <row r="114" spans="1:14" ht="55.2" x14ac:dyDescent="0.3">
      <c r="A114" s="13">
        <v>112</v>
      </c>
      <c r="B114" s="13" t="s">
        <v>1257</v>
      </c>
      <c r="C114" s="13" t="s">
        <v>1274</v>
      </c>
      <c r="D114" s="13" t="s">
        <v>1275</v>
      </c>
      <c r="E114" s="19">
        <f>'Provider Capture'!L4</f>
        <v>0.16</v>
      </c>
      <c r="F114" s="13" t="s">
        <v>1026</v>
      </c>
      <c r="G114" s="13" t="s">
        <v>1267</v>
      </c>
      <c r="H114" s="13" t="s">
        <v>1268</v>
      </c>
      <c r="I114" s="13" t="s">
        <v>1269</v>
      </c>
      <c r="J114" s="13" t="s">
        <v>1270</v>
      </c>
      <c r="K114" s="13" t="s">
        <v>1038</v>
      </c>
      <c r="L114" s="13" t="s">
        <v>1271</v>
      </c>
      <c r="M114" s="13" t="s">
        <v>1039</v>
      </c>
      <c r="N114" s="13" t="s">
        <v>1003</v>
      </c>
    </row>
    <row r="115" spans="1:14" ht="41.4" x14ac:dyDescent="0.3">
      <c r="A115" s="13">
        <v>113</v>
      </c>
      <c r="B115" s="13" t="s">
        <v>1257</v>
      </c>
      <c r="C115" s="13" t="s">
        <v>1276</v>
      </c>
      <c r="D115" s="13" t="s">
        <v>1277</v>
      </c>
      <c r="E115" s="19">
        <f>'Provider Capture'!H5</f>
        <v>0.1</v>
      </c>
      <c r="F115" s="13" t="s">
        <v>1026</v>
      </c>
      <c r="G115" s="13" t="s">
        <v>1260</v>
      </c>
      <c r="H115" s="13" t="s">
        <v>1261</v>
      </c>
      <c r="I115" s="13" t="s">
        <v>1262</v>
      </c>
      <c r="J115" s="13" t="s">
        <v>1263</v>
      </c>
      <c r="K115" s="13" t="s">
        <v>1046</v>
      </c>
      <c r="L115" s="13" t="s">
        <v>1264</v>
      </c>
      <c r="M115" s="13" t="s">
        <v>1039</v>
      </c>
      <c r="N115" s="13" t="s">
        <v>1003</v>
      </c>
    </row>
    <row r="116" spans="1:14" ht="55.2" x14ac:dyDescent="0.3">
      <c r="A116" s="13">
        <v>114</v>
      </c>
      <c r="B116" s="13" t="s">
        <v>1257</v>
      </c>
      <c r="C116" s="13" t="s">
        <v>1278</v>
      </c>
      <c r="D116" s="13" t="s">
        <v>1279</v>
      </c>
      <c r="E116" s="19">
        <f>'Provider Capture'!L5</f>
        <v>0.16</v>
      </c>
      <c r="F116" s="13" t="s">
        <v>1026</v>
      </c>
      <c r="G116" s="13" t="s">
        <v>1267</v>
      </c>
      <c r="H116" s="13" t="s">
        <v>1268</v>
      </c>
      <c r="I116" s="13" t="s">
        <v>1269</v>
      </c>
      <c r="J116" s="13" t="s">
        <v>1270</v>
      </c>
      <c r="K116" s="13" t="s">
        <v>1038</v>
      </c>
      <c r="L116" s="13" t="s">
        <v>1271</v>
      </c>
      <c r="M116" s="13" t="s">
        <v>1039</v>
      </c>
      <c r="N116" s="13" t="s">
        <v>1003</v>
      </c>
    </row>
    <row r="117" spans="1:14" ht="41.4" x14ac:dyDescent="0.3">
      <c r="A117" s="13">
        <v>115</v>
      </c>
      <c r="B117" s="13" t="s">
        <v>1257</v>
      </c>
      <c r="C117" s="13" t="s">
        <v>1280</v>
      </c>
      <c r="D117" s="13" t="s">
        <v>1281</v>
      </c>
      <c r="E117" s="19">
        <f>'Provider Capture'!H6</f>
        <v>0.12</v>
      </c>
      <c r="F117" s="13" t="s">
        <v>1026</v>
      </c>
      <c r="G117" s="13" t="s">
        <v>1260</v>
      </c>
      <c r="H117" s="13" t="s">
        <v>1261</v>
      </c>
      <c r="I117" s="13" t="s">
        <v>1262</v>
      </c>
      <c r="J117" s="13" t="s">
        <v>1263</v>
      </c>
      <c r="K117" s="13" t="s">
        <v>1046</v>
      </c>
      <c r="L117" s="13" t="s">
        <v>1264</v>
      </c>
      <c r="M117" s="13" t="s">
        <v>1039</v>
      </c>
      <c r="N117" s="13" t="s">
        <v>1003</v>
      </c>
    </row>
    <row r="118" spans="1:14" ht="55.2" x14ac:dyDescent="0.3">
      <c r="A118" s="13">
        <v>116</v>
      </c>
      <c r="B118" s="13" t="s">
        <v>1257</v>
      </c>
      <c r="C118" s="13" t="s">
        <v>1282</v>
      </c>
      <c r="D118" s="13" t="s">
        <v>1283</v>
      </c>
      <c r="E118" s="19">
        <f>'Provider Capture'!L6</f>
        <v>0.19</v>
      </c>
      <c r="F118" s="13" t="s">
        <v>1026</v>
      </c>
      <c r="G118" s="13" t="s">
        <v>1267</v>
      </c>
      <c r="H118" s="13" t="s">
        <v>1268</v>
      </c>
      <c r="I118" s="13" t="s">
        <v>1269</v>
      </c>
      <c r="J118" s="13" t="s">
        <v>1270</v>
      </c>
      <c r="K118" s="13" t="s">
        <v>1038</v>
      </c>
      <c r="L118" s="13" t="s">
        <v>1271</v>
      </c>
      <c r="M118" s="13" t="s">
        <v>1039</v>
      </c>
      <c r="N118" s="13" t="s">
        <v>1003</v>
      </c>
    </row>
    <row r="119" spans="1:14" ht="41.4" x14ac:dyDescent="0.3">
      <c r="A119" s="13">
        <v>117</v>
      </c>
      <c r="B119" s="13" t="s">
        <v>1257</v>
      </c>
      <c r="C119" s="13" t="s">
        <v>1284</v>
      </c>
      <c r="D119" s="13" t="s">
        <v>1285</v>
      </c>
      <c r="E119" s="19">
        <f>'Provider Capture'!H7</f>
        <v>0.1</v>
      </c>
      <c r="F119" s="13" t="s">
        <v>1026</v>
      </c>
      <c r="G119" s="13" t="s">
        <v>1260</v>
      </c>
      <c r="H119" s="13" t="s">
        <v>1261</v>
      </c>
      <c r="I119" s="13" t="s">
        <v>1262</v>
      </c>
      <c r="J119" s="13" t="s">
        <v>1263</v>
      </c>
      <c r="K119" s="13" t="s">
        <v>1046</v>
      </c>
      <c r="L119" s="13" t="s">
        <v>1264</v>
      </c>
      <c r="M119" s="13" t="s">
        <v>1039</v>
      </c>
      <c r="N119" s="13" t="s">
        <v>1003</v>
      </c>
    </row>
    <row r="120" spans="1:14" ht="55.2" x14ac:dyDescent="0.3">
      <c r="A120" s="13">
        <v>118</v>
      </c>
      <c r="B120" s="13" t="s">
        <v>1257</v>
      </c>
      <c r="C120" s="13" t="s">
        <v>1286</v>
      </c>
      <c r="D120" s="13" t="s">
        <v>1287</v>
      </c>
      <c r="E120" s="19">
        <f>'Provider Capture'!L7</f>
        <v>0.16</v>
      </c>
      <c r="F120" s="13" t="s">
        <v>1026</v>
      </c>
      <c r="G120" s="13" t="s">
        <v>1267</v>
      </c>
      <c r="H120" s="13" t="s">
        <v>1268</v>
      </c>
      <c r="I120" s="13" t="s">
        <v>1269</v>
      </c>
      <c r="J120" s="13" t="s">
        <v>1270</v>
      </c>
      <c r="K120" s="13" t="s">
        <v>1038</v>
      </c>
      <c r="L120" s="13" t="s">
        <v>1271</v>
      </c>
      <c r="M120" s="13" t="s">
        <v>1039</v>
      </c>
      <c r="N120" s="13" t="s">
        <v>1003</v>
      </c>
    </row>
    <row r="121" spans="1:14" ht="41.4" x14ac:dyDescent="0.3">
      <c r="A121" s="13">
        <v>119</v>
      </c>
      <c r="B121" s="13" t="s">
        <v>1257</v>
      </c>
      <c r="C121" s="13" t="s">
        <v>1288</v>
      </c>
      <c r="D121" s="13" t="s">
        <v>1289</v>
      </c>
      <c r="E121" s="19">
        <f>'Provider Capture'!H8</f>
        <v>0.1</v>
      </c>
      <c r="F121" s="13" t="s">
        <v>1026</v>
      </c>
      <c r="G121" s="13" t="s">
        <v>1260</v>
      </c>
      <c r="H121" s="13" t="s">
        <v>1261</v>
      </c>
      <c r="I121" s="13" t="s">
        <v>1262</v>
      </c>
      <c r="J121" s="13" t="s">
        <v>1263</v>
      </c>
      <c r="K121" s="13" t="s">
        <v>1046</v>
      </c>
      <c r="L121" s="13" t="s">
        <v>1264</v>
      </c>
      <c r="M121" s="13" t="s">
        <v>1039</v>
      </c>
      <c r="N121" s="13" t="s">
        <v>1003</v>
      </c>
    </row>
    <row r="122" spans="1:14" ht="55.2" x14ac:dyDescent="0.3">
      <c r="A122" s="13">
        <v>120</v>
      </c>
      <c r="B122" s="13" t="s">
        <v>1257</v>
      </c>
      <c r="C122" s="13" t="s">
        <v>1290</v>
      </c>
      <c r="D122" s="13" t="s">
        <v>1291</v>
      </c>
      <c r="E122" s="19">
        <f>'Provider Capture'!L8</f>
        <v>0.16</v>
      </c>
      <c r="F122" s="13" t="s">
        <v>1026</v>
      </c>
      <c r="G122" s="13" t="s">
        <v>1267</v>
      </c>
      <c r="H122" s="13" t="s">
        <v>1268</v>
      </c>
      <c r="I122" s="13" t="s">
        <v>1269</v>
      </c>
      <c r="J122" s="13" t="s">
        <v>1270</v>
      </c>
      <c r="K122" s="13" t="s">
        <v>1038</v>
      </c>
      <c r="L122" s="13" t="s">
        <v>1271</v>
      </c>
      <c r="M122" s="13" t="s">
        <v>1039</v>
      </c>
      <c r="N122" s="13" t="s">
        <v>1003</v>
      </c>
    </row>
    <row r="123" spans="1:14" ht="41.4" x14ac:dyDescent="0.3">
      <c r="A123" s="13">
        <v>121</v>
      </c>
      <c r="B123" s="13" t="s">
        <v>1257</v>
      </c>
      <c r="C123" s="13" t="s">
        <v>1292</v>
      </c>
      <c r="D123" s="13" t="s">
        <v>1293</v>
      </c>
      <c r="E123" s="19">
        <f>'Provider Capture'!H9</f>
        <v>0.15</v>
      </c>
      <c r="F123" s="13" t="s">
        <v>1026</v>
      </c>
      <c r="G123" s="13" t="s">
        <v>1260</v>
      </c>
      <c r="H123" s="13" t="s">
        <v>1261</v>
      </c>
      <c r="I123" s="13" t="s">
        <v>1262</v>
      </c>
      <c r="J123" s="13" t="s">
        <v>1263</v>
      </c>
      <c r="K123" s="13" t="s">
        <v>1046</v>
      </c>
      <c r="L123" s="13" t="s">
        <v>1264</v>
      </c>
      <c r="M123" s="13" t="s">
        <v>1039</v>
      </c>
      <c r="N123" s="13" t="s">
        <v>1003</v>
      </c>
    </row>
    <row r="124" spans="1:14" ht="55.2" x14ac:dyDescent="0.3">
      <c r="A124" s="13">
        <v>122</v>
      </c>
      <c r="B124" s="13" t="s">
        <v>1257</v>
      </c>
      <c r="C124" s="13" t="s">
        <v>1294</v>
      </c>
      <c r="D124" s="13" t="s">
        <v>1295</v>
      </c>
      <c r="E124" s="19">
        <f>'Provider Capture'!L9</f>
        <v>0.26</v>
      </c>
      <c r="F124" s="13" t="s">
        <v>1026</v>
      </c>
      <c r="G124" s="13" t="s">
        <v>1267</v>
      </c>
      <c r="H124" s="13" t="s">
        <v>1268</v>
      </c>
      <c r="I124" s="13" t="s">
        <v>1269</v>
      </c>
      <c r="J124" s="13" t="s">
        <v>1270</v>
      </c>
      <c r="K124" s="13" t="s">
        <v>1038</v>
      </c>
      <c r="L124" s="13" t="s">
        <v>1271</v>
      </c>
      <c r="M124" s="13" t="s">
        <v>1039</v>
      </c>
      <c r="N124" s="13" t="s">
        <v>1003</v>
      </c>
    </row>
    <row r="125" spans="1:14" ht="41.4" x14ac:dyDescent="0.3">
      <c r="A125" s="13">
        <v>123</v>
      </c>
      <c r="B125" s="13" t="s">
        <v>1257</v>
      </c>
      <c r="C125" s="13" t="s">
        <v>1296</v>
      </c>
      <c r="D125" s="13" t="s">
        <v>1297</v>
      </c>
      <c r="E125" s="19">
        <f>'Provider Capture'!H10</f>
        <v>0.12</v>
      </c>
      <c r="F125" s="13" t="s">
        <v>1026</v>
      </c>
      <c r="G125" s="13" t="s">
        <v>1260</v>
      </c>
      <c r="H125" s="13" t="s">
        <v>1261</v>
      </c>
      <c r="I125" s="13" t="s">
        <v>1262</v>
      </c>
      <c r="J125" s="13" t="s">
        <v>1263</v>
      </c>
      <c r="K125" s="13" t="s">
        <v>1046</v>
      </c>
      <c r="L125" s="13" t="s">
        <v>1264</v>
      </c>
      <c r="M125" s="13" t="s">
        <v>1039</v>
      </c>
      <c r="N125" s="13" t="s">
        <v>1003</v>
      </c>
    </row>
    <row r="126" spans="1:14" ht="55.2" x14ac:dyDescent="0.3">
      <c r="A126" s="13">
        <v>124</v>
      </c>
      <c r="B126" s="13" t="s">
        <v>1257</v>
      </c>
      <c r="C126" s="13" t="s">
        <v>1298</v>
      </c>
      <c r="D126" s="13" t="s">
        <v>1299</v>
      </c>
      <c r="E126" s="19">
        <f>'Provider Capture'!L10</f>
        <v>0.2</v>
      </c>
      <c r="F126" s="13" t="s">
        <v>1026</v>
      </c>
      <c r="G126" s="13" t="s">
        <v>1267</v>
      </c>
      <c r="H126" s="13" t="s">
        <v>1268</v>
      </c>
      <c r="I126" s="13" t="s">
        <v>1269</v>
      </c>
      <c r="J126" s="13" t="s">
        <v>1270</v>
      </c>
      <c r="K126" s="13" t="s">
        <v>1038</v>
      </c>
      <c r="L126" s="13" t="s">
        <v>1271</v>
      </c>
      <c r="M126" s="13" t="s">
        <v>1039</v>
      </c>
      <c r="N126" s="13" t="s">
        <v>1003</v>
      </c>
    </row>
    <row r="127" spans="1:14" ht="41.4" x14ac:dyDescent="0.3">
      <c r="A127" s="13">
        <v>125</v>
      </c>
      <c r="B127" s="13" t="s">
        <v>1257</v>
      </c>
      <c r="C127" s="13" t="s">
        <v>1300</v>
      </c>
      <c r="D127" s="13" t="s">
        <v>1301</v>
      </c>
      <c r="E127" s="19">
        <f>'Provider Capture'!H11</f>
        <v>0.14000000000000001</v>
      </c>
      <c r="F127" s="13" t="s">
        <v>1026</v>
      </c>
      <c r="G127" s="13" t="s">
        <v>1260</v>
      </c>
      <c r="H127" s="13" t="s">
        <v>1261</v>
      </c>
      <c r="I127" s="13" t="s">
        <v>1262</v>
      </c>
      <c r="J127" s="13" t="s">
        <v>1263</v>
      </c>
      <c r="K127" s="13" t="s">
        <v>1046</v>
      </c>
      <c r="L127" s="13" t="s">
        <v>1264</v>
      </c>
      <c r="M127" s="13" t="s">
        <v>1039</v>
      </c>
      <c r="N127" s="13" t="s">
        <v>1003</v>
      </c>
    </row>
    <row r="128" spans="1:14" ht="55.2" x14ac:dyDescent="0.3">
      <c r="A128" s="13">
        <v>126</v>
      </c>
      <c r="B128" s="13" t="s">
        <v>1257</v>
      </c>
      <c r="C128" s="13" t="s">
        <v>1302</v>
      </c>
      <c r="D128" s="13" t="s">
        <v>1303</v>
      </c>
      <c r="E128" s="19">
        <f>'Provider Capture'!L11</f>
        <v>0.22</v>
      </c>
      <c r="F128" s="13" t="s">
        <v>1026</v>
      </c>
      <c r="G128" s="13" t="s">
        <v>1267</v>
      </c>
      <c r="H128" s="13" t="s">
        <v>1268</v>
      </c>
      <c r="I128" s="13" t="s">
        <v>1269</v>
      </c>
      <c r="J128" s="13" t="s">
        <v>1270</v>
      </c>
      <c r="K128" s="13" t="s">
        <v>1038</v>
      </c>
      <c r="L128" s="13" t="s">
        <v>1271</v>
      </c>
      <c r="M128" s="13" t="s">
        <v>1039</v>
      </c>
      <c r="N128" s="13" t="s">
        <v>1003</v>
      </c>
    </row>
    <row r="129" spans="1:14" ht="41.4" x14ac:dyDescent="0.3">
      <c r="A129" s="13">
        <v>127</v>
      </c>
      <c r="B129" s="13" t="s">
        <v>1257</v>
      </c>
      <c r="C129" s="13" t="s">
        <v>1304</v>
      </c>
      <c r="D129" s="13" t="s">
        <v>1305</v>
      </c>
      <c r="E129" s="19">
        <f>'Provider Capture'!H12</f>
        <v>0</v>
      </c>
      <c r="F129" s="13" t="s">
        <v>1026</v>
      </c>
      <c r="G129" s="13" t="s">
        <v>1260</v>
      </c>
      <c r="H129" s="13" t="s">
        <v>1261</v>
      </c>
      <c r="I129" s="13" t="s">
        <v>1262</v>
      </c>
      <c r="J129" s="13" t="s">
        <v>1263</v>
      </c>
      <c r="K129" s="13" t="s">
        <v>1046</v>
      </c>
      <c r="L129" s="13" t="s">
        <v>1264</v>
      </c>
      <c r="M129" s="13" t="s">
        <v>1039</v>
      </c>
      <c r="N129" s="13" t="s">
        <v>1003</v>
      </c>
    </row>
    <row r="130" spans="1:14" ht="55.2" x14ac:dyDescent="0.3">
      <c r="A130" s="13">
        <v>128</v>
      </c>
      <c r="B130" s="13" t="s">
        <v>1257</v>
      </c>
      <c r="C130" s="13" t="s">
        <v>1306</v>
      </c>
      <c r="D130" s="13" t="s">
        <v>1307</v>
      </c>
      <c r="E130" s="19">
        <f>'Provider Capture'!L12</f>
        <v>0.25</v>
      </c>
      <c r="F130" s="13" t="s">
        <v>1026</v>
      </c>
      <c r="G130" s="13" t="s">
        <v>1267</v>
      </c>
      <c r="H130" s="13" t="s">
        <v>1268</v>
      </c>
      <c r="I130" s="13" t="s">
        <v>1269</v>
      </c>
      <c r="J130" s="13" t="s">
        <v>1270</v>
      </c>
      <c r="K130" s="13" t="s">
        <v>1038</v>
      </c>
      <c r="L130" s="13" t="s">
        <v>1271</v>
      </c>
      <c r="M130" s="13" t="s">
        <v>1039</v>
      </c>
      <c r="N130" s="13" t="s">
        <v>1003</v>
      </c>
    </row>
    <row r="131" spans="1:14" ht="57.6" x14ac:dyDescent="0.3">
      <c r="A131" s="27">
        <v>129</v>
      </c>
      <c r="B131" s="27" t="s">
        <v>1308</v>
      </c>
      <c r="C131" s="27" t="s">
        <v>1309</v>
      </c>
      <c r="D131" s="27" t="s">
        <v>1310</v>
      </c>
      <c r="E131" s="28">
        <f>'Compression &amp; Secular'!B17</f>
        <v>0.65</v>
      </c>
      <c r="F131" s="27" t="s">
        <v>1026</v>
      </c>
      <c r="G131" s="27" t="s">
        <v>1027</v>
      </c>
      <c r="H131" s="27" t="s">
        <v>1239</v>
      </c>
      <c r="I131" s="27" t="s">
        <v>1311</v>
      </c>
      <c r="J131" s="27" t="s">
        <v>1312</v>
      </c>
      <c r="K131" s="27" t="s">
        <v>1038</v>
      </c>
      <c r="L131" s="27"/>
      <c r="M131" s="27" t="s">
        <v>1018</v>
      </c>
      <c r="N131" s="27" t="s">
        <v>1003</v>
      </c>
    </row>
    <row r="132" spans="1:14" ht="28.8" x14ac:dyDescent="0.3">
      <c r="A132" s="29">
        <v>130</v>
      </c>
      <c r="B132" s="29" t="s">
        <v>1308</v>
      </c>
      <c r="C132" s="29" t="s">
        <v>1313</v>
      </c>
      <c r="D132" s="29" t="s">
        <v>1314</v>
      </c>
      <c r="E132" s="30">
        <f>'Compression &amp; Secular'!B18</f>
        <v>0.12</v>
      </c>
      <c r="F132" s="29" t="s">
        <v>1026</v>
      </c>
      <c r="G132" s="29" t="s">
        <v>1315</v>
      </c>
      <c r="H132" s="29" t="s">
        <v>1316</v>
      </c>
      <c r="I132" s="29" t="s">
        <v>1317</v>
      </c>
      <c r="J132" s="29" t="s">
        <v>1318</v>
      </c>
      <c r="K132" s="29" t="s">
        <v>1010</v>
      </c>
      <c r="L132" s="29"/>
      <c r="M132" s="29" t="s">
        <v>1011</v>
      </c>
      <c r="N132" s="29" t="s">
        <v>1003</v>
      </c>
    </row>
    <row r="133" spans="1:14" ht="28.8" x14ac:dyDescent="0.3">
      <c r="A133" s="29">
        <v>131</v>
      </c>
      <c r="B133" s="29" t="s">
        <v>1308</v>
      </c>
      <c r="C133" s="29" t="s">
        <v>1319</v>
      </c>
      <c r="D133" s="29" t="s">
        <v>1320</v>
      </c>
      <c r="E133" s="30">
        <f>'Compression &amp; Secular'!B19</f>
        <v>0.25</v>
      </c>
      <c r="F133" s="29" t="s">
        <v>1026</v>
      </c>
      <c r="G133" s="29" t="s">
        <v>1315</v>
      </c>
      <c r="H133" s="29" t="s">
        <v>1316</v>
      </c>
      <c r="I133" s="29" t="s">
        <v>1321</v>
      </c>
      <c r="J133" s="29" t="s">
        <v>1322</v>
      </c>
      <c r="K133" s="29" t="s">
        <v>1010</v>
      </c>
      <c r="L133" s="29"/>
      <c r="M133" s="29" t="s">
        <v>1011</v>
      </c>
      <c r="N133" s="29" t="s">
        <v>1003</v>
      </c>
    </row>
    <row r="134" spans="1:14" ht="43.2" x14ac:dyDescent="0.3">
      <c r="A134" s="31">
        <v>132</v>
      </c>
      <c r="B134" s="31" t="s">
        <v>994</v>
      </c>
      <c r="C134" s="31" t="s">
        <v>1323</v>
      </c>
      <c r="D134" s="31" t="s">
        <v>1324</v>
      </c>
      <c r="E134" s="33">
        <f>'Compression &amp; Secular'!B20</f>
        <v>3.8100000000000002E-2</v>
      </c>
      <c r="F134" s="31" t="s">
        <v>1026</v>
      </c>
      <c r="G134" s="31" t="s">
        <v>1325</v>
      </c>
      <c r="H134" s="31" t="s">
        <v>1326</v>
      </c>
      <c r="I134" s="31" t="s">
        <v>1327</v>
      </c>
      <c r="J134" s="31" t="s">
        <v>1328</v>
      </c>
      <c r="K134" s="31" t="s">
        <v>1031</v>
      </c>
      <c r="L134" s="31" t="s">
        <v>1329</v>
      </c>
      <c r="M134" s="31" t="s">
        <v>1002</v>
      </c>
      <c r="N134" s="31" t="s">
        <v>1003</v>
      </c>
    </row>
    <row r="135" spans="1:14" ht="43.2" x14ac:dyDescent="0.3">
      <c r="A135" s="26">
        <v>133</v>
      </c>
      <c r="B135" s="26" t="s">
        <v>994</v>
      </c>
      <c r="C135" s="26" t="s">
        <v>1330</v>
      </c>
      <c r="D135" s="26" t="s">
        <v>1331</v>
      </c>
      <c r="E135" s="32">
        <v>2.1000000000000001E-2</v>
      </c>
      <c r="F135" s="26" t="s">
        <v>1026</v>
      </c>
      <c r="G135" s="26" t="s">
        <v>1325</v>
      </c>
      <c r="H135" s="26" t="s">
        <v>1332</v>
      </c>
      <c r="I135" s="26" t="s">
        <v>1333</v>
      </c>
      <c r="J135" s="26" t="s">
        <v>1334</v>
      </c>
      <c r="K135" s="26" t="s">
        <v>1031</v>
      </c>
      <c r="L135" s="26" t="s">
        <v>1335</v>
      </c>
      <c r="M135" s="26" t="s">
        <v>1002</v>
      </c>
      <c r="N135" s="26" t="s">
        <v>1003</v>
      </c>
    </row>
    <row r="136" spans="1:14" ht="43.2" x14ac:dyDescent="0.3">
      <c r="A136" s="26">
        <v>134</v>
      </c>
      <c r="B136" s="26" t="s">
        <v>994</v>
      </c>
      <c r="C136" s="26" t="s">
        <v>1336</v>
      </c>
      <c r="D136" s="26" t="s">
        <v>1337</v>
      </c>
      <c r="E136" s="32">
        <v>4.4999999999999998E-2</v>
      </c>
      <c r="F136" s="26" t="s">
        <v>1026</v>
      </c>
      <c r="G136" s="26" t="s">
        <v>1325</v>
      </c>
      <c r="H136" s="26" t="s">
        <v>1338</v>
      </c>
      <c r="I136" s="26" t="s">
        <v>1339</v>
      </c>
      <c r="J136" s="26" t="s">
        <v>1340</v>
      </c>
      <c r="K136" s="26" t="s">
        <v>1031</v>
      </c>
      <c r="L136" s="26" t="s">
        <v>1341</v>
      </c>
      <c r="M136" s="26" t="s">
        <v>1002</v>
      </c>
      <c r="N136" s="26" t="s">
        <v>1003</v>
      </c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"/>
  <sheetViews>
    <sheetView showGridLines="0" workbookViewId="0">
      <selection sqref="A1:L1"/>
    </sheetView>
  </sheetViews>
  <sheetFormatPr defaultRowHeight="14.4" x14ac:dyDescent="0.3"/>
  <cols>
    <col min="1" max="1" width="30" customWidth="1"/>
    <col min="2" max="2" width="14" customWidth="1"/>
    <col min="3" max="6" width="36" customWidth="1"/>
    <col min="7" max="7" width="30" customWidth="1"/>
    <col min="8" max="8" width="58" customWidth="1"/>
    <col min="9" max="10" width="38" customWidth="1"/>
  </cols>
  <sheetData>
    <row r="1" spans="1:10" ht="31.95" customHeight="1" x14ac:dyDescent="0.3">
      <c r="A1" s="120" t="s">
        <v>1342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0" ht="55.05" customHeight="1" x14ac:dyDescent="0.3">
      <c r="A2" s="14" t="s">
        <v>1343</v>
      </c>
      <c r="B2" s="14" t="s">
        <v>1344</v>
      </c>
      <c r="C2" s="14" t="s">
        <v>1345</v>
      </c>
      <c r="D2" s="14" t="s">
        <v>1346</v>
      </c>
      <c r="E2" s="14" t="s">
        <v>1347</v>
      </c>
      <c r="F2" s="14" t="s">
        <v>991</v>
      </c>
      <c r="G2" s="14" t="s">
        <v>1348</v>
      </c>
      <c r="H2" s="14" t="s">
        <v>992</v>
      </c>
      <c r="I2" s="14" t="s">
        <v>1349</v>
      </c>
      <c r="J2" s="14" t="s">
        <v>1350</v>
      </c>
    </row>
    <row r="3" spans="1:10" ht="55.2" x14ac:dyDescent="0.3">
      <c r="A3" s="13" t="s">
        <v>18</v>
      </c>
      <c r="B3" s="16">
        <v>0.9</v>
      </c>
      <c r="C3" s="13" t="s">
        <v>1351</v>
      </c>
      <c r="D3" s="13" t="s">
        <v>1352</v>
      </c>
      <c r="E3" s="13" t="s">
        <v>1353</v>
      </c>
      <c r="F3" s="13" t="s">
        <v>1031</v>
      </c>
      <c r="G3" s="13" t="s">
        <v>1354</v>
      </c>
      <c r="H3" s="13" t="s">
        <v>1355</v>
      </c>
      <c r="I3" s="13" t="s">
        <v>1356</v>
      </c>
      <c r="J3" s="13" t="s">
        <v>1357</v>
      </c>
    </row>
    <row r="4" spans="1:10" ht="55.2" x14ac:dyDescent="0.3">
      <c r="A4" s="13" t="s">
        <v>24</v>
      </c>
      <c r="B4" s="16">
        <v>0.95</v>
      </c>
      <c r="C4" s="13" t="s">
        <v>1358</v>
      </c>
      <c r="D4" s="13" t="s">
        <v>1359</v>
      </c>
      <c r="E4" s="13" t="s">
        <v>1360</v>
      </c>
      <c r="F4" s="13" t="s">
        <v>1031</v>
      </c>
      <c r="G4" s="13" t="s">
        <v>1361</v>
      </c>
      <c r="H4" s="13" t="s">
        <v>1362</v>
      </c>
      <c r="I4" s="13" t="s">
        <v>1363</v>
      </c>
      <c r="J4" s="13" t="s">
        <v>1364</v>
      </c>
    </row>
    <row r="5" spans="1:10" ht="41.4" x14ac:dyDescent="0.3">
      <c r="A5" s="13" t="s">
        <v>22</v>
      </c>
      <c r="B5" s="16">
        <v>0.85</v>
      </c>
      <c r="C5" s="13" t="s">
        <v>1365</v>
      </c>
      <c r="D5" s="13" t="s">
        <v>1366</v>
      </c>
      <c r="E5" s="13" t="s">
        <v>1367</v>
      </c>
      <c r="F5" s="13" t="s">
        <v>1046</v>
      </c>
      <c r="G5" s="13" t="s">
        <v>1368</v>
      </c>
      <c r="H5" s="13" t="s">
        <v>1059</v>
      </c>
      <c r="I5" s="13" t="s">
        <v>1369</v>
      </c>
      <c r="J5" s="13" t="s">
        <v>1370</v>
      </c>
    </row>
    <row r="6" spans="1:10" ht="41.4" x14ac:dyDescent="0.3">
      <c r="A6" s="13" t="s">
        <v>20</v>
      </c>
      <c r="B6" s="16">
        <v>0.6</v>
      </c>
      <c r="C6" s="13" t="s">
        <v>1371</v>
      </c>
      <c r="D6" s="13" t="s">
        <v>1372</v>
      </c>
      <c r="E6" s="13" t="s">
        <v>1373</v>
      </c>
      <c r="F6" s="13" t="s">
        <v>1031</v>
      </c>
      <c r="G6" s="13" t="s">
        <v>1368</v>
      </c>
      <c r="H6" s="13" t="s">
        <v>1059</v>
      </c>
      <c r="I6" s="13" t="s">
        <v>1374</v>
      </c>
      <c r="J6" s="13" t="s">
        <v>1375</v>
      </c>
    </row>
    <row r="7" spans="1:10" ht="41.4" x14ac:dyDescent="0.3">
      <c r="A7" s="13" t="s">
        <v>28</v>
      </c>
      <c r="B7" s="16">
        <v>0.7</v>
      </c>
      <c r="C7" s="13" t="s">
        <v>1376</v>
      </c>
      <c r="D7" s="13" t="s">
        <v>1377</v>
      </c>
      <c r="E7" s="13" t="s">
        <v>1378</v>
      </c>
      <c r="F7" s="13" t="s">
        <v>1038</v>
      </c>
      <c r="G7" s="13" t="s">
        <v>1379</v>
      </c>
      <c r="H7" s="13"/>
      <c r="I7" s="13" t="s">
        <v>1380</v>
      </c>
      <c r="J7" s="13" t="s">
        <v>1381</v>
      </c>
    </row>
    <row r="8" spans="1:10" ht="55.2" x14ac:dyDescent="0.3">
      <c r="A8" s="13" t="s">
        <v>73</v>
      </c>
      <c r="B8" s="16">
        <v>0.7</v>
      </c>
      <c r="C8" s="13" t="s">
        <v>1382</v>
      </c>
      <c r="D8" s="13" t="s">
        <v>1383</v>
      </c>
      <c r="E8" s="13" t="s">
        <v>1384</v>
      </c>
      <c r="F8" s="13" t="s">
        <v>1031</v>
      </c>
      <c r="G8" s="13" t="s">
        <v>1368</v>
      </c>
      <c r="H8" s="13" t="s">
        <v>1059</v>
      </c>
      <c r="I8" s="13" t="s">
        <v>1385</v>
      </c>
      <c r="J8" s="13" t="s">
        <v>1386</v>
      </c>
    </row>
    <row r="9" spans="1:10" ht="41.4" x14ac:dyDescent="0.3">
      <c r="A9" s="13" t="s">
        <v>40</v>
      </c>
      <c r="B9" s="16">
        <v>0.7</v>
      </c>
      <c r="C9" s="13" t="s">
        <v>1387</v>
      </c>
      <c r="D9" s="13" t="s">
        <v>1388</v>
      </c>
      <c r="E9" s="13" t="s">
        <v>1389</v>
      </c>
      <c r="F9" s="13" t="s">
        <v>1046</v>
      </c>
      <c r="G9" s="13" t="s">
        <v>1390</v>
      </c>
      <c r="H9" s="13"/>
      <c r="I9" s="13" t="s">
        <v>1391</v>
      </c>
      <c r="J9" s="13" t="s">
        <v>1392</v>
      </c>
    </row>
    <row r="10" spans="1:10" ht="41.4" x14ac:dyDescent="0.3">
      <c r="A10" s="13" t="s">
        <v>56</v>
      </c>
      <c r="B10" s="16">
        <v>0.3</v>
      </c>
      <c r="C10" s="13" t="s">
        <v>1393</v>
      </c>
      <c r="D10" s="13" t="s">
        <v>1394</v>
      </c>
      <c r="E10" s="13" t="s">
        <v>1395</v>
      </c>
      <c r="F10" s="13" t="s">
        <v>1031</v>
      </c>
      <c r="G10" s="13" t="s">
        <v>1361</v>
      </c>
      <c r="H10" s="13" t="s">
        <v>1362</v>
      </c>
      <c r="I10" s="13" t="s">
        <v>1396</v>
      </c>
      <c r="J10" s="13" t="s">
        <v>1397</v>
      </c>
    </row>
    <row r="11" spans="1:10" ht="41.4" x14ac:dyDescent="0.3">
      <c r="A11" s="13" t="s">
        <v>30</v>
      </c>
      <c r="B11" s="16">
        <v>0.1</v>
      </c>
      <c r="C11" s="13" t="s">
        <v>1398</v>
      </c>
      <c r="D11" s="13" t="s">
        <v>1399</v>
      </c>
      <c r="E11" s="13" t="s">
        <v>1400</v>
      </c>
      <c r="F11" s="13" t="s">
        <v>1038</v>
      </c>
      <c r="G11" s="13" t="s">
        <v>1379</v>
      </c>
      <c r="H11" s="13"/>
      <c r="I11" s="13" t="s">
        <v>1401</v>
      </c>
      <c r="J11" s="13" t="s">
        <v>1402</v>
      </c>
    </row>
  </sheetData>
  <mergeCells count="1">
    <mergeCell ref="A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13"/>
  <sheetViews>
    <sheetView showGridLines="0" topLeftCell="D1" workbookViewId="0">
      <selection sqref="A1:L1"/>
    </sheetView>
  </sheetViews>
  <sheetFormatPr defaultRowHeight="14.4" x14ac:dyDescent="0.3"/>
  <cols>
    <col min="1" max="1" width="28" customWidth="1"/>
    <col min="2" max="2" width="44" customWidth="1"/>
    <col min="3" max="18" width="14" customWidth="1"/>
    <col min="19" max="23" width="38" customWidth="1"/>
  </cols>
  <sheetData>
    <row r="1" spans="1:23" ht="31.95" customHeight="1" x14ac:dyDescent="0.3">
      <c r="A1" s="120" t="s">
        <v>1403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</row>
    <row r="2" spans="1:23" ht="67.95" customHeight="1" x14ac:dyDescent="0.3">
      <c r="A2" s="14" t="s">
        <v>940</v>
      </c>
      <c r="B2" s="14" t="s">
        <v>941</v>
      </c>
      <c r="C2" s="14" t="s">
        <v>1404</v>
      </c>
      <c r="D2" s="14" t="s">
        <v>1405</v>
      </c>
      <c r="E2" s="14" t="s">
        <v>1406</v>
      </c>
      <c r="F2" s="14" t="s">
        <v>1407</v>
      </c>
      <c r="G2" s="14" t="s">
        <v>1408</v>
      </c>
      <c r="H2" s="14" t="s">
        <v>1409</v>
      </c>
      <c r="I2" s="14" t="s">
        <v>1410</v>
      </c>
      <c r="J2" s="14" t="s">
        <v>1411</v>
      </c>
      <c r="K2" s="14" t="s">
        <v>1412</v>
      </c>
      <c r="L2" s="14" t="s">
        <v>1413</v>
      </c>
      <c r="M2" s="14" t="s">
        <v>1414</v>
      </c>
      <c r="N2" s="14" t="s">
        <v>1415</v>
      </c>
      <c r="O2" s="14" t="s">
        <v>968</v>
      </c>
      <c r="P2" s="14" t="s">
        <v>971</v>
      </c>
      <c r="Q2" s="14" t="s">
        <v>973</v>
      </c>
      <c r="R2" s="14" t="s">
        <v>1416</v>
      </c>
      <c r="S2" s="14" t="s">
        <v>1417</v>
      </c>
      <c r="T2" s="14" t="s">
        <v>1418</v>
      </c>
      <c r="U2" s="14" t="s">
        <v>1419</v>
      </c>
      <c r="V2" s="14" t="s">
        <v>892</v>
      </c>
      <c r="W2" s="14" t="s">
        <v>1420</v>
      </c>
    </row>
    <row r="3" spans="1:23" ht="27.6" x14ac:dyDescent="0.3">
      <c r="A3" s="13" t="s">
        <v>628</v>
      </c>
      <c r="B3" s="13" t="s">
        <v>629</v>
      </c>
      <c r="C3" s="95" t="e">
        <f>'TAM Bridge'!$B$5*'Service Line TAM'!#REF!</f>
        <v>#REF!</v>
      </c>
      <c r="D3" s="95" t="e">
        <f>C3*(1+'TAM Bridge'!B6/'TAM Bridge'!B5+'TAM Bridge'!B7/'TAM Bridge'!B5)</f>
        <v>#REF!</v>
      </c>
      <c r="E3" s="95" t="e">
        <f>'Service Line TAM'!#REF!</f>
        <v>#REF!</v>
      </c>
      <c r="F3" s="95" t="e">
        <f t="shared" ref="F3:F11" si="0">D3+E3</f>
        <v>#REF!</v>
      </c>
      <c r="G3" s="17">
        <v>0.55000000000000004</v>
      </c>
      <c r="H3" s="17">
        <v>0.12</v>
      </c>
      <c r="I3" s="17">
        <v>0.18</v>
      </c>
      <c r="J3" s="17">
        <v>0.15</v>
      </c>
      <c r="K3" s="17">
        <v>0.47</v>
      </c>
      <c r="L3" s="17">
        <v>0.21</v>
      </c>
      <c r="M3" s="17">
        <v>0.16</v>
      </c>
      <c r="N3" s="17">
        <v>0.16</v>
      </c>
      <c r="O3" s="18" t="e">
        <f t="shared" ref="O3:O11" si="1">C3*H3*1000</f>
        <v>#REF!</v>
      </c>
      <c r="P3" s="18" t="e">
        <f t="shared" ref="P3:P12" si="2">F3*L3*1000</f>
        <v>#REF!</v>
      </c>
      <c r="Q3" s="18" t="e">
        <f t="shared" ref="Q3:Q11" si="3">P3-O3</f>
        <v>#REF!</v>
      </c>
      <c r="R3" s="19">
        <f t="shared" ref="R3:R11" si="4">L3-H3</f>
        <v>0.09</v>
      </c>
      <c r="S3" s="13" t="s">
        <v>1421</v>
      </c>
      <c r="T3" s="13" t="s">
        <v>1422</v>
      </c>
      <c r="U3" s="13" t="s">
        <v>1423</v>
      </c>
      <c r="V3" s="13" t="s">
        <v>1264</v>
      </c>
      <c r="W3" s="13" t="s">
        <v>1424</v>
      </c>
    </row>
    <row r="4" spans="1:23" ht="27.6" x14ac:dyDescent="0.3">
      <c r="A4" s="13" t="s">
        <v>628</v>
      </c>
      <c r="B4" s="13" t="s">
        <v>655</v>
      </c>
      <c r="C4" s="95" t="e">
        <f>'TAM Bridge'!$B$5*'Service Line TAM'!#REF!</f>
        <v>#REF!</v>
      </c>
      <c r="D4" s="95" t="e">
        <f>C4*(1+'TAM Bridge'!B6/'TAM Bridge'!B5+'TAM Bridge'!B7/'TAM Bridge'!B5)</f>
        <v>#REF!</v>
      </c>
      <c r="E4" s="95" t="e">
        <f>'Service Line TAM'!#REF!</f>
        <v>#REF!</v>
      </c>
      <c r="F4" s="95" t="e">
        <f t="shared" si="0"/>
        <v>#REF!</v>
      </c>
      <c r="G4" s="17">
        <v>0.6</v>
      </c>
      <c r="H4" s="17">
        <v>0.1</v>
      </c>
      <c r="I4" s="17">
        <v>0.16</v>
      </c>
      <c r="J4" s="17">
        <v>0.14000000000000001</v>
      </c>
      <c r="K4" s="17">
        <v>0.55000000000000004</v>
      </c>
      <c r="L4" s="17">
        <v>0.16</v>
      </c>
      <c r="M4" s="17">
        <v>0.16</v>
      </c>
      <c r="N4" s="17">
        <v>0.13</v>
      </c>
      <c r="O4" s="18" t="e">
        <f t="shared" si="1"/>
        <v>#REF!</v>
      </c>
      <c r="P4" s="18" t="e">
        <f t="shared" si="2"/>
        <v>#REF!</v>
      </c>
      <c r="Q4" s="18" t="e">
        <f t="shared" si="3"/>
        <v>#REF!</v>
      </c>
      <c r="R4" s="19">
        <f t="shared" si="4"/>
        <v>0.06</v>
      </c>
      <c r="S4" s="13" t="s">
        <v>1425</v>
      </c>
      <c r="T4" s="13" t="s">
        <v>1422</v>
      </c>
      <c r="U4" s="13" t="s">
        <v>1423</v>
      </c>
      <c r="V4" s="13" t="s">
        <v>1264</v>
      </c>
      <c r="W4" s="13" t="s">
        <v>1424</v>
      </c>
    </row>
    <row r="5" spans="1:23" ht="41.4" x14ac:dyDescent="0.3">
      <c r="A5" s="13" t="s">
        <v>628</v>
      </c>
      <c r="B5" s="13" t="s">
        <v>682</v>
      </c>
      <c r="C5" s="95" t="e">
        <f>'TAM Bridge'!$B$5*'Service Line TAM'!#REF!</f>
        <v>#REF!</v>
      </c>
      <c r="D5" s="95" t="e">
        <f>C5*(1+'TAM Bridge'!B6/'TAM Bridge'!B5+'TAM Bridge'!B7/'TAM Bridge'!B5)</f>
        <v>#REF!</v>
      </c>
      <c r="E5" s="95" t="e">
        <f>'Service Line TAM'!#REF!</f>
        <v>#REF!</v>
      </c>
      <c r="F5" s="95" t="e">
        <f t="shared" si="0"/>
        <v>#REF!</v>
      </c>
      <c r="G5" s="17">
        <v>0.5</v>
      </c>
      <c r="H5" s="17">
        <v>0.1</v>
      </c>
      <c r="I5" s="17">
        <v>0.3</v>
      </c>
      <c r="J5" s="17">
        <v>0.1</v>
      </c>
      <c r="K5" s="17">
        <v>0.45</v>
      </c>
      <c r="L5" s="17">
        <v>0.16</v>
      </c>
      <c r="M5" s="17">
        <v>0.28999999999999998</v>
      </c>
      <c r="N5" s="17">
        <v>0.1</v>
      </c>
      <c r="O5" s="18" t="e">
        <f t="shared" si="1"/>
        <v>#REF!</v>
      </c>
      <c r="P5" s="18" t="e">
        <f t="shared" si="2"/>
        <v>#REF!</v>
      </c>
      <c r="Q5" s="18" t="e">
        <f t="shared" si="3"/>
        <v>#REF!</v>
      </c>
      <c r="R5" s="19">
        <f t="shared" si="4"/>
        <v>0.06</v>
      </c>
      <c r="S5" s="13" t="s">
        <v>1426</v>
      </c>
      <c r="T5" s="13" t="s">
        <v>1422</v>
      </c>
      <c r="U5" s="13" t="s">
        <v>1423</v>
      </c>
      <c r="V5" s="13" t="s">
        <v>1264</v>
      </c>
      <c r="W5" s="13" t="s">
        <v>1424</v>
      </c>
    </row>
    <row r="6" spans="1:23" ht="27.6" x14ac:dyDescent="0.3">
      <c r="A6" s="13" t="s">
        <v>801</v>
      </c>
      <c r="B6" s="13" t="s">
        <v>948</v>
      </c>
      <c r="C6" s="95" t="e">
        <f>'TAM Bridge'!$B$5*'Service Line TAM'!#REF!</f>
        <v>#REF!</v>
      </c>
      <c r="D6" s="95" t="e">
        <f>C6*(1+'TAM Bridge'!B6/'TAM Bridge'!B5+'TAM Bridge'!B7/'TAM Bridge'!B5)</f>
        <v>#REF!</v>
      </c>
      <c r="E6" s="95" t="e">
        <f>'Service Line TAM'!#REF!</f>
        <v>#REF!</v>
      </c>
      <c r="F6" s="95" t="e">
        <f t="shared" si="0"/>
        <v>#REF!</v>
      </c>
      <c r="G6" s="17">
        <v>0.55000000000000004</v>
      </c>
      <c r="H6" s="17">
        <v>0.12</v>
      </c>
      <c r="I6" s="17">
        <v>0.18</v>
      </c>
      <c r="J6" s="17">
        <v>0.15</v>
      </c>
      <c r="K6" s="17">
        <v>0.49</v>
      </c>
      <c r="L6" s="17">
        <v>0.19</v>
      </c>
      <c r="M6" s="17">
        <v>0.17</v>
      </c>
      <c r="N6" s="17">
        <v>0.15</v>
      </c>
      <c r="O6" s="18" t="e">
        <f t="shared" si="1"/>
        <v>#REF!</v>
      </c>
      <c r="P6" s="18" t="e">
        <f t="shared" si="2"/>
        <v>#REF!</v>
      </c>
      <c r="Q6" s="18" t="e">
        <f t="shared" si="3"/>
        <v>#REF!</v>
      </c>
      <c r="R6" s="19">
        <f t="shared" si="4"/>
        <v>7.0000000000000007E-2</v>
      </c>
      <c r="S6" s="13" t="s">
        <v>1427</v>
      </c>
      <c r="T6" s="13" t="s">
        <v>1422</v>
      </c>
      <c r="U6" s="13" t="s">
        <v>1423</v>
      </c>
      <c r="V6" s="13" t="s">
        <v>1264</v>
      </c>
      <c r="W6" s="13" t="s">
        <v>1424</v>
      </c>
    </row>
    <row r="7" spans="1:23" ht="27.6" x14ac:dyDescent="0.3">
      <c r="A7" s="13" t="s">
        <v>801</v>
      </c>
      <c r="B7" s="13" t="s">
        <v>682</v>
      </c>
      <c r="C7" s="95" t="e">
        <f>'TAM Bridge'!$B$5*'Service Line TAM'!#REF!</f>
        <v>#REF!</v>
      </c>
      <c r="D7" s="95" t="e">
        <f>C7*(1+'TAM Bridge'!B6/'TAM Bridge'!B5+'TAM Bridge'!B7/'TAM Bridge'!B5)</f>
        <v>#REF!</v>
      </c>
      <c r="E7" s="95" t="e">
        <f>'Service Line TAM'!#REF!</f>
        <v>#REF!</v>
      </c>
      <c r="F7" s="95" t="e">
        <f t="shared" si="0"/>
        <v>#REF!</v>
      </c>
      <c r="G7" s="17">
        <v>0.5</v>
      </c>
      <c r="H7" s="17">
        <v>0.1</v>
      </c>
      <c r="I7" s="17">
        <v>0.28000000000000003</v>
      </c>
      <c r="J7" s="17">
        <v>0.12</v>
      </c>
      <c r="K7" s="17">
        <v>0.45</v>
      </c>
      <c r="L7" s="17">
        <v>0.16</v>
      </c>
      <c r="M7" s="17">
        <v>0.27</v>
      </c>
      <c r="N7" s="17">
        <v>0.12</v>
      </c>
      <c r="O7" s="18" t="e">
        <f t="shared" si="1"/>
        <v>#REF!</v>
      </c>
      <c r="P7" s="18" t="e">
        <f t="shared" si="2"/>
        <v>#REF!</v>
      </c>
      <c r="Q7" s="18" t="e">
        <f t="shared" si="3"/>
        <v>#REF!</v>
      </c>
      <c r="R7" s="19">
        <f t="shared" si="4"/>
        <v>0.06</v>
      </c>
      <c r="S7" s="13" t="s">
        <v>1428</v>
      </c>
      <c r="T7" s="13" t="s">
        <v>1422</v>
      </c>
      <c r="U7" s="13" t="s">
        <v>1423</v>
      </c>
      <c r="V7" s="13" t="s">
        <v>1264</v>
      </c>
      <c r="W7" s="13" t="s">
        <v>1424</v>
      </c>
    </row>
    <row r="8" spans="1:23" ht="41.4" x14ac:dyDescent="0.3">
      <c r="A8" s="13" t="s">
        <v>801</v>
      </c>
      <c r="B8" s="13" t="s">
        <v>949</v>
      </c>
      <c r="C8" s="95" t="e">
        <f>'TAM Bridge'!$B$5*'Service Line TAM'!#REF!</f>
        <v>#REF!</v>
      </c>
      <c r="D8" s="95" t="e">
        <f>C8*(1+'TAM Bridge'!B6/'TAM Bridge'!B5+'TAM Bridge'!B7/'TAM Bridge'!B5)</f>
        <v>#REF!</v>
      </c>
      <c r="E8" s="95" t="e">
        <f>'Service Line TAM'!#REF!</f>
        <v>#REF!</v>
      </c>
      <c r="F8" s="95" t="e">
        <f t="shared" si="0"/>
        <v>#REF!</v>
      </c>
      <c r="G8" s="17">
        <v>0.57999999999999996</v>
      </c>
      <c r="H8" s="17">
        <v>0.1</v>
      </c>
      <c r="I8" s="17">
        <v>0.12</v>
      </c>
      <c r="J8" s="17">
        <v>0.2</v>
      </c>
      <c r="K8" s="17">
        <v>0.5</v>
      </c>
      <c r="L8" s="17">
        <v>0.16</v>
      </c>
      <c r="M8" s="17">
        <v>0.13</v>
      </c>
      <c r="N8" s="17">
        <v>0.21</v>
      </c>
      <c r="O8" s="18" t="e">
        <f t="shared" si="1"/>
        <v>#REF!</v>
      </c>
      <c r="P8" s="18" t="e">
        <f t="shared" si="2"/>
        <v>#REF!</v>
      </c>
      <c r="Q8" s="18" t="e">
        <f t="shared" si="3"/>
        <v>#REF!</v>
      </c>
      <c r="R8" s="19">
        <f t="shared" si="4"/>
        <v>0.06</v>
      </c>
      <c r="S8" s="13" t="s">
        <v>1429</v>
      </c>
      <c r="T8" s="13" t="s">
        <v>1422</v>
      </c>
      <c r="U8" s="13" t="s">
        <v>1423</v>
      </c>
      <c r="V8" s="13" t="s">
        <v>1264</v>
      </c>
      <c r="W8" s="13" t="s">
        <v>1424</v>
      </c>
    </row>
    <row r="9" spans="1:23" ht="27.6" x14ac:dyDescent="0.3">
      <c r="A9" s="13" t="s">
        <v>770</v>
      </c>
      <c r="B9" s="13" t="s">
        <v>948</v>
      </c>
      <c r="C9" s="95" t="e">
        <f>'TAM Bridge'!$B$5*'Service Line TAM'!#REF!</f>
        <v>#REF!</v>
      </c>
      <c r="D9" s="95" t="e">
        <f>C9*(1+'TAM Bridge'!B6/'TAM Bridge'!B5+'TAM Bridge'!B7/'TAM Bridge'!B5)</f>
        <v>#REF!</v>
      </c>
      <c r="E9" s="95" t="e">
        <f>'Service Line TAM'!#REF!</f>
        <v>#REF!</v>
      </c>
      <c r="F9" s="95" t="e">
        <f t="shared" si="0"/>
        <v>#REF!</v>
      </c>
      <c r="G9" s="17">
        <v>0.48</v>
      </c>
      <c r="H9" s="17">
        <v>0.15</v>
      </c>
      <c r="I9" s="17">
        <v>0.25</v>
      </c>
      <c r="J9" s="17">
        <v>0.12</v>
      </c>
      <c r="K9" s="17">
        <v>0.41</v>
      </c>
      <c r="L9" s="17">
        <v>0.26</v>
      </c>
      <c r="M9" s="17">
        <v>0.21</v>
      </c>
      <c r="N9" s="17">
        <v>0.12</v>
      </c>
      <c r="O9" s="18" t="e">
        <f t="shared" si="1"/>
        <v>#REF!</v>
      </c>
      <c r="P9" s="18" t="e">
        <f t="shared" si="2"/>
        <v>#REF!</v>
      </c>
      <c r="Q9" s="18" t="e">
        <f t="shared" si="3"/>
        <v>#REF!</v>
      </c>
      <c r="R9" s="19">
        <f t="shared" si="4"/>
        <v>0.11000000000000001</v>
      </c>
      <c r="S9" s="13" t="s">
        <v>1430</v>
      </c>
      <c r="T9" s="13" t="s">
        <v>1422</v>
      </c>
      <c r="U9" s="13" t="s">
        <v>1423</v>
      </c>
      <c r="V9" s="13" t="s">
        <v>1264</v>
      </c>
      <c r="W9" s="13" t="s">
        <v>1424</v>
      </c>
    </row>
    <row r="10" spans="1:23" ht="27.6" x14ac:dyDescent="0.3">
      <c r="A10" s="13" t="s">
        <v>770</v>
      </c>
      <c r="B10" s="13" t="s">
        <v>655</v>
      </c>
      <c r="C10" s="95" t="e">
        <f>'TAM Bridge'!$B$5*'Service Line TAM'!#REF!</f>
        <v>#REF!</v>
      </c>
      <c r="D10" s="95" t="e">
        <f>C10*(1+'TAM Bridge'!B6/'TAM Bridge'!B5+'TAM Bridge'!B7/'TAM Bridge'!B5)</f>
        <v>#REF!</v>
      </c>
      <c r="E10" s="95" t="e">
        <f>'Service Line TAM'!#REF!</f>
        <v>#REF!</v>
      </c>
      <c r="F10" s="95" t="e">
        <f t="shared" si="0"/>
        <v>#REF!</v>
      </c>
      <c r="G10" s="17">
        <v>0.55000000000000004</v>
      </c>
      <c r="H10" s="17">
        <v>0.12</v>
      </c>
      <c r="I10" s="17">
        <v>0.23</v>
      </c>
      <c r="J10" s="17">
        <v>0.1</v>
      </c>
      <c r="K10" s="17">
        <v>0.48</v>
      </c>
      <c r="L10" s="17">
        <v>0.2</v>
      </c>
      <c r="M10" s="17">
        <v>0.21</v>
      </c>
      <c r="N10" s="17">
        <v>0.11</v>
      </c>
      <c r="O10" s="18" t="e">
        <f t="shared" si="1"/>
        <v>#REF!</v>
      </c>
      <c r="P10" s="18" t="e">
        <f t="shared" si="2"/>
        <v>#REF!</v>
      </c>
      <c r="Q10" s="18" t="e">
        <f t="shared" si="3"/>
        <v>#REF!</v>
      </c>
      <c r="R10" s="19">
        <f t="shared" si="4"/>
        <v>8.0000000000000016E-2</v>
      </c>
      <c r="S10" s="13" t="s">
        <v>1431</v>
      </c>
      <c r="T10" s="13" t="s">
        <v>1422</v>
      </c>
      <c r="U10" s="13" t="s">
        <v>1423</v>
      </c>
      <c r="V10" s="13" t="s">
        <v>1264</v>
      </c>
      <c r="W10" s="13" t="s">
        <v>1424</v>
      </c>
    </row>
    <row r="11" spans="1:23" ht="27.6" x14ac:dyDescent="0.3">
      <c r="A11" s="13" t="s">
        <v>770</v>
      </c>
      <c r="B11" s="13" t="s">
        <v>682</v>
      </c>
      <c r="C11" s="95" t="e">
        <f>'TAM Bridge'!$B$5*'Service Line TAM'!#REF!</f>
        <v>#REF!</v>
      </c>
      <c r="D11" s="95" t="e">
        <f>C11*(1+'TAM Bridge'!B6/'TAM Bridge'!B5+'TAM Bridge'!B7/'TAM Bridge'!B5)</f>
        <v>#REF!</v>
      </c>
      <c r="E11" s="95" t="e">
        <f>'Service Line TAM'!#REF!</f>
        <v>#REF!</v>
      </c>
      <c r="F11" s="95" t="e">
        <f t="shared" si="0"/>
        <v>#REF!</v>
      </c>
      <c r="G11" s="17">
        <v>0.45</v>
      </c>
      <c r="H11" s="17">
        <v>0.14000000000000001</v>
      </c>
      <c r="I11" s="17">
        <v>0.31</v>
      </c>
      <c r="J11" s="17">
        <v>0.1</v>
      </c>
      <c r="K11" s="17">
        <v>0.39</v>
      </c>
      <c r="L11" s="17">
        <v>0.22</v>
      </c>
      <c r="M11" s="17">
        <v>0.28999999999999998</v>
      </c>
      <c r="N11" s="17">
        <v>0.1</v>
      </c>
      <c r="O11" s="18" t="e">
        <f t="shared" si="1"/>
        <v>#REF!</v>
      </c>
      <c r="P11" s="18" t="e">
        <f t="shared" si="2"/>
        <v>#REF!</v>
      </c>
      <c r="Q11" s="18" t="e">
        <f t="shared" si="3"/>
        <v>#REF!</v>
      </c>
      <c r="R11" s="19">
        <f t="shared" si="4"/>
        <v>7.9999999999999988E-2</v>
      </c>
      <c r="S11" s="13" t="s">
        <v>1432</v>
      </c>
      <c r="T11" s="13" t="s">
        <v>1422</v>
      </c>
      <c r="U11" s="13" t="s">
        <v>1423</v>
      </c>
      <c r="V11" s="13" t="s">
        <v>1264</v>
      </c>
      <c r="W11" s="13" t="s">
        <v>1424</v>
      </c>
    </row>
    <row r="12" spans="1:23" ht="55.2" x14ac:dyDescent="0.3">
      <c r="A12" s="13" t="s">
        <v>1433</v>
      </c>
      <c r="B12" s="13" t="s">
        <v>1434</v>
      </c>
      <c r="C12" s="95">
        <v>0</v>
      </c>
      <c r="D12" s="95">
        <v>0</v>
      </c>
      <c r="E12" s="95">
        <f>'TAM Bridge'!B11</f>
        <v>0.21922150845834792</v>
      </c>
      <c r="F12" s="95">
        <f>E12</f>
        <v>0.21922150845834792</v>
      </c>
      <c r="G12" s="17">
        <v>0</v>
      </c>
      <c r="H12" s="17">
        <v>0</v>
      </c>
      <c r="I12" s="17">
        <v>0</v>
      </c>
      <c r="J12" s="17">
        <v>0</v>
      </c>
      <c r="K12" s="17">
        <v>0.4</v>
      </c>
      <c r="L12" s="17">
        <v>0.25</v>
      </c>
      <c r="M12" s="17">
        <v>0.25</v>
      </c>
      <c r="N12" s="17">
        <v>0.1</v>
      </c>
      <c r="O12" s="18"/>
      <c r="P12" s="18">
        <f t="shared" si="2"/>
        <v>54.805377114586982</v>
      </c>
      <c r="Q12" s="18">
        <f>P12</f>
        <v>54.805377114586982</v>
      </c>
      <c r="R12" s="19"/>
      <c r="S12" s="13" t="s">
        <v>1435</v>
      </c>
      <c r="T12" s="13" t="s">
        <v>1436</v>
      </c>
      <c r="U12" s="13" t="s">
        <v>1437</v>
      </c>
      <c r="V12" s="13" t="s">
        <v>1256</v>
      </c>
      <c r="W12" s="13" t="s">
        <v>1438</v>
      </c>
    </row>
    <row r="13" spans="1:23" x14ac:dyDescent="0.3">
      <c r="A13" s="20" t="s">
        <v>1439</v>
      </c>
      <c r="B13" s="20"/>
      <c r="C13" s="96" t="e">
        <f>SUM(C3:C12)</f>
        <v>#REF!</v>
      </c>
      <c r="D13" s="96" t="e">
        <f>SUM(D3:D12)</f>
        <v>#REF!</v>
      </c>
      <c r="E13" s="96" t="e">
        <f>SUM(E3:E12)</f>
        <v>#REF!</v>
      </c>
      <c r="F13" s="96" t="e">
        <f>SUM(F3:F12)</f>
        <v>#REF!</v>
      </c>
      <c r="G13" s="20" t="e">
        <f>SUMPRODUCT(G3:G12,C3:C12)/SUM(C3:C12)</f>
        <v>#REF!</v>
      </c>
      <c r="H13" s="20" t="e">
        <f>SUMPRODUCT(H3:H12,C3:C12)/SUM(C3:C12)</f>
        <v>#REF!</v>
      </c>
      <c r="I13" s="20" t="e">
        <f>SUMPRODUCT(I3:I12,C3:C12)/SUM(C3:C12)</f>
        <v>#REF!</v>
      </c>
      <c r="J13" s="20" t="e">
        <f>SUMPRODUCT(J3:J12,C3:C12)/SUM(C3:C12)</f>
        <v>#REF!</v>
      </c>
      <c r="K13" s="20" t="e">
        <f>SUMPRODUCT(K3:K12,F3:F12)/SUM(F3:F12)</f>
        <v>#REF!</v>
      </c>
      <c r="L13" s="20" t="e">
        <f>SUMPRODUCT(L3:L12,F3:F12)/SUM(F3:F12)</f>
        <v>#REF!</v>
      </c>
      <c r="M13" s="20" t="e">
        <f>SUMPRODUCT(M3:M12,F3:F12)/SUM(F3:F12)</f>
        <v>#REF!</v>
      </c>
      <c r="N13" s="20" t="e">
        <f>SUMPRODUCT(N3:N12,F3:F12)/SUM(F3:F12)</f>
        <v>#REF!</v>
      </c>
      <c r="O13" s="21" t="e">
        <f>SUM(O3:O12)</f>
        <v>#REF!</v>
      </c>
      <c r="P13" s="21" t="e">
        <f>SUM(P3:P12)</f>
        <v>#REF!</v>
      </c>
      <c r="Q13" s="21" t="e">
        <f>SUM(Q3:Q12)</f>
        <v>#REF!</v>
      </c>
      <c r="R13" s="22" t="e">
        <f>L13-H13</f>
        <v>#REF!</v>
      </c>
      <c r="S13" s="20"/>
      <c r="T13" s="20"/>
      <c r="U13" s="20"/>
      <c r="V13" s="20"/>
      <c r="W13" s="20"/>
    </row>
  </sheetData>
  <mergeCells count="1">
    <mergeCell ref="A1:W1"/>
  </mergeCells>
  <pageMargins left="0.7" right="0.7" top="0.75" bottom="0.75" header="0.3" footer="0.3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"/>
  <sheetViews>
    <sheetView showGridLines="0" workbookViewId="0">
      <selection sqref="A1:L1"/>
    </sheetView>
  </sheetViews>
  <sheetFormatPr defaultRowHeight="14.4" x14ac:dyDescent="0.3"/>
  <cols>
    <col min="1" max="1" width="18" customWidth="1"/>
    <col min="2" max="11" width="17" customWidth="1"/>
    <col min="12" max="12" width="55" customWidth="1"/>
    <col min="13" max="14" width="19" customWidth="1"/>
  </cols>
  <sheetData>
    <row r="1" spans="1:14" ht="31.95" customHeight="1" x14ac:dyDescent="0.3">
      <c r="A1" s="120" t="s">
        <v>1440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18"/>
      <c r="N1" s="118"/>
    </row>
    <row r="2" spans="1:1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4" ht="58.05" customHeight="1" x14ac:dyDescent="0.3">
      <c r="A3" s="14" t="s">
        <v>1441</v>
      </c>
      <c r="B3" s="14" t="s">
        <v>945</v>
      </c>
      <c r="C3" s="14" t="s">
        <v>1442</v>
      </c>
      <c r="D3" s="14" t="s">
        <v>885</v>
      </c>
      <c r="E3" s="14" t="s">
        <v>1443</v>
      </c>
      <c r="F3" s="14" t="s">
        <v>1444</v>
      </c>
      <c r="G3" s="14" t="s">
        <v>1445</v>
      </c>
      <c r="H3" s="14" t="s">
        <v>1446</v>
      </c>
      <c r="I3" s="14" t="s">
        <v>1447</v>
      </c>
      <c r="J3" s="14" t="s">
        <v>1448</v>
      </c>
      <c r="K3" s="14" t="s">
        <v>973</v>
      </c>
      <c r="L3" s="14" t="s">
        <v>946</v>
      </c>
      <c r="M3" s="25" t="s">
        <v>1324</v>
      </c>
      <c r="N3" s="25" t="s">
        <v>1449</v>
      </c>
    </row>
    <row r="4" spans="1:14" ht="27.6" x14ac:dyDescent="0.3">
      <c r="A4" s="13" t="s">
        <v>1450</v>
      </c>
      <c r="B4" s="17">
        <v>0.35</v>
      </c>
      <c r="C4" s="17">
        <v>0.05</v>
      </c>
      <c r="D4" s="17">
        <v>0.01</v>
      </c>
      <c r="E4" s="17">
        <v>0.1</v>
      </c>
      <c r="F4" s="23" t="e">
        <f>'Service Line TAM'!#REF!*B4*(1-C4)</f>
        <v>#REF!</v>
      </c>
      <c r="G4" s="23">
        <f>'Adjacent TAM Detail'!Q15/1000*D4*(1-E4)</f>
        <v>0.12980220895560077</v>
      </c>
      <c r="H4" s="23" t="e">
        <f>'TAM Bridge'!B5+F4+G4+N4</f>
        <v>#REF!</v>
      </c>
      <c r="I4" s="17">
        <v>0.14000000000000001</v>
      </c>
      <c r="J4" s="18" t="e">
        <f>H4*I4*1000</f>
        <v>#REF!</v>
      </c>
      <c r="K4" s="18" t="e">
        <f>J4-'Provider Capture'!O13</f>
        <v>#REF!</v>
      </c>
      <c r="L4" s="13" t="s">
        <v>1451</v>
      </c>
      <c r="M4" s="34">
        <v>2.1000000000000001E-2</v>
      </c>
      <c r="N4" s="24" t="e">
        <f>'TAM Bridge'!B5*((1+M4)^5-1)-'Compression &amp; Secular'!B21</f>
        <v>#REF!</v>
      </c>
    </row>
    <row r="5" spans="1:14" ht="27.6" x14ac:dyDescent="0.3">
      <c r="A5" s="13" t="s">
        <v>1452</v>
      </c>
      <c r="B5" s="17">
        <v>0.5</v>
      </c>
      <c r="C5" s="17">
        <v>0.03</v>
      </c>
      <c r="D5" s="17">
        <v>1.6E-2</v>
      </c>
      <c r="E5" s="17">
        <v>0.05</v>
      </c>
      <c r="F5" s="23" t="e">
        <f>'Service Line TAM'!#REF!*B5*(1-C5)</f>
        <v>#REF!</v>
      </c>
      <c r="G5" s="23">
        <f>'Adjacent TAM Detail'!Q15/1000*D5*(1-E5)</f>
        <v>0.21922150845834792</v>
      </c>
      <c r="H5" s="23" t="e">
        <f>'TAM Bridge'!B5+F5+G5+N5</f>
        <v>#REF!</v>
      </c>
      <c r="I5" s="17" t="e">
        <f>'Provider Capture'!L13</f>
        <v>#REF!</v>
      </c>
      <c r="J5" s="18" t="e">
        <f>H5*I5*1000</f>
        <v>#REF!</v>
      </c>
      <c r="K5" s="18" t="e">
        <f>J5-'Provider Capture'!O13</f>
        <v>#REF!</v>
      </c>
      <c r="L5" s="13" t="s">
        <v>1453</v>
      </c>
      <c r="M5" s="34">
        <v>3.8100000000000002E-2</v>
      </c>
      <c r="N5" s="24" t="e">
        <f>'TAM Bridge'!B5*((1+M5)^5-1)-'Compression &amp; Secular'!B21</f>
        <v>#REF!</v>
      </c>
    </row>
    <row r="6" spans="1:14" ht="27.6" x14ac:dyDescent="0.3">
      <c r="A6" s="13" t="s">
        <v>1454</v>
      </c>
      <c r="B6" s="17">
        <v>0.65</v>
      </c>
      <c r="C6" s="17">
        <v>0.02</v>
      </c>
      <c r="D6" s="17">
        <v>2.1999999999999999E-2</v>
      </c>
      <c r="E6" s="17">
        <v>0.03</v>
      </c>
      <c r="F6" s="23" t="e">
        <f>'Service Line TAM'!#REF!*B6*(1-C6)</f>
        <v>#REF!</v>
      </c>
      <c r="G6" s="23">
        <f>'Adjacent TAM Detail'!Q15/1000*D6*(1-E6)</f>
        <v>0.3077754599013911</v>
      </c>
      <c r="H6" s="23" t="e">
        <f>'TAM Bridge'!B5+F6+G6+N6</f>
        <v>#REF!</v>
      </c>
      <c r="I6" s="17">
        <v>0.22</v>
      </c>
      <c r="J6" s="18" t="e">
        <f>H6*I6*1000</f>
        <v>#REF!</v>
      </c>
      <c r="K6" s="18" t="e">
        <f>J6-'Provider Capture'!O13</f>
        <v>#REF!</v>
      </c>
      <c r="L6" s="13" t="s">
        <v>1455</v>
      </c>
      <c r="M6" s="34">
        <v>4.4999999999999998E-2</v>
      </c>
      <c r="N6" s="24" t="e">
        <f>'TAM Bridge'!B5*((1+M6)^5-1)-'Compression &amp; Secular'!B21</f>
        <v>#REF!</v>
      </c>
    </row>
  </sheetData>
  <mergeCells count="1">
    <mergeCell ref="A1:N1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9"/>
  <sheetViews>
    <sheetView showGridLines="0" topLeftCell="C1" workbookViewId="0">
      <selection sqref="A1:L1"/>
    </sheetView>
  </sheetViews>
  <sheetFormatPr defaultRowHeight="14.4" x14ac:dyDescent="0.3"/>
  <cols>
    <col min="1" max="1" width="34" customWidth="1"/>
    <col min="2" max="2" width="42" customWidth="1"/>
    <col min="3" max="3" width="18" customWidth="1"/>
    <col min="4" max="4" width="28" customWidth="1"/>
    <col min="5" max="5" width="18" customWidth="1"/>
    <col min="6" max="6" width="25" customWidth="1"/>
    <col min="7" max="7" width="23" customWidth="1"/>
    <col min="8" max="8" width="42" customWidth="1"/>
    <col min="9" max="9" width="28" customWidth="1"/>
  </cols>
  <sheetData>
    <row r="1" spans="1:9" ht="15" customHeight="1" x14ac:dyDescent="0.4">
      <c r="A1" s="123" t="s">
        <v>1456</v>
      </c>
      <c r="B1" s="123"/>
      <c r="C1" s="123"/>
      <c r="D1" s="123"/>
      <c r="E1" s="123"/>
      <c r="F1" s="123"/>
      <c r="G1" s="123"/>
      <c r="H1" s="123"/>
      <c r="I1" s="123"/>
    </row>
    <row r="2" spans="1:9" ht="15" customHeight="1" x14ac:dyDescent="0.3">
      <c r="A2" s="124" t="s">
        <v>1457</v>
      </c>
      <c r="B2" s="124"/>
      <c r="C2" s="124"/>
      <c r="D2" s="124"/>
      <c r="E2" s="124"/>
      <c r="F2" s="124"/>
      <c r="G2" s="124"/>
      <c r="H2" s="124"/>
      <c r="I2" s="124"/>
    </row>
    <row r="3" spans="1:9" ht="15" customHeight="1" x14ac:dyDescent="0.3">
      <c r="A3" s="3"/>
      <c r="B3" s="3"/>
      <c r="C3" s="3"/>
      <c r="D3" s="3"/>
      <c r="E3" s="3"/>
      <c r="F3" s="3"/>
      <c r="G3" s="3"/>
      <c r="H3" s="3"/>
      <c r="I3" s="3"/>
    </row>
    <row r="4" spans="1:9" ht="37.950000000000003" customHeight="1" x14ac:dyDescent="0.3">
      <c r="A4" s="89" t="s">
        <v>940</v>
      </c>
      <c r="B4" s="90" t="s">
        <v>941</v>
      </c>
      <c r="C4" s="90" t="s">
        <v>1458</v>
      </c>
      <c r="D4" s="90" t="s">
        <v>1459</v>
      </c>
      <c r="E4" s="90" t="s">
        <v>1460</v>
      </c>
      <c r="F4" s="90" t="s">
        <v>1461</v>
      </c>
      <c r="G4" s="90" t="s">
        <v>1462</v>
      </c>
      <c r="H4" s="90" t="s">
        <v>1463</v>
      </c>
    </row>
    <row r="5" spans="1:9" ht="24" customHeight="1" x14ac:dyDescent="0.3">
      <c r="A5" s="48" t="str">
        <f>'Service Line TAM'!A3</f>
        <v>Digital Business</v>
      </c>
      <c r="B5" s="48" t="str">
        <f>'Service Line TAM'!B3</f>
        <v>Application Maintenance &amp; Development</v>
      </c>
      <c r="C5" s="49">
        <f>'Service Line TAM'!D3</f>
        <v>0.75119047619047596</v>
      </c>
      <c r="D5" s="49">
        <f>'Service Line TAM'!E3</f>
        <v>0.60212121212121206</v>
      </c>
      <c r="E5" s="50">
        <f t="shared" ref="E5:E13" si="0">$B$17</f>
        <v>0.65</v>
      </c>
      <c r="F5" s="50">
        <f>'Productivity Derivation'!B5</f>
        <v>0.22970711297071125</v>
      </c>
      <c r="G5" s="50">
        <f>MIN($B$19,MAX($B$18,F5))</f>
        <v>0.22970711297071125</v>
      </c>
      <c r="H5" s="51" t="e">
        <f>-$B$16*#REF!*G5</f>
        <v>#REF!</v>
      </c>
    </row>
    <row r="6" spans="1:9" ht="24" customHeight="1" x14ac:dyDescent="0.3">
      <c r="A6" s="48" t="str">
        <f>'Service Line TAM'!A4</f>
        <v>Digital Business</v>
      </c>
      <c r="B6" s="48" t="str">
        <f>'Service Line TAM'!B4</f>
        <v>Business Process Services</v>
      </c>
      <c r="C6" s="49">
        <f>'Service Line TAM'!D4</f>
        <v>0.75049999999999983</v>
      </c>
      <c r="D6" s="49">
        <f>'Service Line TAM'!E4</f>
        <v>0.60599999999999987</v>
      </c>
      <c r="E6" s="50">
        <f t="shared" si="0"/>
        <v>0.65</v>
      </c>
      <c r="F6" s="50">
        <f>'Productivity Derivation'!B6</f>
        <v>0.17580374999999995</v>
      </c>
      <c r="G6" s="50">
        <f t="shared" ref="G6:G14" si="1">MIN($B$19,MAX($B$18,F6))</f>
        <v>0.17580374999999995</v>
      </c>
      <c r="H6" s="51" t="e">
        <f>-$B$16*#REF!*G6</f>
        <v>#REF!</v>
      </c>
    </row>
    <row r="7" spans="1:9" ht="24" customHeight="1" x14ac:dyDescent="0.3">
      <c r="A7" s="48" t="str">
        <f>'Service Line TAM'!A5</f>
        <v>Digital Business</v>
      </c>
      <c r="B7" s="48" t="str">
        <f>'Service Line TAM'!B5</f>
        <v>Consulting</v>
      </c>
      <c r="C7" s="49">
        <f>'Service Line TAM'!D5</f>
        <v>0.61712500000000003</v>
      </c>
      <c r="D7" s="49">
        <f>'Service Line TAM'!E5</f>
        <v>0.32</v>
      </c>
      <c r="E7" s="50">
        <f t="shared" si="0"/>
        <v>0.65</v>
      </c>
      <c r="F7" s="50">
        <f>'Productivity Derivation'!B7</f>
        <v>0.15870750000000006</v>
      </c>
      <c r="G7" s="50">
        <f t="shared" si="1"/>
        <v>0.15870750000000006</v>
      </c>
      <c r="H7" s="51" t="e">
        <f>-$B$16*#REF!*G7</f>
        <v>#REF!</v>
      </c>
    </row>
    <row r="8" spans="1:9" ht="24" customHeight="1" x14ac:dyDescent="0.3">
      <c r="A8" s="48" t="str">
        <f>'Service Line TAM'!A6</f>
        <v>Digital Technology &amp; Cloud</v>
      </c>
      <c r="B8" s="48" t="str">
        <f>'Service Line TAM'!B6</f>
        <v>Application Implementation &amp; Managed Services</v>
      </c>
      <c r="C8" s="49">
        <f>'Service Line TAM'!D6</f>
        <v>0.79037499999999994</v>
      </c>
      <c r="D8" s="49">
        <f>'Service Line TAM'!E6</f>
        <v>0.63</v>
      </c>
      <c r="E8" s="50">
        <f t="shared" si="0"/>
        <v>0.65</v>
      </c>
      <c r="F8" s="50">
        <f>'Productivity Derivation'!B8</f>
        <v>0.24458625000000006</v>
      </c>
      <c r="G8" s="50">
        <f t="shared" si="1"/>
        <v>0.24458625000000006</v>
      </c>
      <c r="H8" s="51" t="e">
        <f>-$B$16*#REF!*G8</f>
        <v>#REF!</v>
      </c>
    </row>
    <row r="9" spans="1:9" ht="24" customHeight="1" x14ac:dyDescent="0.3">
      <c r="A9" s="48" t="str">
        <f>'Service Line TAM'!A7</f>
        <v>Digital Technology &amp; Cloud</v>
      </c>
      <c r="B9" s="48" t="str">
        <f>'Service Line TAM'!B7</f>
        <v>Consulting</v>
      </c>
      <c r="C9" s="49">
        <f>'Service Line TAM'!D7</f>
        <v>0.61375000000000013</v>
      </c>
      <c r="D9" s="49">
        <f>'Service Line TAM'!E7</f>
        <v>0.37</v>
      </c>
      <c r="E9" s="50">
        <f t="shared" si="0"/>
        <v>0.65</v>
      </c>
      <c r="F9" s="50">
        <f>'Productivity Derivation'!B7</f>
        <v>0.15870750000000006</v>
      </c>
      <c r="G9" s="50">
        <f t="shared" si="1"/>
        <v>0.15870750000000006</v>
      </c>
      <c r="H9" s="51" t="e">
        <f>-$B$16*#REF!*G9</f>
        <v>#REF!</v>
      </c>
    </row>
    <row r="10" spans="1:9" ht="24" customHeight="1" x14ac:dyDescent="0.3">
      <c r="A10" s="48" t="str">
        <f>'Service Line TAM'!A8</f>
        <v>Digital Technology &amp; Cloud</v>
      </c>
      <c r="B10" s="48" t="str">
        <f>'Service Line TAM'!B8</f>
        <v>Infrastructure Implementation &amp; Managed Services</v>
      </c>
      <c r="C10" s="49">
        <f>'Service Line TAM'!D8</f>
        <v>0.82425000000000015</v>
      </c>
      <c r="D10" s="49">
        <f>'Service Line TAM'!E8</f>
        <v>0.73</v>
      </c>
      <c r="E10" s="50">
        <f t="shared" si="0"/>
        <v>0.65</v>
      </c>
      <c r="F10" s="50">
        <f>'Productivity Derivation'!B9</f>
        <v>0.15052500000000002</v>
      </c>
      <c r="G10" s="50">
        <f t="shared" si="1"/>
        <v>0.15052500000000002</v>
      </c>
      <c r="H10" s="51" t="e">
        <f>-$B$16*#REF!*G10</f>
        <v>#REF!</v>
      </c>
    </row>
    <row r="11" spans="1:9" ht="24" customHeight="1" x14ac:dyDescent="0.3">
      <c r="A11" s="48" t="str">
        <f>'Service Line TAM'!A9</f>
        <v>Digital Product Engineering</v>
      </c>
      <c r="B11" s="48" t="str">
        <f>'Service Line TAM'!B9</f>
        <v>Application Implementation &amp; Managed Services</v>
      </c>
      <c r="C11" s="49">
        <f>'Service Line TAM'!D9</f>
        <v>0.82850000000000001</v>
      </c>
      <c r="D11" s="49">
        <f>'Service Line TAM'!E9</f>
        <v>0.67</v>
      </c>
      <c r="E11" s="50">
        <f t="shared" si="0"/>
        <v>0.65</v>
      </c>
      <c r="F11" s="50">
        <f>'Productivity Derivation'!B8</f>
        <v>0.24458625000000006</v>
      </c>
      <c r="G11" s="50">
        <f t="shared" si="1"/>
        <v>0.24458625000000006</v>
      </c>
      <c r="H11" s="51" t="e">
        <f>-$B$16*#REF!*G11</f>
        <v>#REF!</v>
      </c>
    </row>
    <row r="12" spans="1:9" ht="24" customHeight="1" x14ac:dyDescent="0.3">
      <c r="A12" s="48" t="e">
        <f>'Service Line TAM'!#REF!</f>
        <v>#REF!</v>
      </c>
      <c r="B12" s="48" t="e">
        <f>'Service Line TAM'!#REF!</f>
        <v>#REF!</v>
      </c>
      <c r="C12" s="49" t="e">
        <f>'Service Line TAM'!#REF!</f>
        <v>#REF!</v>
      </c>
      <c r="D12" s="49" t="e">
        <f>'Service Line TAM'!#REF!</f>
        <v>#REF!</v>
      </c>
      <c r="E12" s="50">
        <f t="shared" si="0"/>
        <v>0.65</v>
      </c>
      <c r="F12" s="50">
        <f>'Productivity Derivation'!B6</f>
        <v>0.17580374999999995</v>
      </c>
      <c r="G12" s="50">
        <f t="shared" si="1"/>
        <v>0.17580374999999995</v>
      </c>
      <c r="H12" s="51" t="e">
        <f>-$B$16*#REF!*G12</f>
        <v>#REF!</v>
      </c>
    </row>
    <row r="13" spans="1:9" ht="24" customHeight="1" x14ac:dyDescent="0.3">
      <c r="A13" s="48" t="str">
        <f>'Service Line TAM'!A10</f>
        <v>Digital Product Engineering</v>
      </c>
      <c r="B13" s="48" t="str">
        <f>'Service Line TAM'!B10</f>
        <v>Consulting</v>
      </c>
      <c r="C13" s="49">
        <f>'Service Line TAM'!D10</f>
        <v>0.62425000000000008</v>
      </c>
      <c r="D13" s="49">
        <f>'Service Line TAM'!E10</f>
        <v>0.32</v>
      </c>
      <c r="E13" s="50">
        <f t="shared" si="0"/>
        <v>0.65</v>
      </c>
      <c r="F13" s="50">
        <f>'Productivity Derivation'!B7</f>
        <v>0.15870750000000006</v>
      </c>
      <c r="G13" s="50">
        <f t="shared" si="1"/>
        <v>0.15870750000000006</v>
      </c>
      <c r="H13" s="51" t="e">
        <f>-$B$16*#REF!*G13</f>
        <v>#REF!</v>
      </c>
    </row>
    <row r="14" spans="1:9" ht="24" customHeight="1" x14ac:dyDescent="0.3">
      <c r="A14" s="52" t="s">
        <v>801</v>
      </c>
      <c r="B14" s="52" t="s">
        <v>802</v>
      </c>
      <c r="C14" s="53">
        <f>'Service Line TAM'!D11</f>
        <v>0.8015000000000001</v>
      </c>
      <c r="D14" s="53">
        <v>0.65</v>
      </c>
      <c r="E14" s="54">
        <v>0.65</v>
      </c>
      <c r="F14" s="54">
        <f>'Productivity Derivation'!B10</f>
        <v>0.23881500000000003</v>
      </c>
      <c r="G14" s="54">
        <f t="shared" si="1"/>
        <v>0.23881500000000003</v>
      </c>
      <c r="H14" s="55" t="e">
        <f>-$B$16*#REF!*G14</f>
        <v>#REF!</v>
      </c>
    </row>
    <row r="15" spans="1:9" ht="24" customHeight="1" x14ac:dyDescent="0.3">
      <c r="A15" s="3" t="s">
        <v>1464</v>
      </c>
      <c r="B15" s="3"/>
      <c r="C15" s="3"/>
      <c r="D15" s="3"/>
      <c r="E15" s="3"/>
      <c r="F15" s="3"/>
      <c r="G15" s="3" t="e">
        <f>SUMPRODUCT(#REF!,G5:G14)</f>
        <v>#REF!</v>
      </c>
      <c r="H15" s="3" t="e">
        <f>SUM(H5:H14)</f>
        <v>#REF!</v>
      </c>
    </row>
    <row r="16" spans="1:9" ht="64.05" customHeight="1" x14ac:dyDescent="0.3">
      <c r="A16" s="56" t="s">
        <v>1465</v>
      </c>
      <c r="B16" s="94">
        <f>'TAM Bridge'!B5</f>
        <v>1.1363099999999999</v>
      </c>
      <c r="C16" s="3"/>
      <c r="D16" s="57" t="s">
        <v>1466</v>
      </c>
      <c r="E16" s="57"/>
      <c r="F16" s="57" t="s">
        <v>1467</v>
      </c>
      <c r="G16" s="57" t="s">
        <v>1468</v>
      </c>
      <c r="H16" s="57" t="s">
        <v>1047</v>
      </c>
      <c r="I16" s="57" t="s">
        <v>1469</v>
      </c>
    </row>
    <row r="17" spans="1:9" ht="37.950000000000003" customHeight="1" x14ac:dyDescent="0.3">
      <c r="A17" s="3" t="s">
        <v>1470</v>
      </c>
      <c r="B17" s="8">
        <v>0.65</v>
      </c>
      <c r="C17" s="3"/>
      <c r="D17" s="58" t="s">
        <v>1471</v>
      </c>
      <c r="E17" s="59">
        <v>2.1000000000000001E-2</v>
      </c>
      <c r="F17" s="58" t="s">
        <v>1472</v>
      </c>
      <c r="G17" s="58" t="s">
        <v>1473</v>
      </c>
      <c r="H17" s="58" t="s">
        <v>1335</v>
      </c>
      <c r="I17" s="58" t="s">
        <v>1474</v>
      </c>
    </row>
    <row r="18" spans="1:9" ht="37.950000000000003" customHeight="1" x14ac:dyDescent="0.3">
      <c r="A18" s="3" t="s">
        <v>1314</v>
      </c>
      <c r="B18" s="8">
        <v>0.12</v>
      </c>
      <c r="C18" s="3"/>
      <c r="D18" s="60" t="s">
        <v>1475</v>
      </c>
      <c r="E18" s="61">
        <v>3.8100000000000002E-2</v>
      </c>
      <c r="F18" s="60" t="s">
        <v>1476</v>
      </c>
      <c r="G18" s="60" t="s">
        <v>1477</v>
      </c>
      <c r="H18" s="60" t="s">
        <v>1329</v>
      </c>
      <c r="I18" s="60" t="s">
        <v>1478</v>
      </c>
    </row>
    <row r="19" spans="1:9" ht="37.950000000000003" customHeight="1" x14ac:dyDescent="0.3">
      <c r="A19" s="3" t="s">
        <v>1320</v>
      </c>
      <c r="B19" s="8">
        <v>0.25</v>
      </c>
      <c r="C19" s="3"/>
      <c r="D19" s="62" t="s">
        <v>1479</v>
      </c>
      <c r="E19" s="63">
        <v>4.4999999999999998E-2</v>
      </c>
      <c r="F19" s="62" t="s">
        <v>1480</v>
      </c>
      <c r="G19" s="62" t="s">
        <v>1481</v>
      </c>
      <c r="H19" s="62" t="s">
        <v>1341</v>
      </c>
      <c r="I19" s="62" t="s">
        <v>1482</v>
      </c>
    </row>
    <row r="20" spans="1:9" ht="37.950000000000003" customHeight="1" x14ac:dyDescent="0.3">
      <c r="A20" s="3" t="s">
        <v>1324</v>
      </c>
      <c r="B20" s="64">
        <f>E18</f>
        <v>3.8100000000000002E-2</v>
      </c>
      <c r="C20" s="3"/>
      <c r="D20" s="3"/>
      <c r="E20" s="3"/>
      <c r="F20" s="3"/>
      <c r="G20" s="3"/>
      <c r="H20" s="3"/>
      <c r="I20" s="3"/>
    </row>
    <row r="21" spans="1:9" ht="15" customHeight="1" x14ac:dyDescent="0.3">
      <c r="A21" s="3" t="s">
        <v>1483</v>
      </c>
      <c r="B21" s="65" t="e">
        <f>-H15</f>
        <v>#REF!</v>
      </c>
      <c r="C21" s="3"/>
      <c r="D21" s="3"/>
      <c r="E21" s="3"/>
      <c r="F21" s="3"/>
      <c r="G21" s="3"/>
      <c r="H21" s="3"/>
      <c r="I21" s="3"/>
    </row>
    <row r="22" spans="1:9" ht="15" customHeight="1" x14ac:dyDescent="0.3">
      <c r="A22" s="3" t="s">
        <v>1484</v>
      </c>
      <c r="B22" s="65">
        <f>B16*((1+B20)^5-1)</f>
        <v>0.23360235930182177</v>
      </c>
      <c r="C22" s="3"/>
      <c r="D22" s="3"/>
      <c r="E22" s="3"/>
      <c r="F22" s="3"/>
      <c r="G22" s="3"/>
      <c r="H22" s="3"/>
      <c r="I22" s="3"/>
    </row>
    <row r="23" spans="1:9" ht="15" customHeight="1" x14ac:dyDescent="0.3">
      <c r="A23" s="3" t="s">
        <v>1485</v>
      </c>
      <c r="B23" s="65" t="e">
        <f>B22-B21</f>
        <v>#REF!</v>
      </c>
      <c r="C23" s="3"/>
      <c r="D23" s="3"/>
      <c r="E23" s="3"/>
      <c r="F23" s="3"/>
      <c r="G23" s="3"/>
      <c r="H23" s="3"/>
      <c r="I23" s="3"/>
    </row>
    <row r="24" spans="1:9" ht="15" customHeight="1" x14ac:dyDescent="0.3">
      <c r="A24" s="3" t="s">
        <v>1486</v>
      </c>
      <c r="B24" s="15" t="e">
        <f>(1+B21/B16)^(1/5)-1</f>
        <v>#REF!</v>
      </c>
      <c r="C24" s="3"/>
      <c r="D24" s="3"/>
      <c r="E24" s="3"/>
      <c r="F24" s="3"/>
      <c r="G24" s="3"/>
      <c r="H24" s="3"/>
      <c r="I24" s="3"/>
    </row>
    <row r="25" spans="1:9" ht="15" customHeight="1" x14ac:dyDescent="0.3">
      <c r="A25" s="3" t="s">
        <v>1487</v>
      </c>
      <c r="B25" s="15" t="e">
        <f>B22/B21</f>
        <v>#REF!</v>
      </c>
      <c r="C25" s="3"/>
      <c r="D25" s="3"/>
      <c r="E25" s="3"/>
      <c r="F25" s="3"/>
      <c r="G25" s="3"/>
      <c r="H25" s="3"/>
      <c r="I25" s="3"/>
    </row>
    <row r="26" spans="1:9" ht="25.95" customHeight="1" x14ac:dyDescent="0.3">
      <c r="A26" s="115" t="s">
        <v>1488</v>
      </c>
      <c r="B26" s="115"/>
      <c r="C26" s="115"/>
      <c r="D26" s="115"/>
      <c r="E26" s="115"/>
      <c r="F26" s="115"/>
      <c r="G26" s="115"/>
      <c r="H26" s="115"/>
      <c r="I26" s="115"/>
    </row>
    <row r="27" spans="1:9" ht="25.95" customHeight="1" x14ac:dyDescent="0.3">
      <c r="A27" s="115" t="s">
        <v>1489</v>
      </c>
      <c r="B27" s="115"/>
      <c r="C27" s="115"/>
      <c r="D27" s="115"/>
      <c r="E27" s="115"/>
      <c r="F27" s="115"/>
      <c r="G27" s="115"/>
      <c r="H27" s="115"/>
      <c r="I27" s="115"/>
    </row>
    <row r="28" spans="1:9" ht="25.95" customHeight="1" x14ac:dyDescent="0.3">
      <c r="A28" s="115" t="s">
        <v>1490</v>
      </c>
      <c r="B28" s="115"/>
      <c r="C28" s="115"/>
      <c r="D28" s="115"/>
      <c r="E28" s="115"/>
      <c r="F28" s="115"/>
      <c r="G28" s="115"/>
      <c r="H28" s="115"/>
      <c r="I28" s="115"/>
    </row>
    <row r="29" spans="1:9" ht="25.95" customHeight="1" x14ac:dyDescent="0.3">
      <c r="A29" s="115" t="s">
        <v>1491</v>
      </c>
      <c r="B29" s="115"/>
      <c r="C29" s="115"/>
      <c r="D29" s="115"/>
      <c r="E29" s="115"/>
      <c r="F29" s="115"/>
      <c r="G29" s="115"/>
      <c r="H29" s="115"/>
      <c r="I29" s="115"/>
    </row>
  </sheetData>
  <mergeCells count="6">
    <mergeCell ref="A29:I29"/>
    <mergeCell ref="A1:I1"/>
    <mergeCell ref="A26:I26"/>
    <mergeCell ref="A27:I27"/>
    <mergeCell ref="A28:I28"/>
    <mergeCell ref="A2:I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28"/>
  <sheetViews>
    <sheetView showGridLines="0" topLeftCell="F16" workbookViewId="0">
      <selection sqref="A1:L1"/>
    </sheetView>
  </sheetViews>
  <sheetFormatPr defaultRowHeight="14.4" x14ac:dyDescent="0.3"/>
  <cols>
    <col min="1" max="1" width="38" customWidth="1"/>
    <col min="2" max="2" width="24" customWidth="1"/>
    <col min="3" max="3" width="12" customWidth="1"/>
    <col min="4" max="4" width="34" customWidth="1"/>
    <col min="5" max="5" width="31" customWidth="1"/>
    <col min="6" max="6" width="14" customWidth="1"/>
    <col min="7" max="7" width="38" customWidth="1"/>
    <col min="8" max="8" width="54" customWidth="1"/>
    <col min="10" max="10" width="38" customWidth="1"/>
    <col min="11" max="11" width="16" customWidth="1"/>
    <col min="12" max="12" width="34" customWidth="1"/>
    <col min="13" max="13" width="18" customWidth="1"/>
    <col min="14" max="14" width="20" customWidth="1"/>
  </cols>
  <sheetData>
    <row r="1" spans="1:14" ht="25.95" customHeight="1" x14ac:dyDescent="0.3">
      <c r="A1" s="125" t="s">
        <v>1492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4" ht="34.049999999999997" customHeight="1" x14ac:dyDescent="0.3">
      <c r="A2" s="126" t="s">
        <v>1493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</row>
    <row r="3" spans="1:14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4" ht="30" customHeight="1" x14ac:dyDescent="0.3">
      <c r="A4" s="66" t="s">
        <v>941</v>
      </c>
      <c r="B4" s="66" t="s">
        <v>947</v>
      </c>
      <c r="C4" s="66" t="s">
        <v>1494</v>
      </c>
      <c r="D4" s="66" t="s">
        <v>1495</v>
      </c>
      <c r="E4" s="3"/>
      <c r="F4" s="3"/>
      <c r="G4" s="3"/>
      <c r="H4" s="3"/>
      <c r="I4" s="3"/>
      <c r="J4" s="69" t="s">
        <v>950</v>
      </c>
      <c r="K4" s="69" t="s">
        <v>826</v>
      </c>
      <c r="L4" s="69" t="s">
        <v>951</v>
      </c>
    </row>
    <row r="5" spans="1:14" ht="30" customHeight="1" x14ac:dyDescent="0.3">
      <c r="A5" s="67" t="s">
        <v>629</v>
      </c>
      <c r="B5" s="68">
        <f>SUMIF($A$17:$A$212,A5,$J$17:$J$212)/SUMIF($A$17:$A$212,A5,$H$17:$H$212)*$B$12</f>
        <v>0.22970711297071125</v>
      </c>
      <c r="C5" s="67" t="str">
        <f t="shared" ref="C5:C10" si="0">IF(AND(B5&gt;=$B$13,B5&lt;=$B$14),"PASS","REVIEW")</f>
        <v>PASS</v>
      </c>
      <c r="D5" s="67" t="s">
        <v>1496</v>
      </c>
      <c r="E5" s="3"/>
      <c r="F5" s="3"/>
      <c r="G5" s="3"/>
      <c r="H5" s="3"/>
      <c r="I5" s="3"/>
      <c r="J5" s="3" t="s">
        <v>1497</v>
      </c>
      <c r="K5" s="3" t="b">
        <f>AND(MIN(B5:B10)&gt;=B13,MAX(B5:B10)&lt;=B14)</f>
        <v>1</v>
      </c>
      <c r="L5" s="91" t="str">
        <f>IF(K5,"PASS","FAIL")</f>
        <v>PASS</v>
      </c>
    </row>
    <row r="6" spans="1:14" ht="30" customHeight="1" x14ac:dyDescent="0.3">
      <c r="A6" s="67" t="s">
        <v>655</v>
      </c>
      <c r="B6" s="68">
        <f>SUMIF($A$17:$A$212,A6,$J$17:$J$212)/SUMIF($A$17:$A$212,A6,$H$17:$H$212)*$B$12</f>
        <v>0.17580374999999995</v>
      </c>
      <c r="C6" s="67" t="str">
        <f t="shared" si="0"/>
        <v>PASS</v>
      </c>
      <c r="D6" s="99" t="s">
        <v>1498</v>
      </c>
      <c r="E6" s="3"/>
      <c r="F6" s="3"/>
      <c r="G6" s="3"/>
      <c r="H6" s="3"/>
      <c r="I6" s="3"/>
      <c r="J6" s="3" t="s">
        <v>1499</v>
      </c>
      <c r="K6" s="3" t="b">
        <f>COUNT(G17:G228)=COUNTA(A17:A228)</f>
        <v>1</v>
      </c>
      <c r="L6" s="91" t="str">
        <f>IF(K6,"PASS","FAIL")</f>
        <v>PASS</v>
      </c>
    </row>
    <row r="7" spans="1:14" ht="30" customHeight="1" x14ac:dyDescent="0.3">
      <c r="A7" s="67" t="s">
        <v>682</v>
      </c>
      <c r="B7" s="68">
        <f>SUMIF($A$17:$A$212,A7,$J$17:$J$212)/SUMIF($A$17:$A$212,A7,$H$17:$H$212)*$B$12</f>
        <v>0.15870750000000006</v>
      </c>
      <c r="C7" s="67" t="str">
        <f t="shared" si="0"/>
        <v>PASS</v>
      </c>
      <c r="D7" s="67" t="s">
        <v>1500</v>
      </c>
      <c r="E7" s="3"/>
      <c r="F7" s="3"/>
      <c r="G7" s="3"/>
      <c r="H7" s="3"/>
      <c r="I7" s="3"/>
      <c r="J7" s="3" t="s">
        <v>1501</v>
      </c>
      <c r="K7" s="3" t="b">
        <f>MIN(SUMIF(A17:A228,A5:A10,H17:H228))&gt;0</f>
        <v>1</v>
      </c>
      <c r="L7" s="91" t="str">
        <f>IF(K7,"PASS","FAIL")</f>
        <v>PASS</v>
      </c>
    </row>
    <row r="8" spans="1:14" ht="30" customHeight="1" x14ac:dyDescent="0.3">
      <c r="A8" s="67" t="s">
        <v>719</v>
      </c>
      <c r="B8" s="68">
        <f>SUMIF($A$17:$A$212,A8,$J$17:$J$212)/SUMIF($A$17:$A$212,A8,$H$17:$H$212)*$B$12</f>
        <v>0.24458625000000006</v>
      </c>
      <c r="C8" s="67" t="str">
        <f t="shared" si="0"/>
        <v>PASS</v>
      </c>
      <c r="D8" s="67" t="s">
        <v>1502</v>
      </c>
      <c r="E8" s="3"/>
      <c r="F8" s="3"/>
      <c r="G8" s="3"/>
      <c r="H8" s="3"/>
      <c r="I8" s="3"/>
      <c r="J8" s="3" t="s">
        <v>1503</v>
      </c>
      <c r="K8" s="3" t="b">
        <f>AND(K5:K7)</f>
        <v>1</v>
      </c>
      <c r="L8" s="91" t="str">
        <f>IF(K8,"PASS","FAIL")</f>
        <v>PASS</v>
      </c>
    </row>
    <row r="9" spans="1:14" ht="30" customHeight="1" x14ac:dyDescent="0.3">
      <c r="A9" s="67" t="s">
        <v>735</v>
      </c>
      <c r="B9" s="68">
        <f>SUMIF($A$17:$A$212,A9,$J$17:$J$212)/SUMIF($A$17:$A$212,A9,$H$17:$H$212)*$B$12</f>
        <v>0.15052500000000002</v>
      </c>
      <c r="C9" s="67" t="str">
        <f t="shared" si="0"/>
        <v>PASS</v>
      </c>
      <c r="D9" s="67" t="s">
        <v>1504</v>
      </c>
      <c r="E9" s="3"/>
      <c r="F9" s="3"/>
      <c r="G9" s="3"/>
      <c r="H9" s="3"/>
      <c r="I9" s="3"/>
      <c r="J9" s="3"/>
      <c r="K9" s="3"/>
      <c r="L9" s="3"/>
    </row>
    <row r="10" spans="1:14" ht="30" customHeight="1" x14ac:dyDescent="0.3">
      <c r="A10" s="67" t="s">
        <v>802</v>
      </c>
      <c r="B10" s="100">
        <f>SUMIF($A$17:$A$228,A10,$J$17:$J$228)/SUMIF($A$17:$A$228,A10,$H$17:$H$228)*$B$12</f>
        <v>0.23881500000000003</v>
      </c>
      <c r="C10" s="67" t="str">
        <f t="shared" si="0"/>
        <v>PASS</v>
      </c>
      <c r="D10" s="67" t="s">
        <v>1505</v>
      </c>
      <c r="E10" s="3"/>
      <c r="F10" s="3"/>
      <c r="G10" s="3"/>
      <c r="H10" s="3"/>
      <c r="I10" s="3"/>
      <c r="J10" s="3"/>
      <c r="K10" s="3"/>
      <c r="L10" s="3"/>
    </row>
    <row r="11" spans="1:14" ht="36" customHeight="1" x14ac:dyDescent="0.3">
      <c r="A11" s="69" t="s">
        <v>1506</v>
      </c>
      <c r="B11" s="69" t="s">
        <v>826</v>
      </c>
      <c r="C11" s="3"/>
      <c r="D11" s="47" t="s">
        <v>982</v>
      </c>
      <c r="E11" s="47" t="s">
        <v>1507</v>
      </c>
      <c r="F11" s="47" t="s">
        <v>1508</v>
      </c>
      <c r="G11" s="47" t="s">
        <v>1509</v>
      </c>
      <c r="H11" s="47" t="s">
        <v>892</v>
      </c>
      <c r="I11" s="47"/>
      <c r="J11" s="97" t="s">
        <v>1510</v>
      </c>
      <c r="K11" s="97" t="s">
        <v>826</v>
      </c>
      <c r="L11" s="97" t="s">
        <v>1511</v>
      </c>
    </row>
    <row r="12" spans="1:14" ht="36" customHeight="1" x14ac:dyDescent="0.3">
      <c r="A12" s="3" t="s">
        <v>1512</v>
      </c>
      <c r="B12" s="70">
        <v>0.9</v>
      </c>
      <c r="C12" s="3"/>
      <c r="D12" s="71" t="s">
        <v>1513</v>
      </c>
      <c r="E12" s="71" t="s">
        <v>1514</v>
      </c>
      <c r="F12" s="72">
        <v>0.55000000000000004</v>
      </c>
      <c r="G12" s="71" t="s">
        <v>1515</v>
      </c>
      <c r="H12" s="73" t="s">
        <v>1516</v>
      </c>
      <c r="I12" s="3"/>
      <c r="J12" s="73" t="s">
        <v>1517</v>
      </c>
      <c r="K12" s="98">
        <v>0.14000000000000001</v>
      </c>
      <c r="L12" s="73" t="s">
        <v>1518</v>
      </c>
    </row>
    <row r="13" spans="1:14" ht="36" customHeight="1" x14ac:dyDescent="0.3">
      <c r="A13" s="3" t="s">
        <v>1519</v>
      </c>
      <c r="B13" s="70">
        <v>0.12</v>
      </c>
      <c r="C13" s="3"/>
      <c r="D13" s="71" t="s">
        <v>1520</v>
      </c>
      <c r="E13" s="71" t="s">
        <v>1521</v>
      </c>
      <c r="F13" s="72">
        <v>0.13800000000000001</v>
      </c>
      <c r="G13" s="71" t="s">
        <v>1522</v>
      </c>
      <c r="H13" s="73" t="s">
        <v>1523</v>
      </c>
      <c r="I13" s="3"/>
      <c r="J13" s="73" t="s">
        <v>1524</v>
      </c>
      <c r="K13" s="98">
        <v>0.34</v>
      </c>
      <c r="L13" s="73" t="s">
        <v>1525</v>
      </c>
    </row>
    <row r="14" spans="1:14" ht="36" customHeight="1" x14ac:dyDescent="0.3">
      <c r="A14" s="3" t="s">
        <v>1526</v>
      </c>
      <c r="B14" s="70">
        <v>0.25</v>
      </c>
      <c r="C14" s="3"/>
      <c r="D14" s="71" t="s">
        <v>1527</v>
      </c>
      <c r="E14" s="71" t="s">
        <v>1528</v>
      </c>
      <c r="F14" s="72">
        <v>0.25</v>
      </c>
      <c r="G14" s="71" t="s">
        <v>1529</v>
      </c>
      <c r="H14" s="73" t="s">
        <v>1530</v>
      </c>
      <c r="I14" s="3"/>
      <c r="J14" s="73" t="s">
        <v>1531</v>
      </c>
      <c r="K14" s="98">
        <f>AVERAGE(K12:K13)</f>
        <v>0.24000000000000002</v>
      </c>
      <c r="L14" s="73" t="s">
        <v>1532</v>
      </c>
    </row>
    <row r="15" spans="1:14" ht="48" customHeight="1" x14ac:dyDescent="0.3">
      <c r="A15" s="3"/>
      <c r="B15" s="3"/>
      <c r="C15" s="3"/>
      <c r="D15" s="71" t="s">
        <v>1533</v>
      </c>
      <c r="E15" s="71" t="s">
        <v>1534</v>
      </c>
      <c r="F15" s="72">
        <v>0.22</v>
      </c>
      <c r="G15" s="71" t="s">
        <v>1535</v>
      </c>
      <c r="H15" s="73" t="s">
        <v>1536</v>
      </c>
      <c r="I15" s="3"/>
      <c r="J15" s="3"/>
      <c r="K15" s="3"/>
      <c r="L15" s="3"/>
    </row>
    <row r="16" spans="1:14" ht="30" customHeight="1" x14ac:dyDescent="0.3">
      <c r="A16" s="74" t="s">
        <v>941</v>
      </c>
      <c r="B16" s="75" t="s">
        <v>1537</v>
      </c>
      <c r="C16" s="75" t="s">
        <v>1538</v>
      </c>
      <c r="D16" s="76" t="s">
        <v>1539</v>
      </c>
      <c r="E16" s="76" t="s">
        <v>1540</v>
      </c>
      <c r="F16" s="77" t="s">
        <v>1343</v>
      </c>
      <c r="G16" s="76" t="s">
        <v>1541</v>
      </c>
      <c r="H16" s="76" t="s">
        <v>1542</v>
      </c>
      <c r="I16" s="75" t="s">
        <v>1543</v>
      </c>
      <c r="J16" s="75" t="s">
        <v>1544</v>
      </c>
      <c r="K16" s="75" t="s">
        <v>940</v>
      </c>
      <c r="L16" s="78" t="s">
        <v>1545</v>
      </c>
      <c r="M16" s="101" t="s">
        <v>1546</v>
      </c>
      <c r="N16" s="101" t="s">
        <v>1547</v>
      </c>
    </row>
    <row r="17" spans="1:12" ht="30" customHeight="1" x14ac:dyDescent="0.3">
      <c r="A17" s="79" t="s">
        <v>629</v>
      </c>
      <c r="B17" s="80" t="s">
        <v>630</v>
      </c>
      <c r="C17" s="81">
        <v>0.25</v>
      </c>
      <c r="D17" s="80" t="s">
        <v>631</v>
      </c>
      <c r="E17" s="81">
        <v>0.2</v>
      </c>
      <c r="F17" s="81" t="s">
        <v>20</v>
      </c>
      <c r="G17" s="81">
        <v>0.25</v>
      </c>
      <c r="H17" s="82">
        <f t="shared" ref="H17:H48" si="1">C17*E17</f>
        <v>0.05</v>
      </c>
      <c r="I17" s="80" t="s">
        <v>1527</v>
      </c>
      <c r="J17" s="81">
        <f>G17*H17</f>
        <v>1.2500000000000001E-2</v>
      </c>
      <c r="K17" s="80" t="s">
        <v>628</v>
      </c>
      <c r="L17" s="83">
        <v>2</v>
      </c>
    </row>
    <row r="18" spans="1:12" ht="30" customHeight="1" x14ac:dyDescent="0.3">
      <c r="A18" s="79" t="s">
        <v>629</v>
      </c>
      <c r="B18" s="80" t="s">
        <v>630</v>
      </c>
      <c r="C18" s="81">
        <v>0.25</v>
      </c>
      <c r="D18" s="80" t="s">
        <v>632</v>
      </c>
      <c r="E18" s="81">
        <v>0.4</v>
      </c>
      <c r="F18" s="81" t="s">
        <v>73</v>
      </c>
      <c r="G18" s="81">
        <v>0.55000000000000004</v>
      </c>
      <c r="H18" s="81">
        <f t="shared" si="1"/>
        <v>0.1</v>
      </c>
      <c r="I18" s="80" t="s">
        <v>1513</v>
      </c>
      <c r="J18" s="81">
        <f>G18*H18</f>
        <v>5.5000000000000007E-2</v>
      </c>
      <c r="K18" s="80" t="s">
        <v>628</v>
      </c>
      <c r="L18" s="83">
        <v>3</v>
      </c>
    </row>
    <row r="19" spans="1:12" ht="30" customHeight="1" x14ac:dyDescent="0.3">
      <c r="A19" s="79" t="s">
        <v>629</v>
      </c>
      <c r="B19" s="80" t="s">
        <v>630</v>
      </c>
      <c r="C19" s="81">
        <v>0.25</v>
      </c>
      <c r="D19" s="80" t="s">
        <v>633</v>
      </c>
      <c r="E19" s="81">
        <v>0.25</v>
      </c>
      <c r="F19" s="81" t="s">
        <v>20</v>
      </c>
      <c r="G19" s="81">
        <v>0.55000000000000004</v>
      </c>
      <c r="H19" s="81">
        <f t="shared" si="1"/>
        <v>6.25E-2</v>
      </c>
      <c r="I19" s="80" t="s">
        <v>1513</v>
      </c>
      <c r="J19" s="81">
        <f t="shared" ref="J19:J48" si="2">G19*H19</f>
        <v>3.4375000000000003E-2</v>
      </c>
      <c r="K19" s="80" t="s">
        <v>628</v>
      </c>
      <c r="L19" s="83">
        <v>4</v>
      </c>
    </row>
    <row r="20" spans="1:12" ht="30" customHeight="1" x14ac:dyDescent="0.3">
      <c r="A20" s="79" t="s">
        <v>629</v>
      </c>
      <c r="B20" s="80" t="s">
        <v>630</v>
      </c>
      <c r="C20" s="81">
        <v>0.25</v>
      </c>
      <c r="D20" s="80" t="s">
        <v>634</v>
      </c>
      <c r="E20" s="81">
        <v>0.15</v>
      </c>
      <c r="F20" s="81" t="s">
        <v>24</v>
      </c>
      <c r="G20" s="81">
        <v>0.12</v>
      </c>
      <c r="H20" s="81">
        <f t="shared" si="1"/>
        <v>3.7499999999999999E-2</v>
      </c>
      <c r="I20" s="80" t="s">
        <v>1548</v>
      </c>
      <c r="J20" s="81">
        <f t="shared" si="2"/>
        <v>4.4999999999999997E-3</v>
      </c>
      <c r="K20" s="80" t="s">
        <v>628</v>
      </c>
      <c r="L20" s="83">
        <v>5</v>
      </c>
    </row>
    <row r="21" spans="1:12" ht="30" customHeight="1" x14ac:dyDescent="0.3">
      <c r="A21" s="79" t="s">
        <v>629</v>
      </c>
      <c r="B21" s="80" t="s">
        <v>635</v>
      </c>
      <c r="C21" s="81">
        <v>0.25</v>
      </c>
      <c r="D21" s="80" t="s">
        <v>636</v>
      </c>
      <c r="E21" s="81">
        <v>0.3</v>
      </c>
      <c r="F21" s="81" t="s">
        <v>18</v>
      </c>
      <c r="G21" s="81">
        <v>0.14000000000000001</v>
      </c>
      <c r="H21" s="81">
        <f t="shared" si="1"/>
        <v>7.4999999999999997E-2</v>
      </c>
      <c r="I21" s="80" t="s">
        <v>1520</v>
      </c>
      <c r="J21" s="81">
        <f t="shared" si="2"/>
        <v>1.0500000000000001E-2</v>
      </c>
      <c r="K21" s="80" t="s">
        <v>628</v>
      </c>
      <c r="L21" s="83">
        <v>6</v>
      </c>
    </row>
    <row r="22" spans="1:12" ht="30" customHeight="1" x14ac:dyDescent="0.3">
      <c r="A22" s="79" t="s">
        <v>629</v>
      </c>
      <c r="B22" s="80" t="s">
        <v>635</v>
      </c>
      <c r="C22" s="81">
        <v>0.25</v>
      </c>
      <c r="D22" s="80" t="s">
        <v>637</v>
      </c>
      <c r="E22" s="81">
        <v>0.3</v>
      </c>
      <c r="F22" s="81" t="s">
        <v>20</v>
      </c>
      <c r="G22" s="81">
        <v>0.25</v>
      </c>
      <c r="H22" s="81">
        <f t="shared" si="1"/>
        <v>7.4999999999999997E-2</v>
      </c>
      <c r="I22" s="80" t="s">
        <v>1527</v>
      </c>
      <c r="J22" s="81">
        <f t="shared" si="2"/>
        <v>1.8749999999999999E-2</v>
      </c>
      <c r="K22" s="80" t="s">
        <v>628</v>
      </c>
      <c r="L22" s="83">
        <v>7</v>
      </c>
    </row>
    <row r="23" spans="1:12" ht="30" customHeight="1" x14ac:dyDescent="0.3">
      <c r="A23" s="79" t="s">
        <v>629</v>
      </c>
      <c r="B23" s="80" t="s">
        <v>635</v>
      </c>
      <c r="C23" s="81">
        <v>0.25</v>
      </c>
      <c r="D23" s="80" t="s">
        <v>638</v>
      </c>
      <c r="E23" s="81">
        <v>0.25</v>
      </c>
      <c r="F23" s="81" t="s">
        <v>18</v>
      </c>
      <c r="G23" s="81">
        <v>0.55000000000000004</v>
      </c>
      <c r="H23" s="81">
        <f t="shared" si="1"/>
        <v>6.25E-2</v>
      </c>
      <c r="I23" s="80" t="s">
        <v>1513</v>
      </c>
      <c r="J23" s="81">
        <f t="shared" si="2"/>
        <v>3.4375000000000003E-2</v>
      </c>
      <c r="K23" s="80" t="s">
        <v>628</v>
      </c>
      <c r="L23" s="83">
        <v>8</v>
      </c>
    </row>
    <row r="24" spans="1:12" ht="30" customHeight="1" x14ac:dyDescent="0.3">
      <c r="A24" s="79" t="s">
        <v>629</v>
      </c>
      <c r="B24" s="80" t="s">
        <v>635</v>
      </c>
      <c r="C24" s="81">
        <v>0.25</v>
      </c>
      <c r="D24" s="80" t="s">
        <v>639</v>
      </c>
      <c r="E24" s="81">
        <v>0.15</v>
      </c>
      <c r="F24" s="81" t="s">
        <v>24</v>
      </c>
      <c r="G24" s="81">
        <v>0.12</v>
      </c>
      <c r="H24" s="81">
        <f t="shared" si="1"/>
        <v>3.7499999999999999E-2</v>
      </c>
      <c r="I24" s="80" t="s">
        <v>1548</v>
      </c>
      <c r="J24" s="81">
        <f t="shared" si="2"/>
        <v>4.4999999999999997E-3</v>
      </c>
      <c r="K24" s="80" t="s">
        <v>628</v>
      </c>
      <c r="L24" s="83">
        <v>9</v>
      </c>
    </row>
    <row r="25" spans="1:12" ht="30" customHeight="1" x14ac:dyDescent="0.3">
      <c r="A25" s="79" t="s">
        <v>629</v>
      </c>
      <c r="B25" s="80" t="s">
        <v>640</v>
      </c>
      <c r="C25" s="81">
        <v>0.2</v>
      </c>
      <c r="D25" s="80" t="s">
        <v>641</v>
      </c>
      <c r="E25" s="81">
        <v>0.25</v>
      </c>
      <c r="F25" s="81" t="s">
        <v>73</v>
      </c>
      <c r="G25" s="81">
        <v>0.12</v>
      </c>
      <c r="H25" s="81">
        <f t="shared" si="1"/>
        <v>0.05</v>
      </c>
      <c r="I25" s="80" t="s">
        <v>1548</v>
      </c>
      <c r="J25" s="81">
        <f t="shared" si="2"/>
        <v>6.0000000000000001E-3</v>
      </c>
      <c r="K25" s="80" t="s">
        <v>628</v>
      </c>
      <c r="L25" s="83">
        <v>10</v>
      </c>
    </row>
    <row r="26" spans="1:12" ht="30" customHeight="1" x14ac:dyDescent="0.3">
      <c r="A26" s="79" t="s">
        <v>629</v>
      </c>
      <c r="B26" s="80" t="s">
        <v>640</v>
      </c>
      <c r="C26" s="81">
        <v>0.2</v>
      </c>
      <c r="D26" s="80" t="s">
        <v>642</v>
      </c>
      <c r="E26" s="81">
        <v>0.35</v>
      </c>
      <c r="F26" s="81" t="s">
        <v>73</v>
      </c>
      <c r="G26" s="81">
        <v>0.55000000000000004</v>
      </c>
      <c r="H26" s="81">
        <f t="shared" si="1"/>
        <v>6.9999999999999993E-2</v>
      </c>
      <c r="I26" s="80" t="s">
        <v>1513</v>
      </c>
      <c r="J26" s="81">
        <f t="shared" si="2"/>
        <v>3.85E-2</v>
      </c>
      <c r="K26" s="80" t="s">
        <v>628</v>
      </c>
      <c r="L26" s="83">
        <v>11</v>
      </c>
    </row>
    <row r="27" spans="1:12" ht="30" customHeight="1" x14ac:dyDescent="0.3">
      <c r="A27" s="79" t="s">
        <v>629</v>
      </c>
      <c r="B27" s="80" t="s">
        <v>640</v>
      </c>
      <c r="C27" s="81">
        <v>0.2</v>
      </c>
      <c r="D27" s="80" t="s">
        <v>643</v>
      </c>
      <c r="E27" s="81">
        <v>0.25</v>
      </c>
      <c r="F27" s="81" t="s">
        <v>20</v>
      </c>
      <c r="G27" s="81">
        <v>0.25</v>
      </c>
      <c r="H27" s="81">
        <f t="shared" si="1"/>
        <v>0.05</v>
      </c>
      <c r="I27" s="80" t="s">
        <v>1527</v>
      </c>
      <c r="J27" s="81">
        <f t="shared" si="2"/>
        <v>1.2500000000000001E-2</v>
      </c>
      <c r="K27" s="80" t="s">
        <v>628</v>
      </c>
      <c r="L27" s="83">
        <v>12</v>
      </c>
    </row>
    <row r="28" spans="1:12" ht="30" customHeight="1" x14ac:dyDescent="0.3">
      <c r="A28" s="79" t="s">
        <v>629</v>
      </c>
      <c r="B28" s="80" t="s">
        <v>640</v>
      </c>
      <c r="C28" s="81">
        <v>0.2</v>
      </c>
      <c r="D28" s="80" t="s">
        <v>644</v>
      </c>
      <c r="E28" s="81">
        <v>0.15</v>
      </c>
      <c r="F28" s="81" t="s">
        <v>24</v>
      </c>
      <c r="G28" s="81">
        <v>0.12</v>
      </c>
      <c r="H28" s="81">
        <f t="shared" si="1"/>
        <v>0.03</v>
      </c>
      <c r="I28" s="80" t="s">
        <v>1548</v>
      </c>
      <c r="J28" s="81">
        <f t="shared" si="2"/>
        <v>3.5999999999999999E-3</v>
      </c>
      <c r="K28" s="80" t="s">
        <v>628</v>
      </c>
      <c r="L28" s="83">
        <v>13</v>
      </c>
    </row>
    <row r="29" spans="1:12" ht="30" customHeight="1" x14ac:dyDescent="0.3">
      <c r="A29" s="79" t="s">
        <v>629</v>
      </c>
      <c r="B29" s="80" t="s">
        <v>645</v>
      </c>
      <c r="C29" s="81">
        <v>0.15</v>
      </c>
      <c r="D29" s="80" t="s">
        <v>646</v>
      </c>
      <c r="E29" s="81">
        <v>0.3</v>
      </c>
      <c r="F29" s="81" t="s">
        <v>20</v>
      </c>
      <c r="G29" s="81">
        <v>0.25</v>
      </c>
      <c r="H29" s="81">
        <f t="shared" si="1"/>
        <v>4.4999999999999998E-2</v>
      </c>
      <c r="I29" s="80" t="s">
        <v>1527</v>
      </c>
      <c r="J29" s="81">
        <f t="shared" si="2"/>
        <v>1.125E-2</v>
      </c>
      <c r="K29" s="80" t="s">
        <v>628</v>
      </c>
      <c r="L29" s="83">
        <v>14</v>
      </c>
    </row>
    <row r="30" spans="1:12" ht="30" customHeight="1" x14ac:dyDescent="0.3">
      <c r="A30" s="79" t="s">
        <v>629</v>
      </c>
      <c r="B30" s="80" t="s">
        <v>645</v>
      </c>
      <c r="C30" s="81">
        <v>0.15</v>
      </c>
      <c r="D30" s="80" t="s">
        <v>647</v>
      </c>
      <c r="E30" s="81">
        <v>0.25</v>
      </c>
      <c r="F30" s="81" t="s">
        <v>56</v>
      </c>
      <c r="G30" s="81">
        <v>0.12</v>
      </c>
      <c r="H30" s="81">
        <f t="shared" si="1"/>
        <v>3.7499999999999999E-2</v>
      </c>
      <c r="I30" s="80" t="s">
        <v>1527</v>
      </c>
      <c r="J30" s="81">
        <f t="shared" si="2"/>
        <v>4.4999999999999997E-3</v>
      </c>
      <c r="K30" s="80" t="s">
        <v>628</v>
      </c>
      <c r="L30" s="83">
        <v>15</v>
      </c>
    </row>
    <row r="31" spans="1:12" ht="30" customHeight="1" x14ac:dyDescent="0.3">
      <c r="A31" s="79" t="s">
        <v>629</v>
      </c>
      <c r="B31" s="80" t="s">
        <v>648</v>
      </c>
      <c r="C31" s="81">
        <v>0.3</v>
      </c>
      <c r="D31" s="80" t="s">
        <v>73</v>
      </c>
      <c r="E31" s="81">
        <v>0.8</v>
      </c>
      <c r="F31" s="81">
        <v>0.63</v>
      </c>
      <c r="G31" s="81">
        <v>0.12</v>
      </c>
      <c r="H31" s="81">
        <f t="shared" si="1"/>
        <v>0.24</v>
      </c>
      <c r="I31" s="80" t="s">
        <v>1548</v>
      </c>
      <c r="J31" s="81">
        <f t="shared" si="2"/>
        <v>2.8799999999999999E-2</v>
      </c>
      <c r="K31" s="80" t="s">
        <v>628</v>
      </c>
      <c r="L31" s="83">
        <v>16</v>
      </c>
    </row>
    <row r="32" spans="1:12" ht="30" customHeight="1" x14ac:dyDescent="0.3">
      <c r="A32" s="79" t="s">
        <v>629</v>
      </c>
      <c r="B32" s="80" t="s">
        <v>645</v>
      </c>
      <c r="C32" s="81">
        <v>0.15</v>
      </c>
      <c r="D32" s="80" t="s">
        <v>649</v>
      </c>
      <c r="E32" s="81">
        <v>0.15</v>
      </c>
      <c r="F32" s="81" t="s">
        <v>24</v>
      </c>
      <c r="G32" s="81">
        <v>0.12</v>
      </c>
      <c r="H32" s="81">
        <f t="shared" si="1"/>
        <v>2.2499999999999999E-2</v>
      </c>
      <c r="I32" s="80" t="s">
        <v>1548</v>
      </c>
      <c r="J32" s="81">
        <f t="shared" si="2"/>
        <v>2.6999999999999997E-3</v>
      </c>
      <c r="K32" s="80" t="s">
        <v>628</v>
      </c>
      <c r="L32" s="83">
        <v>17</v>
      </c>
    </row>
    <row r="33" spans="1:12" ht="30" customHeight="1" x14ac:dyDescent="0.3">
      <c r="A33" s="79" t="s">
        <v>629</v>
      </c>
      <c r="B33" s="80" t="s">
        <v>650</v>
      </c>
      <c r="C33" s="81">
        <v>0.15</v>
      </c>
      <c r="D33" s="80" t="s">
        <v>651</v>
      </c>
      <c r="E33" s="81">
        <v>0.3</v>
      </c>
      <c r="F33" s="81" t="s">
        <v>18</v>
      </c>
      <c r="G33" s="81">
        <v>0.14000000000000001</v>
      </c>
      <c r="H33" s="81">
        <f t="shared" si="1"/>
        <v>4.4999999999999998E-2</v>
      </c>
      <c r="I33" s="80" t="s">
        <v>1520</v>
      </c>
      <c r="J33" s="81">
        <f t="shared" si="2"/>
        <v>6.3E-3</v>
      </c>
      <c r="K33" s="80" t="s">
        <v>628</v>
      </c>
      <c r="L33" s="83">
        <v>18</v>
      </c>
    </row>
    <row r="34" spans="1:12" ht="30" customHeight="1" x14ac:dyDescent="0.3">
      <c r="A34" s="79" t="s">
        <v>629</v>
      </c>
      <c r="B34" s="80" t="s">
        <v>650</v>
      </c>
      <c r="C34" s="81">
        <v>0.15</v>
      </c>
      <c r="D34" s="80" t="s">
        <v>652</v>
      </c>
      <c r="E34" s="81">
        <v>0.25</v>
      </c>
      <c r="F34" s="81" t="s">
        <v>28</v>
      </c>
      <c r="G34" s="81">
        <v>0.12</v>
      </c>
      <c r="H34" s="81">
        <f t="shared" si="1"/>
        <v>3.7499999999999999E-2</v>
      </c>
      <c r="I34" s="80" t="s">
        <v>1548</v>
      </c>
      <c r="J34" s="81">
        <f t="shared" si="2"/>
        <v>4.4999999999999997E-3</v>
      </c>
      <c r="K34" s="80" t="s">
        <v>628</v>
      </c>
      <c r="L34" s="83">
        <v>19</v>
      </c>
    </row>
    <row r="35" spans="1:12" ht="30" customHeight="1" x14ac:dyDescent="0.3">
      <c r="A35" s="79" t="s">
        <v>629</v>
      </c>
      <c r="B35" s="80" t="s">
        <v>650</v>
      </c>
      <c r="C35" s="81">
        <v>0.15</v>
      </c>
      <c r="D35" s="80" t="s">
        <v>653</v>
      </c>
      <c r="E35" s="81">
        <v>0.25</v>
      </c>
      <c r="F35" s="81" t="s">
        <v>40</v>
      </c>
      <c r="G35" s="81">
        <v>0.22</v>
      </c>
      <c r="H35" s="81">
        <f t="shared" si="1"/>
        <v>3.7499999999999999E-2</v>
      </c>
      <c r="I35" s="80" t="s">
        <v>1533</v>
      </c>
      <c r="J35" s="81">
        <f t="shared" si="2"/>
        <v>8.2500000000000004E-3</v>
      </c>
      <c r="K35" s="80" t="s">
        <v>628</v>
      </c>
      <c r="L35" s="83">
        <v>20</v>
      </c>
    </row>
    <row r="36" spans="1:12" ht="30" customHeight="1" x14ac:dyDescent="0.3">
      <c r="A36" s="79" t="s">
        <v>629</v>
      </c>
      <c r="B36" s="80" t="s">
        <v>650</v>
      </c>
      <c r="C36" s="81">
        <v>0.15</v>
      </c>
      <c r="D36" s="80" t="s">
        <v>654</v>
      </c>
      <c r="E36" s="81">
        <v>0.2</v>
      </c>
      <c r="F36" s="81" t="s">
        <v>24</v>
      </c>
      <c r="G36" s="81">
        <v>0.12</v>
      </c>
      <c r="H36" s="81">
        <f t="shared" si="1"/>
        <v>0.03</v>
      </c>
      <c r="I36" s="80" t="s">
        <v>1548</v>
      </c>
      <c r="J36" s="81">
        <f t="shared" si="2"/>
        <v>3.5999999999999999E-3</v>
      </c>
      <c r="K36" s="80" t="s">
        <v>628</v>
      </c>
      <c r="L36" s="83">
        <v>21</v>
      </c>
    </row>
    <row r="37" spans="1:12" ht="30" customHeight="1" x14ac:dyDescent="0.3">
      <c r="A37" s="79" t="s">
        <v>655</v>
      </c>
      <c r="B37" s="80" t="s">
        <v>656</v>
      </c>
      <c r="C37" s="81">
        <v>0.15</v>
      </c>
      <c r="D37" s="80" t="s">
        <v>657</v>
      </c>
      <c r="E37" s="81">
        <v>0.3</v>
      </c>
      <c r="F37" s="81" t="s">
        <v>18</v>
      </c>
      <c r="G37" s="81">
        <f>$K$14</f>
        <v>0.24000000000000002</v>
      </c>
      <c r="H37" s="81">
        <f t="shared" si="1"/>
        <v>4.4999999999999998E-2</v>
      </c>
      <c r="I37" s="80" t="s">
        <v>1549</v>
      </c>
      <c r="J37" s="81">
        <f t="shared" si="2"/>
        <v>1.0800000000000001E-2</v>
      </c>
      <c r="K37" s="80" t="s">
        <v>628</v>
      </c>
      <c r="L37" s="83">
        <v>22</v>
      </c>
    </row>
    <row r="38" spans="1:12" ht="30" customHeight="1" x14ac:dyDescent="0.3">
      <c r="A38" s="79" t="s">
        <v>655</v>
      </c>
      <c r="B38" s="80" t="s">
        <v>656</v>
      </c>
      <c r="C38" s="81">
        <v>0.15</v>
      </c>
      <c r="D38" s="80" t="s">
        <v>658</v>
      </c>
      <c r="E38" s="81">
        <v>0.25</v>
      </c>
      <c r="F38" s="81" t="s">
        <v>28</v>
      </c>
      <c r="G38" s="81">
        <v>0.12</v>
      </c>
      <c r="H38" s="81">
        <f t="shared" si="1"/>
        <v>3.7499999999999999E-2</v>
      </c>
      <c r="I38" s="80" t="s">
        <v>1548</v>
      </c>
      <c r="J38" s="81">
        <f t="shared" si="2"/>
        <v>4.4999999999999997E-3</v>
      </c>
      <c r="K38" s="80" t="s">
        <v>628</v>
      </c>
      <c r="L38" s="83">
        <v>23</v>
      </c>
    </row>
    <row r="39" spans="1:12" ht="30" customHeight="1" x14ac:dyDescent="0.3">
      <c r="A39" s="79" t="s">
        <v>655</v>
      </c>
      <c r="B39" s="80" t="s">
        <v>656</v>
      </c>
      <c r="C39" s="81">
        <v>0.15</v>
      </c>
      <c r="D39" s="80" t="s">
        <v>659</v>
      </c>
      <c r="E39" s="81">
        <v>0.25</v>
      </c>
      <c r="F39" s="81" t="s">
        <v>20</v>
      </c>
      <c r="G39" s="81">
        <v>0.25</v>
      </c>
      <c r="H39" s="81">
        <f t="shared" si="1"/>
        <v>3.7499999999999999E-2</v>
      </c>
      <c r="I39" s="80" t="s">
        <v>1527</v>
      </c>
      <c r="J39" s="81">
        <f t="shared" si="2"/>
        <v>9.3749999999999997E-3</v>
      </c>
      <c r="K39" s="80" t="s">
        <v>628</v>
      </c>
      <c r="L39" s="83">
        <v>24</v>
      </c>
    </row>
    <row r="40" spans="1:12" ht="30" customHeight="1" x14ac:dyDescent="0.3">
      <c r="A40" s="79" t="s">
        <v>655</v>
      </c>
      <c r="B40" s="80" t="s">
        <v>656</v>
      </c>
      <c r="C40" s="81">
        <v>0.15</v>
      </c>
      <c r="D40" s="80" t="s">
        <v>660</v>
      </c>
      <c r="E40" s="81">
        <v>0.2</v>
      </c>
      <c r="F40" s="81" t="s">
        <v>24</v>
      </c>
      <c r="G40" s="81">
        <v>0.12</v>
      </c>
      <c r="H40" s="81">
        <f t="shared" si="1"/>
        <v>0.03</v>
      </c>
      <c r="I40" s="80" t="s">
        <v>1548</v>
      </c>
      <c r="J40" s="81">
        <f t="shared" si="2"/>
        <v>3.5999999999999999E-3</v>
      </c>
      <c r="K40" s="80" t="s">
        <v>628</v>
      </c>
      <c r="L40" s="83">
        <v>25</v>
      </c>
    </row>
    <row r="41" spans="1:12" ht="30" customHeight="1" x14ac:dyDescent="0.3">
      <c r="A41" s="79" t="s">
        <v>655</v>
      </c>
      <c r="B41" s="80" t="s">
        <v>661</v>
      </c>
      <c r="C41" s="81">
        <v>0.2</v>
      </c>
      <c r="D41" s="80" t="s">
        <v>662</v>
      </c>
      <c r="E41" s="81">
        <v>0.35</v>
      </c>
      <c r="F41" s="81" t="s">
        <v>18</v>
      </c>
      <c r="G41" s="81">
        <f>$K$14</f>
        <v>0.24000000000000002</v>
      </c>
      <c r="H41" s="81">
        <f t="shared" si="1"/>
        <v>6.9999999999999993E-2</v>
      </c>
      <c r="I41" s="80" t="s">
        <v>1549</v>
      </c>
      <c r="J41" s="81">
        <f t="shared" si="2"/>
        <v>1.6799999999999999E-2</v>
      </c>
      <c r="K41" s="80" t="s">
        <v>628</v>
      </c>
      <c r="L41" s="83">
        <v>26</v>
      </c>
    </row>
    <row r="42" spans="1:12" ht="30" customHeight="1" x14ac:dyDescent="0.3">
      <c r="A42" s="79" t="s">
        <v>655</v>
      </c>
      <c r="B42" s="80" t="s">
        <v>661</v>
      </c>
      <c r="C42" s="81">
        <v>0.2</v>
      </c>
      <c r="D42" s="80" t="s">
        <v>663</v>
      </c>
      <c r="E42" s="81">
        <v>0.25</v>
      </c>
      <c r="F42" s="81" t="s">
        <v>20</v>
      </c>
      <c r="G42" s="81">
        <v>0.25</v>
      </c>
      <c r="H42" s="81">
        <f t="shared" si="1"/>
        <v>0.05</v>
      </c>
      <c r="I42" s="80" t="s">
        <v>1527</v>
      </c>
      <c r="J42" s="81">
        <f t="shared" si="2"/>
        <v>1.2500000000000001E-2</v>
      </c>
      <c r="K42" s="80" t="s">
        <v>628</v>
      </c>
      <c r="L42" s="83">
        <v>27</v>
      </c>
    </row>
    <row r="43" spans="1:12" ht="30" customHeight="1" x14ac:dyDescent="0.3">
      <c r="A43" s="79" t="s">
        <v>655</v>
      </c>
      <c r="B43" s="80" t="s">
        <v>661</v>
      </c>
      <c r="C43" s="81">
        <v>0.2</v>
      </c>
      <c r="D43" s="80" t="s">
        <v>664</v>
      </c>
      <c r="E43" s="81">
        <v>0.25</v>
      </c>
      <c r="F43" s="81" t="s">
        <v>30</v>
      </c>
      <c r="G43" s="81">
        <v>0.05</v>
      </c>
      <c r="H43" s="81">
        <f t="shared" si="1"/>
        <v>0.05</v>
      </c>
      <c r="I43" s="80" t="s">
        <v>1550</v>
      </c>
      <c r="J43" s="81">
        <f t="shared" si="2"/>
        <v>2.5000000000000005E-3</v>
      </c>
      <c r="K43" s="80" t="s">
        <v>628</v>
      </c>
      <c r="L43" s="83">
        <v>28</v>
      </c>
    </row>
    <row r="44" spans="1:12" ht="30" customHeight="1" x14ac:dyDescent="0.3">
      <c r="A44" s="79" t="s">
        <v>655</v>
      </c>
      <c r="B44" s="80" t="s">
        <v>661</v>
      </c>
      <c r="C44" s="81">
        <v>0.2</v>
      </c>
      <c r="D44" s="80" t="s">
        <v>665</v>
      </c>
      <c r="E44" s="81">
        <v>0.15</v>
      </c>
      <c r="F44" s="81" t="s">
        <v>24</v>
      </c>
      <c r="G44" s="81">
        <v>0.12</v>
      </c>
      <c r="H44" s="81">
        <f t="shared" si="1"/>
        <v>0.03</v>
      </c>
      <c r="I44" s="80" t="s">
        <v>1548</v>
      </c>
      <c r="J44" s="81">
        <f t="shared" si="2"/>
        <v>3.5999999999999999E-3</v>
      </c>
      <c r="K44" s="80" t="s">
        <v>628</v>
      </c>
      <c r="L44" s="83">
        <v>29</v>
      </c>
    </row>
    <row r="45" spans="1:12" ht="30" customHeight="1" x14ac:dyDescent="0.3">
      <c r="A45" s="79" t="s">
        <v>655</v>
      </c>
      <c r="B45" s="80" t="s">
        <v>666</v>
      </c>
      <c r="C45" s="81">
        <v>0.2</v>
      </c>
      <c r="D45" s="80" t="s">
        <v>17</v>
      </c>
      <c r="E45" s="81">
        <v>0.3</v>
      </c>
      <c r="F45" s="81" t="s">
        <v>18</v>
      </c>
      <c r="G45" s="81">
        <f>$K$14</f>
        <v>0.24000000000000002</v>
      </c>
      <c r="H45" s="81">
        <f t="shared" si="1"/>
        <v>0.06</v>
      </c>
      <c r="I45" s="80" t="s">
        <v>1549</v>
      </c>
      <c r="J45" s="81">
        <f t="shared" si="2"/>
        <v>1.4400000000000001E-2</v>
      </c>
      <c r="K45" s="80" t="s">
        <v>628</v>
      </c>
      <c r="L45" s="83">
        <v>30</v>
      </c>
    </row>
    <row r="46" spans="1:12" ht="30" customHeight="1" x14ac:dyDescent="0.3">
      <c r="A46" s="79" t="s">
        <v>655</v>
      </c>
      <c r="B46" s="80" t="s">
        <v>666</v>
      </c>
      <c r="C46" s="81">
        <v>0.2</v>
      </c>
      <c r="D46" s="80" t="s">
        <v>667</v>
      </c>
      <c r="E46" s="81">
        <v>0.25</v>
      </c>
      <c r="F46" s="81" t="s">
        <v>20</v>
      </c>
      <c r="G46" s="81">
        <v>0.25</v>
      </c>
      <c r="H46" s="81">
        <f t="shared" si="1"/>
        <v>0.05</v>
      </c>
      <c r="I46" s="80" t="s">
        <v>1527</v>
      </c>
      <c r="J46" s="81">
        <f t="shared" si="2"/>
        <v>1.2500000000000001E-2</v>
      </c>
      <c r="K46" s="80" t="s">
        <v>628</v>
      </c>
      <c r="L46" s="83">
        <v>31</v>
      </c>
    </row>
    <row r="47" spans="1:12" ht="30" customHeight="1" x14ac:dyDescent="0.3">
      <c r="A47" s="79" t="s">
        <v>655</v>
      </c>
      <c r="B47" s="80" t="s">
        <v>666</v>
      </c>
      <c r="C47" s="81">
        <v>0.2</v>
      </c>
      <c r="D47" s="80" t="s">
        <v>668</v>
      </c>
      <c r="E47" s="81">
        <v>0.2</v>
      </c>
      <c r="F47" s="81" t="s">
        <v>22</v>
      </c>
      <c r="G47" s="81">
        <v>0.2</v>
      </c>
      <c r="H47" s="81">
        <f t="shared" si="1"/>
        <v>4.0000000000000008E-2</v>
      </c>
      <c r="I47" s="80" t="s">
        <v>1527</v>
      </c>
      <c r="J47" s="81">
        <f t="shared" si="2"/>
        <v>8.0000000000000019E-3</v>
      </c>
      <c r="K47" s="80" t="s">
        <v>628</v>
      </c>
      <c r="L47" s="83">
        <v>32</v>
      </c>
    </row>
    <row r="48" spans="1:12" ht="30" customHeight="1" x14ac:dyDescent="0.3">
      <c r="A48" s="79" t="s">
        <v>655</v>
      </c>
      <c r="B48" s="80" t="s">
        <v>666</v>
      </c>
      <c r="C48" s="81">
        <v>0.2</v>
      </c>
      <c r="D48" s="80" t="s">
        <v>669</v>
      </c>
      <c r="E48" s="81">
        <v>0.25</v>
      </c>
      <c r="F48" s="81" t="s">
        <v>24</v>
      </c>
      <c r="G48" s="81">
        <v>0.12</v>
      </c>
      <c r="H48" s="81">
        <f t="shared" si="1"/>
        <v>0.05</v>
      </c>
      <c r="I48" s="80" t="s">
        <v>1548</v>
      </c>
      <c r="J48" s="81">
        <f t="shared" si="2"/>
        <v>6.0000000000000001E-3</v>
      </c>
      <c r="K48" s="80" t="s">
        <v>628</v>
      </c>
      <c r="L48" s="83">
        <v>33</v>
      </c>
    </row>
    <row r="49" spans="1:12" ht="30" customHeight="1" x14ac:dyDescent="0.3">
      <c r="A49" s="79" t="s">
        <v>655</v>
      </c>
      <c r="B49" s="80" t="s">
        <v>25</v>
      </c>
      <c r="C49" s="81">
        <v>0.15</v>
      </c>
      <c r="D49" s="80" t="s">
        <v>670</v>
      </c>
      <c r="E49" s="81">
        <v>0.3</v>
      </c>
      <c r="F49" s="81" t="s">
        <v>18</v>
      </c>
      <c r="G49" s="81">
        <f>$K$14</f>
        <v>0.24000000000000002</v>
      </c>
      <c r="H49" s="81">
        <f t="shared" ref="H49:H80" si="3">C49*E49</f>
        <v>4.4999999999999998E-2</v>
      </c>
      <c r="I49" s="80" t="s">
        <v>1549</v>
      </c>
      <c r="J49" s="81">
        <f t="shared" ref="J49:J80" si="4">G49*H49</f>
        <v>1.0800000000000001E-2</v>
      </c>
      <c r="K49" s="80" t="s">
        <v>628</v>
      </c>
      <c r="L49" s="83">
        <v>34</v>
      </c>
    </row>
    <row r="50" spans="1:12" ht="30" customHeight="1" x14ac:dyDescent="0.3">
      <c r="A50" s="79" t="s">
        <v>655</v>
      </c>
      <c r="B50" s="80" t="s">
        <v>25</v>
      </c>
      <c r="C50" s="81">
        <v>0.15</v>
      </c>
      <c r="D50" s="80" t="s">
        <v>671</v>
      </c>
      <c r="E50" s="81">
        <v>0.25</v>
      </c>
      <c r="F50" s="81" t="s">
        <v>28</v>
      </c>
      <c r="G50" s="81">
        <v>0.12</v>
      </c>
      <c r="H50" s="81">
        <f t="shared" si="3"/>
        <v>3.7499999999999999E-2</v>
      </c>
      <c r="I50" s="80" t="s">
        <v>1548</v>
      </c>
      <c r="J50" s="81">
        <f t="shared" si="4"/>
        <v>4.4999999999999997E-3</v>
      </c>
      <c r="K50" s="80" t="s">
        <v>628</v>
      </c>
      <c r="L50" s="83">
        <v>35</v>
      </c>
    </row>
    <row r="51" spans="1:12" ht="30" customHeight="1" x14ac:dyDescent="0.3">
      <c r="A51" s="79" t="s">
        <v>655</v>
      </c>
      <c r="B51" s="80" t="s">
        <v>25</v>
      </c>
      <c r="C51" s="81">
        <v>0.15</v>
      </c>
      <c r="D51" s="80" t="s">
        <v>672</v>
      </c>
      <c r="E51" s="81">
        <v>0.25</v>
      </c>
      <c r="F51" s="81" t="s">
        <v>30</v>
      </c>
      <c r="G51" s="81">
        <v>0.05</v>
      </c>
      <c r="H51" s="81">
        <f t="shared" si="3"/>
        <v>3.7499999999999999E-2</v>
      </c>
      <c r="I51" s="80" t="s">
        <v>1550</v>
      </c>
      <c r="J51" s="81">
        <f t="shared" si="4"/>
        <v>1.8749999999999999E-3</v>
      </c>
      <c r="K51" s="80" t="s">
        <v>628</v>
      </c>
      <c r="L51" s="83">
        <v>36</v>
      </c>
    </row>
    <row r="52" spans="1:12" ht="30" customHeight="1" x14ac:dyDescent="0.3">
      <c r="A52" s="79" t="s">
        <v>655</v>
      </c>
      <c r="B52" s="80" t="s">
        <v>25</v>
      </c>
      <c r="C52" s="81">
        <v>0.15</v>
      </c>
      <c r="D52" s="80" t="s">
        <v>31</v>
      </c>
      <c r="E52" s="81">
        <v>0.2</v>
      </c>
      <c r="F52" s="81" t="s">
        <v>24</v>
      </c>
      <c r="G52" s="81">
        <v>0.12</v>
      </c>
      <c r="H52" s="81">
        <f t="shared" si="3"/>
        <v>0.03</v>
      </c>
      <c r="I52" s="80" t="s">
        <v>1548</v>
      </c>
      <c r="J52" s="81">
        <f t="shared" si="4"/>
        <v>3.5999999999999999E-3</v>
      </c>
      <c r="K52" s="80" t="s">
        <v>628</v>
      </c>
      <c r="L52" s="83">
        <v>37</v>
      </c>
    </row>
    <row r="53" spans="1:12" ht="30" customHeight="1" x14ac:dyDescent="0.3">
      <c r="A53" s="79" t="s">
        <v>655</v>
      </c>
      <c r="B53" s="80" t="s">
        <v>673</v>
      </c>
      <c r="C53" s="81">
        <v>0.2</v>
      </c>
      <c r="D53" s="80" t="s">
        <v>674</v>
      </c>
      <c r="E53" s="81">
        <v>0.3</v>
      </c>
      <c r="F53" s="81" t="s">
        <v>18</v>
      </c>
      <c r="G53" s="81">
        <f>$K$14</f>
        <v>0.24000000000000002</v>
      </c>
      <c r="H53" s="81">
        <f t="shared" si="3"/>
        <v>0.06</v>
      </c>
      <c r="I53" s="80" t="s">
        <v>1549</v>
      </c>
      <c r="J53" s="81">
        <f t="shared" si="4"/>
        <v>1.4400000000000001E-2</v>
      </c>
      <c r="K53" s="80" t="s">
        <v>628</v>
      </c>
      <c r="L53" s="83">
        <v>38</v>
      </c>
    </row>
    <row r="54" spans="1:12" ht="30" customHeight="1" x14ac:dyDescent="0.3">
      <c r="A54" s="79" t="s">
        <v>655</v>
      </c>
      <c r="B54" s="80" t="s">
        <v>673</v>
      </c>
      <c r="C54" s="81">
        <v>0.2</v>
      </c>
      <c r="D54" s="80" t="s">
        <v>675</v>
      </c>
      <c r="E54" s="81">
        <v>0.25</v>
      </c>
      <c r="F54" s="81" t="s">
        <v>20</v>
      </c>
      <c r="G54" s="81">
        <v>0.25</v>
      </c>
      <c r="H54" s="81">
        <f t="shared" si="3"/>
        <v>0.05</v>
      </c>
      <c r="I54" s="80" t="s">
        <v>1527</v>
      </c>
      <c r="J54" s="81">
        <f t="shared" si="4"/>
        <v>1.2500000000000001E-2</v>
      </c>
      <c r="K54" s="80" t="s">
        <v>628</v>
      </c>
      <c r="L54" s="83">
        <v>39</v>
      </c>
    </row>
    <row r="55" spans="1:12" ht="30" customHeight="1" x14ac:dyDescent="0.3">
      <c r="A55" s="79" t="s">
        <v>655</v>
      </c>
      <c r="B55" s="80" t="s">
        <v>673</v>
      </c>
      <c r="C55" s="81">
        <v>0.2</v>
      </c>
      <c r="D55" s="80" t="s">
        <v>676</v>
      </c>
      <c r="E55" s="81">
        <v>0.25</v>
      </c>
      <c r="F55" s="81" t="s">
        <v>28</v>
      </c>
      <c r="G55" s="81">
        <v>0.12</v>
      </c>
      <c r="H55" s="81">
        <f t="shared" si="3"/>
        <v>0.05</v>
      </c>
      <c r="I55" s="80" t="s">
        <v>1548</v>
      </c>
      <c r="J55" s="81">
        <f t="shared" si="4"/>
        <v>6.0000000000000001E-3</v>
      </c>
      <c r="K55" s="80" t="s">
        <v>628</v>
      </c>
      <c r="L55" s="83">
        <v>40</v>
      </c>
    </row>
    <row r="56" spans="1:12" ht="30" customHeight="1" x14ac:dyDescent="0.3">
      <c r="A56" s="79" t="s">
        <v>655</v>
      </c>
      <c r="B56" s="80" t="s">
        <v>673</v>
      </c>
      <c r="C56" s="81">
        <v>0.2</v>
      </c>
      <c r="D56" s="80" t="s">
        <v>677</v>
      </c>
      <c r="E56" s="81">
        <v>0.2</v>
      </c>
      <c r="F56" s="81" t="s">
        <v>24</v>
      </c>
      <c r="G56" s="81">
        <v>0.12</v>
      </c>
      <c r="H56" s="81">
        <f t="shared" si="3"/>
        <v>4.0000000000000008E-2</v>
      </c>
      <c r="I56" s="80" t="s">
        <v>1548</v>
      </c>
      <c r="J56" s="81">
        <f t="shared" si="4"/>
        <v>4.8000000000000004E-3</v>
      </c>
      <c r="K56" s="80" t="s">
        <v>628</v>
      </c>
      <c r="L56" s="83">
        <v>41</v>
      </c>
    </row>
    <row r="57" spans="1:12" ht="30" customHeight="1" x14ac:dyDescent="0.3">
      <c r="A57" s="79" t="s">
        <v>655</v>
      </c>
      <c r="B57" s="80" t="s">
        <v>678</v>
      </c>
      <c r="C57" s="81">
        <v>0.1</v>
      </c>
      <c r="D57" s="80" t="s">
        <v>679</v>
      </c>
      <c r="E57" s="81">
        <v>0.3</v>
      </c>
      <c r="F57" s="81" t="s">
        <v>18</v>
      </c>
      <c r="G57" s="81">
        <f>$K$14</f>
        <v>0.24000000000000002</v>
      </c>
      <c r="H57" s="81">
        <f t="shared" si="3"/>
        <v>0.03</v>
      </c>
      <c r="I57" s="80" t="s">
        <v>1549</v>
      </c>
      <c r="J57" s="81">
        <f t="shared" si="4"/>
        <v>7.2000000000000007E-3</v>
      </c>
      <c r="K57" s="80" t="s">
        <v>628</v>
      </c>
      <c r="L57" s="83">
        <v>42</v>
      </c>
    </row>
    <row r="58" spans="1:12" ht="30" customHeight="1" x14ac:dyDescent="0.3">
      <c r="A58" s="79" t="s">
        <v>655</v>
      </c>
      <c r="B58" s="80" t="s">
        <v>678</v>
      </c>
      <c r="C58" s="81">
        <v>0.1</v>
      </c>
      <c r="D58" s="80" t="s">
        <v>114</v>
      </c>
      <c r="E58" s="81">
        <v>0.25</v>
      </c>
      <c r="F58" s="81" t="s">
        <v>20</v>
      </c>
      <c r="G58" s="81">
        <v>0.25</v>
      </c>
      <c r="H58" s="81">
        <f t="shared" si="3"/>
        <v>2.5000000000000001E-2</v>
      </c>
      <c r="I58" s="80" t="s">
        <v>1527</v>
      </c>
      <c r="J58" s="81">
        <f t="shared" si="4"/>
        <v>6.2500000000000003E-3</v>
      </c>
      <c r="K58" s="80" t="s">
        <v>628</v>
      </c>
      <c r="L58" s="83">
        <v>43</v>
      </c>
    </row>
    <row r="59" spans="1:12" ht="30" customHeight="1" x14ac:dyDescent="0.3">
      <c r="A59" s="79" t="s">
        <v>655</v>
      </c>
      <c r="B59" s="80" t="s">
        <v>678</v>
      </c>
      <c r="C59" s="81">
        <v>0.1</v>
      </c>
      <c r="D59" s="80" t="s">
        <v>680</v>
      </c>
      <c r="E59" s="81">
        <v>0.25</v>
      </c>
      <c r="F59" s="81" t="s">
        <v>30</v>
      </c>
      <c r="G59" s="81">
        <v>0.05</v>
      </c>
      <c r="H59" s="81">
        <f t="shared" si="3"/>
        <v>2.5000000000000001E-2</v>
      </c>
      <c r="I59" s="80" t="s">
        <v>1550</v>
      </c>
      <c r="J59" s="81">
        <f t="shared" si="4"/>
        <v>1.2500000000000002E-3</v>
      </c>
      <c r="K59" s="80" t="s">
        <v>628</v>
      </c>
      <c r="L59" s="83">
        <v>44</v>
      </c>
    </row>
    <row r="60" spans="1:12" ht="30" customHeight="1" x14ac:dyDescent="0.3">
      <c r="A60" s="79" t="s">
        <v>655</v>
      </c>
      <c r="B60" s="80" t="s">
        <v>678</v>
      </c>
      <c r="C60" s="81">
        <v>0.1</v>
      </c>
      <c r="D60" s="80" t="s">
        <v>681</v>
      </c>
      <c r="E60" s="81">
        <v>0.2</v>
      </c>
      <c r="F60" s="81" t="s">
        <v>24</v>
      </c>
      <c r="G60" s="81">
        <v>0.12</v>
      </c>
      <c r="H60" s="81">
        <f t="shared" si="3"/>
        <v>2.0000000000000004E-2</v>
      </c>
      <c r="I60" s="80" t="s">
        <v>1548</v>
      </c>
      <c r="J60" s="81">
        <f t="shared" si="4"/>
        <v>2.4000000000000002E-3</v>
      </c>
      <c r="K60" s="80" t="s">
        <v>628</v>
      </c>
      <c r="L60" s="83">
        <v>45</v>
      </c>
    </row>
    <row r="61" spans="1:12" ht="30" customHeight="1" x14ac:dyDescent="0.3">
      <c r="A61" s="79" t="s">
        <v>682</v>
      </c>
      <c r="B61" s="80" t="s">
        <v>683</v>
      </c>
      <c r="C61" s="81">
        <v>0.2</v>
      </c>
      <c r="D61" s="80" t="s">
        <v>684</v>
      </c>
      <c r="E61" s="81">
        <v>0.25</v>
      </c>
      <c r="F61" s="81" t="s">
        <v>20</v>
      </c>
      <c r="G61" s="81">
        <v>0.25</v>
      </c>
      <c r="H61" s="81">
        <f t="shared" si="3"/>
        <v>0.05</v>
      </c>
      <c r="I61" s="80" t="s">
        <v>1527</v>
      </c>
      <c r="J61" s="81">
        <f t="shared" si="4"/>
        <v>1.2500000000000001E-2</v>
      </c>
      <c r="K61" s="80" t="s">
        <v>628</v>
      </c>
      <c r="L61" s="83">
        <v>46</v>
      </c>
    </row>
    <row r="62" spans="1:12" ht="30" customHeight="1" x14ac:dyDescent="0.3">
      <c r="A62" s="79" t="s">
        <v>682</v>
      </c>
      <c r="B62" s="80" t="s">
        <v>683</v>
      </c>
      <c r="C62" s="81">
        <v>0.2</v>
      </c>
      <c r="D62" s="80" t="s">
        <v>685</v>
      </c>
      <c r="E62" s="81">
        <v>0.3</v>
      </c>
      <c r="F62" s="81" t="s">
        <v>56</v>
      </c>
      <c r="G62" s="81">
        <v>0.12</v>
      </c>
      <c r="H62" s="81">
        <f t="shared" si="3"/>
        <v>0.06</v>
      </c>
      <c r="I62" s="80" t="s">
        <v>1527</v>
      </c>
      <c r="J62" s="81">
        <f t="shared" si="4"/>
        <v>7.1999999999999998E-3</v>
      </c>
      <c r="K62" s="80" t="s">
        <v>628</v>
      </c>
      <c r="L62" s="83">
        <v>47</v>
      </c>
    </row>
    <row r="63" spans="1:12" ht="30" customHeight="1" x14ac:dyDescent="0.3">
      <c r="A63" s="79" t="s">
        <v>682</v>
      </c>
      <c r="B63" s="80" t="s">
        <v>683</v>
      </c>
      <c r="C63" s="81">
        <v>0.2</v>
      </c>
      <c r="D63" s="80" t="s">
        <v>686</v>
      </c>
      <c r="E63" s="81">
        <v>0.25</v>
      </c>
      <c r="F63" s="81" t="s">
        <v>20</v>
      </c>
      <c r="G63" s="81">
        <v>0.25</v>
      </c>
      <c r="H63" s="81">
        <f t="shared" si="3"/>
        <v>0.05</v>
      </c>
      <c r="I63" s="80" t="s">
        <v>1527</v>
      </c>
      <c r="J63" s="81">
        <f t="shared" si="4"/>
        <v>1.2500000000000001E-2</v>
      </c>
      <c r="K63" s="80" t="s">
        <v>628</v>
      </c>
      <c r="L63" s="83">
        <v>48</v>
      </c>
    </row>
    <row r="64" spans="1:12" ht="30" customHeight="1" x14ac:dyDescent="0.3">
      <c r="A64" s="79" t="s">
        <v>682</v>
      </c>
      <c r="B64" s="80" t="s">
        <v>683</v>
      </c>
      <c r="C64" s="81">
        <v>0.2</v>
      </c>
      <c r="D64" s="80" t="s">
        <v>687</v>
      </c>
      <c r="E64" s="81">
        <v>0.2</v>
      </c>
      <c r="F64" s="81" t="s">
        <v>24</v>
      </c>
      <c r="G64" s="81">
        <v>0.12</v>
      </c>
      <c r="H64" s="81">
        <f t="shared" si="3"/>
        <v>4.0000000000000008E-2</v>
      </c>
      <c r="I64" s="80" t="s">
        <v>1548</v>
      </c>
      <c r="J64" s="81">
        <f t="shared" si="4"/>
        <v>4.8000000000000004E-3</v>
      </c>
      <c r="K64" s="80" t="s">
        <v>628</v>
      </c>
      <c r="L64" s="83">
        <v>49</v>
      </c>
    </row>
    <row r="65" spans="1:12" ht="30" customHeight="1" x14ac:dyDescent="0.3">
      <c r="A65" s="79" t="s">
        <v>682</v>
      </c>
      <c r="B65" s="80" t="s">
        <v>688</v>
      </c>
      <c r="C65" s="81">
        <v>0.1</v>
      </c>
      <c r="D65" s="80" t="s">
        <v>689</v>
      </c>
      <c r="E65" s="81">
        <v>0.3</v>
      </c>
      <c r="F65" s="81" t="s">
        <v>20</v>
      </c>
      <c r="G65" s="81">
        <v>0.25</v>
      </c>
      <c r="H65" s="81">
        <f t="shared" si="3"/>
        <v>0.03</v>
      </c>
      <c r="I65" s="80" t="s">
        <v>1527</v>
      </c>
      <c r="J65" s="81">
        <f t="shared" si="4"/>
        <v>7.4999999999999997E-3</v>
      </c>
      <c r="K65" s="80" t="s">
        <v>628</v>
      </c>
      <c r="L65" s="83">
        <v>50</v>
      </c>
    </row>
    <row r="66" spans="1:12" ht="30" customHeight="1" x14ac:dyDescent="0.3">
      <c r="A66" s="79" t="s">
        <v>682</v>
      </c>
      <c r="B66" s="80" t="s">
        <v>688</v>
      </c>
      <c r="C66" s="81">
        <v>0.1</v>
      </c>
      <c r="D66" s="80" t="s">
        <v>690</v>
      </c>
      <c r="E66" s="81">
        <v>0.3</v>
      </c>
      <c r="F66" s="81" t="s">
        <v>56</v>
      </c>
      <c r="G66" s="81">
        <v>0.12</v>
      </c>
      <c r="H66" s="81">
        <f t="shared" si="3"/>
        <v>0.03</v>
      </c>
      <c r="I66" s="80" t="s">
        <v>1527</v>
      </c>
      <c r="J66" s="81">
        <f t="shared" si="4"/>
        <v>3.5999999999999999E-3</v>
      </c>
      <c r="K66" s="80" t="s">
        <v>628</v>
      </c>
      <c r="L66" s="83">
        <v>51</v>
      </c>
    </row>
    <row r="67" spans="1:12" ht="30" customHeight="1" x14ac:dyDescent="0.3">
      <c r="A67" s="79" t="s">
        <v>682</v>
      </c>
      <c r="B67" s="80" t="s">
        <v>688</v>
      </c>
      <c r="C67" s="81">
        <v>0.1</v>
      </c>
      <c r="D67" s="80" t="s">
        <v>691</v>
      </c>
      <c r="E67" s="81">
        <v>0.2</v>
      </c>
      <c r="F67" s="81" t="s">
        <v>22</v>
      </c>
      <c r="G67" s="81">
        <v>0.2</v>
      </c>
      <c r="H67" s="81">
        <f t="shared" si="3"/>
        <v>2.0000000000000004E-2</v>
      </c>
      <c r="I67" s="80" t="s">
        <v>1527</v>
      </c>
      <c r="J67" s="81">
        <f t="shared" si="4"/>
        <v>4.000000000000001E-3</v>
      </c>
      <c r="K67" s="80" t="s">
        <v>628</v>
      </c>
      <c r="L67" s="83">
        <v>52</v>
      </c>
    </row>
    <row r="68" spans="1:12" ht="30" customHeight="1" x14ac:dyDescent="0.3">
      <c r="A68" s="79" t="s">
        <v>682</v>
      </c>
      <c r="B68" s="80" t="s">
        <v>688</v>
      </c>
      <c r="C68" s="81">
        <v>0.1</v>
      </c>
      <c r="D68" s="80" t="s">
        <v>692</v>
      </c>
      <c r="E68" s="81">
        <v>0.2</v>
      </c>
      <c r="F68" s="81" t="s">
        <v>24</v>
      </c>
      <c r="G68" s="81">
        <v>0.12</v>
      </c>
      <c r="H68" s="81">
        <f t="shared" si="3"/>
        <v>2.0000000000000004E-2</v>
      </c>
      <c r="I68" s="80" t="s">
        <v>1548</v>
      </c>
      <c r="J68" s="81">
        <f t="shared" si="4"/>
        <v>2.4000000000000002E-3</v>
      </c>
      <c r="K68" s="80" t="s">
        <v>628</v>
      </c>
      <c r="L68" s="83">
        <v>53</v>
      </c>
    </row>
    <row r="69" spans="1:12" ht="30" customHeight="1" x14ac:dyDescent="0.3">
      <c r="A69" s="79" t="s">
        <v>682</v>
      </c>
      <c r="B69" s="80" t="s">
        <v>693</v>
      </c>
      <c r="C69" s="81">
        <v>0.15</v>
      </c>
      <c r="D69" s="80" t="s">
        <v>694</v>
      </c>
      <c r="E69" s="81">
        <v>0.3</v>
      </c>
      <c r="F69" s="81" t="s">
        <v>20</v>
      </c>
      <c r="G69" s="81">
        <v>0.25</v>
      </c>
      <c r="H69" s="81">
        <f t="shared" si="3"/>
        <v>4.4999999999999998E-2</v>
      </c>
      <c r="I69" s="80" t="s">
        <v>1527</v>
      </c>
      <c r="J69" s="81">
        <f t="shared" si="4"/>
        <v>1.125E-2</v>
      </c>
      <c r="K69" s="80" t="s">
        <v>628</v>
      </c>
      <c r="L69" s="83">
        <v>54</v>
      </c>
    </row>
    <row r="70" spans="1:12" ht="30" customHeight="1" x14ac:dyDescent="0.3">
      <c r="A70" s="79" t="s">
        <v>682</v>
      </c>
      <c r="B70" s="80" t="s">
        <v>693</v>
      </c>
      <c r="C70" s="81">
        <v>0.15</v>
      </c>
      <c r="D70" s="80" t="s">
        <v>695</v>
      </c>
      <c r="E70" s="81">
        <v>0.25</v>
      </c>
      <c r="F70" s="81" t="s">
        <v>56</v>
      </c>
      <c r="G70" s="81">
        <v>0.12</v>
      </c>
      <c r="H70" s="81">
        <f t="shared" si="3"/>
        <v>3.7499999999999999E-2</v>
      </c>
      <c r="I70" s="80" t="s">
        <v>1527</v>
      </c>
      <c r="J70" s="81">
        <f t="shared" si="4"/>
        <v>4.4999999999999997E-3</v>
      </c>
      <c r="K70" s="80" t="s">
        <v>628</v>
      </c>
      <c r="L70" s="83">
        <v>55</v>
      </c>
    </row>
    <row r="71" spans="1:12" ht="30" customHeight="1" x14ac:dyDescent="0.3">
      <c r="A71" s="79" t="s">
        <v>682</v>
      </c>
      <c r="B71" s="80" t="s">
        <v>693</v>
      </c>
      <c r="C71" s="81">
        <v>0.15</v>
      </c>
      <c r="D71" s="80" t="s">
        <v>696</v>
      </c>
      <c r="E71" s="81">
        <v>0.25</v>
      </c>
      <c r="F71" s="81" t="s">
        <v>28</v>
      </c>
      <c r="G71" s="81">
        <v>0.12</v>
      </c>
      <c r="H71" s="81">
        <f t="shared" si="3"/>
        <v>3.7499999999999999E-2</v>
      </c>
      <c r="I71" s="80" t="s">
        <v>1548</v>
      </c>
      <c r="J71" s="81">
        <f t="shared" si="4"/>
        <v>4.4999999999999997E-3</v>
      </c>
      <c r="K71" s="80" t="s">
        <v>628</v>
      </c>
      <c r="L71" s="83">
        <v>56</v>
      </c>
    </row>
    <row r="72" spans="1:12" ht="30" customHeight="1" x14ac:dyDescent="0.3">
      <c r="A72" s="79" t="s">
        <v>682</v>
      </c>
      <c r="B72" s="80" t="s">
        <v>693</v>
      </c>
      <c r="C72" s="81">
        <v>0.15</v>
      </c>
      <c r="D72" s="80" t="s">
        <v>697</v>
      </c>
      <c r="E72" s="81">
        <v>0.2</v>
      </c>
      <c r="F72" s="81" t="s">
        <v>24</v>
      </c>
      <c r="G72" s="81">
        <v>0.12</v>
      </c>
      <c r="H72" s="81">
        <f t="shared" si="3"/>
        <v>0.03</v>
      </c>
      <c r="I72" s="80" t="s">
        <v>1548</v>
      </c>
      <c r="J72" s="81">
        <f t="shared" si="4"/>
        <v>3.5999999999999999E-3</v>
      </c>
      <c r="K72" s="80" t="s">
        <v>628</v>
      </c>
      <c r="L72" s="83">
        <v>57</v>
      </c>
    </row>
    <row r="73" spans="1:12" ht="30" customHeight="1" x14ac:dyDescent="0.3">
      <c r="A73" s="79" t="s">
        <v>682</v>
      </c>
      <c r="B73" s="80" t="s">
        <v>698</v>
      </c>
      <c r="C73" s="81">
        <v>0.1</v>
      </c>
      <c r="D73" s="80" t="s">
        <v>699</v>
      </c>
      <c r="E73" s="81">
        <v>0.3</v>
      </c>
      <c r="F73" s="81" t="s">
        <v>20</v>
      </c>
      <c r="G73" s="81">
        <v>0.25</v>
      </c>
      <c r="H73" s="81">
        <f t="shared" si="3"/>
        <v>0.03</v>
      </c>
      <c r="I73" s="80" t="s">
        <v>1527</v>
      </c>
      <c r="J73" s="81">
        <f t="shared" si="4"/>
        <v>7.4999999999999997E-3</v>
      </c>
      <c r="K73" s="80" t="s">
        <v>628</v>
      </c>
      <c r="L73" s="83">
        <v>58</v>
      </c>
    </row>
    <row r="74" spans="1:12" ht="30" customHeight="1" x14ac:dyDescent="0.3">
      <c r="A74" s="79" t="s">
        <v>682</v>
      </c>
      <c r="B74" s="80" t="s">
        <v>698</v>
      </c>
      <c r="C74" s="81">
        <v>0.1</v>
      </c>
      <c r="D74" s="80" t="s">
        <v>700</v>
      </c>
      <c r="E74" s="81">
        <v>0.25</v>
      </c>
      <c r="F74" s="81" t="s">
        <v>40</v>
      </c>
      <c r="G74" s="81">
        <v>0.22</v>
      </c>
      <c r="H74" s="81">
        <f t="shared" si="3"/>
        <v>2.5000000000000001E-2</v>
      </c>
      <c r="I74" s="80" t="s">
        <v>1533</v>
      </c>
      <c r="J74" s="81">
        <f t="shared" si="4"/>
        <v>5.5000000000000005E-3</v>
      </c>
      <c r="K74" s="80" t="s">
        <v>628</v>
      </c>
      <c r="L74" s="83">
        <v>59</v>
      </c>
    </row>
    <row r="75" spans="1:12" ht="30" customHeight="1" x14ac:dyDescent="0.3">
      <c r="A75" s="79" t="s">
        <v>682</v>
      </c>
      <c r="B75" s="80" t="s">
        <v>698</v>
      </c>
      <c r="C75" s="81">
        <v>0.1</v>
      </c>
      <c r="D75" s="80" t="s">
        <v>701</v>
      </c>
      <c r="E75" s="81">
        <v>0.2</v>
      </c>
      <c r="F75" s="81" t="s">
        <v>22</v>
      </c>
      <c r="G75" s="81">
        <v>0.2</v>
      </c>
      <c r="H75" s="81">
        <f t="shared" si="3"/>
        <v>2.0000000000000004E-2</v>
      </c>
      <c r="I75" s="80" t="s">
        <v>1527</v>
      </c>
      <c r="J75" s="81">
        <f t="shared" si="4"/>
        <v>4.000000000000001E-3</v>
      </c>
      <c r="K75" s="80" t="s">
        <v>628</v>
      </c>
      <c r="L75" s="83">
        <v>60</v>
      </c>
    </row>
    <row r="76" spans="1:12" ht="30" customHeight="1" x14ac:dyDescent="0.3">
      <c r="A76" s="79" t="s">
        <v>682</v>
      </c>
      <c r="B76" s="80" t="s">
        <v>698</v>
      </c>
      <c r="C76" s="81">
        <v>0.1</v>
      </c>
      <c r="D76" s="80" t="s">
        <v>702</v>
      </c>
      <c r="E76" s="81">
        <v>0.25</v>
      </c>
      <c r="F76" s="81" t="s">
        <v>24</v>
      </c>
      <c r="G76" s="81">
        <v>0.12</v>
      </c>
      <c r="H76" s="81">
        <f t="shared" si="3"/>
        <v>2.5000000000000001E-2</v>
      </c>
      <c r="I76" s="80" t="s">
        <v>1548</v>
      </c>
      <c r="J76" s="81">
        <f t="shared" si="4"/>
        <v>3.0000000000000001E-3</v>
      </c>
      <c r="K76" s="80" t="s">
        <v>628</v>
      </c>
      <c r="L76" s="83">
        <v>61</v>
      </c>
    </row>
    <row r="77" spans="1:12" ht="30" customHeight="1" x14ac:dyDescent="0.3">
      <c r="A77" s="79" t="s">
        <v>682</v>
      </c>
      <c r="B77" s="80" t="s">
        <v>703</v>
      </c>
      <c r="C77" s="81">
        <v>0.15</v>
      </c>
      <c r="D77" s="80" t="s">
        <v>704</v>
      </c>
      <c r="E77" s="81">
        <v>0.3</v>
      </c>
      <c r="F77" s="81" t="s">
        <v>20</v>
      </c>
      <c r="G77" s="81">
        <v>0.25</v>
      </c>
      <c r="H77" s="81">
        <f t="shared" si="3"/>
        <v>4.4999999999999998E-2</v>
      </c>
      <c r="I77" s="80" t="s">
        <v>1527</v>
      </c>
      <c r="J77" s="81">
        <f t="shared" si="4"/>
        <v>1.125E-2</v>
      </c>
      <c r="K77" s="80" t="s">
        <v>628</v>
      </c>
      <c r="L77" s="83">
        <v>62</v>
      </c>
    </row>
    <row r="78" spans="1:12" ht="30" customHeight="1" x14ac:dyDescent="0.3">
      <c r="A78" s="79" t="s">
        <v>682</v>
      </c>
      <c r="B78" s="80" t="s">
        <v>703</v>
      </c>
      <c r="C78" s="81">
        <v>0.15</v>
      </c>
      <c r="D78" s="80" t="s">
        <v>705</v>
      </c>
      <c r="E78" s="81">
        <v>0.3</v>
      </c>
      <c r="F78" s="81" t="s">
        <v>56</v>
      </c>
      <c r="G78" s="81">
        <v>0.12</v>
      </c>
      <c r="H78" s="81">
        <f t="shared" si="3"/>
        <v>4.4999999999999998E-2</v>
      </c>
      <c r="I78" s="80" t="s">
        <v>1527</v>
      </c>
      <c r="J78" s="81">
        <f t="shared" si="4"/>
        <v>5.3999999999999994E-3</v>
      </c>
      <c r="K78" s="80" t="s">
        <v>628</v>
      </c>
      <c r="L78" s="83">
        <v>63</v>
      </c>
    </row>
    <row r="79" spans="1:12" ht="30" customHeight="1" x14ac:dyDescent="0.3">
      <c r="A79" s="79" t="s">
        <v>682</v>
      </c>
      <c r="B79" s="80" t="s">
        <v>703</v>
      </c>
      <c r="C79" s="81">
        <v>0.15</v>
      </c>
      <c r="D79" s="80" t="s">
        <v>706</v>
      </c>
      <c r="E79" s="81">
        <v>0.25</v>
      </c>
      <c r="F79" s="81" t="s">
        <v>20</v>
      </c>
      <c r="G79" s="81">
        <v>0.25</v>
      </c>
      <c r="H79" s="81">
        <f t="shared" si="3"/>
        <v>3.7499999999999999E-2</v>
      </c>
      <c r="I79" s="80" t="s">
        <v>1527</v>
      </c>
      <c r="J79" s="81">
        <f t="shared" si="4"/>
        <v>9.3749999999999997E-3</v>
      </c>
      <c r="K79" s="80" t="s">
        <v>628</v>
      </c>
      <c r="L79" s="83">
        <v>64</v>
      </c>
    </row>
    <row r="80" spans="1:12" ht="30" customHeight="1" x14ac:dyDescent="0.3">
      <c r="A80" s="79" t="s">
        <v>682</v>
      </c>
      <c r="B80" s="80" t="s">
        <v>703</v>
      </c>
      <c r="C80" s="81">
        <v>0.15</v>
      </c>
      <c r="D80" s="80" t="s">
        <v>707</v>
      </c>
      <c r="E80" s="81">
        <v>0.15</v>
      </c>
      <c r="F80" s="81" t="s">
        <v>24</v>
      </c>
      <c r="G80" s="81">
        <v>0.12</v>
      </c>
      <c r="H80" s="81">
        <f t="shared" si="3"/>
        <v>2.2499999999999999E-2</v>
      </c>
      <c r="I80" s="80" t="s">
        <v>1548</v>
      </c>
      <c r="J80" s="81">
        <f t="shared" si="4"/>
        <v>2.6999999999999997E-3</v>
      </c>
      <c r="K80" s="80" t="s">
        <v>628</v>
      </c>
      <c r="L80" s="83">
        <v>65</v>
      </c>
    </row>
    <row r="81" spans="1:12" ht="30" customHeight="1" x14ac:dyDescent="0.3">
      <c r="A81" s="79" t="s">
        <v>682</v>
      </c>
      <c r="B81" s="80" t="s">
        <v>708</v>
      </c>
      <c r="C81" s="81">
        <v>0.15</v>
      </c>
      <c r="D81" s="80" t="s">
        <v>709</v>
      </c>
      <c r="E81" s="81">
        <v>0.3</v>
      </c>
      <c r="F81" s="81" t="s">
        <v>20</v>
      </c>
      <c r="G81" s="81">
        <v>0.25</v>
      </c>
      <c r="H81" s="81">
        <f t="shared" ref="H81:H112" si="5">C81*E81</f>
        <v>4.4999999999999998E-2</v>
      </c>
      <c r="I81" s="80" t="s">
        <v>1527</v>
      </c>
      <c r="J81" s="81">
        <f t="shared" ref="J81:J112" si="6">G81*H81</f>
        <v>1.125E-2</v>
      </c>
      <c r="K81" s="80" t="s">
        <v>628</v>
      </c>
      <c r="L81" s="83">
        <v>66</v>
      </c>
    </row>
    <row r="82" spans="1:12" ht="30" customHeight="1" x14ac:dyDescent="0.3">
      <c r="A82" s="79" t="s">
        <v>682</v>
      </c>
      <c r="B82" s="80" t="s">
        <v>708</v>
      </c>
      <c r="C82" s="81">
        <v>0.15</v>
      </c>
      <c r="D82" s="80" t="s">
        <v>710</v>
      </c>
      <c r="E82" s="81">
        <v>0.3</v>
      </c>
      <c r="F82" s="81" t="s">
        <v>56</v>
      </c>
      <c r="G82" s="81">
        <v>0.12</v>
      </c>
      <c r="H82" s="81">
        <f t="shared" si="5"/>
        <v>4.4999999999999998E-2</v>
      </c>
      <c r="I82" s="80" t="s">
        <v>1527</v>
      </c>
      <c r="J82" s="81">
        <f t="shared" si="6"/>
        <v>5.3999999999999994E-3</v>
      </c>
      <c r="K82" s="80" t="s">
        <v>628</v>
      </c>
      <c r="L82" s="83">
        <v>67</v>
      </c>
    </row>
    <row r="83" spans="1:12" ht="30" customHeight="1" x14ac:dyDescent="0.3">
      <c r="A83" s="79" t="s">
        <v>682</v>
      </c>
      <c r="B83" s="80" t="s">
        <v>708</v>
      </c>
      <c r="C83" s="81">
        <v>0.15</v>
      </c>
      <c r="D83" s="80" t="s">
        <v>711</v>
      </c>
      <c r="E83" s="81">
        <v>0.25</v>
      </c>
      <c r="F83" s="81" t="s">
        <v>22</v>
      </c>
      <c r="G83" s="81">
        <v>0.2</v>
      </c>
      <c r="H83" s="81">
        <f t="shared" si="5"/>
        <v>3.7499999999999999E-2</v>
      </c>
      <c r="I83" s="80" t="s">
        <v>1527</v>
      </c>
      <c r="J83" s="81">
        <f t="shared" si="6"/>
        <v>7.4999999999999997E-3</v>
      </c>
      <c r="K83" s="80" t="s">
        <v>628</v>
      </c>
      <c r="L83" s="83">
        <v>68</v>
      </c>
    </row>
    <row r="84" spans="1:12" ht="30" customHeight="1" x14ac:dyDescent="0.3">
      <c r="A84" s="79" t="s">
        <v>682</v>
      </c>
      <c r="B84" s="80" t="s">
        <v>708</v>
      </c>
      <c r="C84" s="81">
        <v>0.15</v>
      </c>
      <c r="D84" s="80" t="s">
        <v>712</v>
      </c>
      <c r="E84" s="81">
        <v>0.15</v>
      </c>
      <c r="F84" s="81" t="s">
        <v>24</v>
      </c>
      <c r="G84" s="81">
        <v>0.12</v>
      </c>
      <c r="H84" s="81">
        <f t="shared" si="5"/>
        <v>2.2499999999999999E-2</v>
      </c>
      <c r="I84" s="80" t="s">
        <v>1548</v>
      </c>
      <c r="J84" s="81">
        <f t="shared" si="6"/>
        <v>2.6999999999999997E-3</v>
      </c>
      <c r="K84" s="80" t="s">
        <v>628</v>
      </c>
      <c r="L84" s="83">
        <v>69</v>
      </c>
    </row>
    <row r="85" spans="1:12" ht="30" customHeight="1" x14ac:dyDescent="0.3">
      <c r="A85" s="79" t="s">
        <v>682</v>
      </c>
      <c r="B85" s="80" t="s">
        <v>713</v>
      </c>
      <c r="C85" s="81">
        <v>0.15</v>
      </c>
      <c r="D85" s="80" t="s">
        <v>714</v>
      </c>
      <c r="E85" s="81">
        <v>0.25</v>
      </c>
      <c r="F85" s="81" t="s">
        <v>20</v>
      </c>
      <c r="G85" s="81">
        <v>0.25</v>
      </c>
      <c r="H85" s="81">
        <f t="shared" si="5"/>
        <v>3.7499999999999999E-2</v>
      </c>
      <c r="I85" s="80" t="s">
        <v>1527</v>
      </c>
      <c r="J85" s="81">
        <f t="shared" si="6"/>
        <v>9.3749999999999997E-3</v>
      </c>
      <c r="K85" s="80" t="s">
        <v>628</v>
      </c>
      <c r="L85" s="83">
        <v>70</v>
      </c>
    </row>
    <row r="86" spans="1:12" ht="30" customHeight="1" x14ac:dyDescent="0.3">
      <c r="A86" s="79" t="s">
        <v>682</v>
      </c>
      <c r="B86" s="80" t="s">
        <v>713</v>
      </c>
      <c r="C86" s="81">
        <v>0.15</v>
      </c>
      <c r="D86" s="80" t="s">
        <v>715</v>
      </c>
      <c r="E86" s="81">
        <v>0.3</v>
      </c>
      <c r="F86" s="81" t="s">
        <v>56</v>
      </c>
      <c r="G86" s="81">
        <v>0.12</v>
      </c>
      <c r="H86" s="81">
        <f t="shared" si="5"/>
        <v>4.4999999999999998E-2</v>
      </c>
      <c r="I86" s="80" t="s">
        <v>1527</v>
      </c>
      <c r="J86" s="81">
        <f t="shared" si="6"/>
        <v>5.3999999999999994E-3</v>
      </c>
      <c r="K86" s="80" t="s">
        <v>628</v>
      </c>
      <c r="L86" s="83">
        <v>71</v>
      </c>
    </row>
    <row r="87" spans="1:12" ht="30" customHeight="1" x14ac:dyDescent="0.3">
      <c r="A87" s="79" t="s">
        <v>682</v>
      </c>
      <c r="B87" s="80" t="s">
        <v>713</v>
      </c>
      <c r="C87" s="81">
        <v>0.15</v>
      </c>
      <c r="D87" s="80" t="s">
        <v>716</v>
      </c>
      <c r="E87" s="81">
        <v>0.25</v>
      </c>
      <c r="F87" s="81" t="s">
        <v>28</v>
      </c>
      <c r="G87" s="81">
        <v>0.12</v>
      </c>
      <c r="H87" s="81">
        <f t="shared" si="5"/>
        <v>3.7499999999999999E-2</v>
      </c>
      <c r="I87" s="80" t="s">
        <v>1548</v>
      </c>
      <c r="J87" s="81">
        <f t="shared" si="6"/>
        <v>4.4999999999999997E-3</v>
      </c>
      <c r="K87" s="80" t="s">
        <v>628</v>
      </c>
      <c r="L87" s="83">
        <v>72</v>
      </c>
    </row>
    <row r="88" spans="1:12" ht="30" customHeight="1" x14ac:dyDescent="0.3">
      <c r="A88" s="79" t="s">
        <v>682</v>
      </c>
      <c r="B88" s="80" t="s">
        <v>713</v>
      </c>
      <c r="C88" s="81">
        <v>0.15</v>
      </c>
      <c r="D88" s="80" t="s">
        <v>717</v>
      </c>
      <c r="E88" s="81">
        <v>0.2</v>
      </c>
      <c r="F88" s="81" t="s">
        <v>24</v>
      </c>
      <c r="G88" s="81">
        <v>0.12</v>
      </c>
      <c r="H88" s="81">
        <f t="shared" si="5"/>
        <v>0.03</v>
      </c>
      <c r="I88" s="80" t="s">
        <v>1548</v>
      </c>
      <c r="J88" s="81">
        <f t="shared" si="6"/>
        <v>3.5999999999999999E-3</v>
      </c>
      <c r="K88" s="80" t="s">
        <v>628</v>
      </c>
      <c r="L88" s="83">
        <v>73</v>
      </c>
    </row>
    <row r="89" spans="1:12" ht="30" customHeight="1" x14ac:dyDescent="0.3">
      <c r="A89" s="79" t="s">
        <v>719</v>
      </c>
      <c r="B89" s="80" t="s">
        <v>720</v>
      </c>
      <c r="C89" s="81">
        <v>0.3</v>
      </c>
      <c r="D89" s="80" t="s">
        <v>721</v>
      </c>
      <c r="E89" s="81">
        <v>0.25</v>
      </c>
      <c r="F89" s="81" t="s">
        <v>20</v>
      </c>
      <c r="G89" s="81">
        <v>0.25</v>
      </c>
      <c r="H89" s="81">
        <f t="shared" si="5"/>
        <v>7.4999999999999997E-2</v>
      </c>
      <c r="I89" s="80" t="s">
        <v>1527</v>
      </c>
      <c r="J89" s="81">
        <f t="shared" si="6"/>
        <v>1.8749999999999999E-2</v>
      </c>
      <c r="K89" s="80" t="s">
        <v>718</v>
      </c>
      <c r="L89" s="83">
        <v>76</v>
      </c>
    </row>
    <row r="90" spans="1:12" ht="30" customHeight="1" x14ac:dyDescent="0.3">
      <c r="A90" s="79" t="s">
        <v>719</v>
      </c>
      <c r="B90" s="80" t="s">
        <v>720</v>
      </c>
      <c r="C90" s="81">
        <v>0.3</v>
      </c>
      <c r="D90" s="80" t="s">
        <v>722</v>
      </c>
      <c r="E90" s="81">
        <v>0.35</v>
      </c>
      <c r="F90" s="81" t="s">
        <v>18</v>
      </c>
      <c r="G90" s="81">
        <v>0.14000000000000001</v>
      </c>
      <c r="H90" s="81">
        <f t="shared" si="5"/>
        <v>0.105</v>
      </c>
      <c r="I90" s="80" t="s">
        <v>1520</v>
      </c>
      <c r="J90" s="81">
        <f t="shared" si="6"/>
        <v>1.4700000000000001E-2</v>
      </c>
      <c r="K90" s="80" t="s">
        <v>718</v>
      </c>
      <c r="L90" s="83">
        <v>77</v>
      </c>
    </row>
    <row r="91" spans="1:12" ht="30" customHeight="1" x14ac:dyDescent="0.3">
      <c r="A91" s="79" t="s">
        <v>719</v>
      </c>
      <c r="B91" s="80" t="s">
        <v>720</v>
      </c>
      <c r="C91" s="81">
        <v>0.3</v>
      </c>
      <c r="D91" s="80" t="s">
        <v>723</v>
      </c>
      <c r="E91" s="81">
        <v>0.25</v>
      </c>
      <c r="F91" s="81" t="s">
        <v>28</v>
      </c>
      <c r="G91" s="81">
        <v>0.12</v>
      </c>
      <c r="H91" s="81">
        <f t="shared" si="5"/>
        <v>7.4999999999999997E-2</v>
      </c>
      <c r="I91" s="80" t="s">
        <v>1548</v>
      </c>
      <c r="J91" s="81">
        <f t="shared" si="6"/>
        <v>8.9999999999999993E-3</v>
      </c>
      <c r="K91" s="80" t="s">
        <v>718</v>
      </c>
      <c r="L91" s="83">
        <v>78</v>
      </c>
    </row>
    <row r="92" spans="1:12" ht="30" customHeight="1" x14ac:dyDescent="0.3">
      <c r="A92" s="79" t="s">
        <v>719</v>
      </c>
      <c r="B92" s="80" t="s">
        <v>720</v>
      </c>
      <c r="C92" s="81">
        <v>0.3</v>
      </c>
      <c r="D92" s="80" t="s">
        <v>724</v>
      </c>
      <c r="E92" s="81">
        <v>0.15</v>
      </c>
      <c r="F92" s="81" t="s">
        <v>24</v>
      </c>
      <c r="G92" s="81">
        <v>0.12</v>
      </c>
      <c r="H92" s="81">
        <f t="shared" si="5"/>
        <v>4.4999999999999998E-2</v>
      </c>
      <c r="I92" s="80" t="s">
        <v>1548</v>
      </c>
      <c r="J92" s="81">
        <f t="shared" si="6"/>
        <v>5.3999999999999994E-3</v>
      </c>
      <c r="K92" s="80" t="s">
        <v>718</v>
      </c>
      <c r="L92" s="83">
        <v>79</v>
      </c>
    </row>
    <row r="93" spans="1:12" ht="30" customHeight="1" x14ac:dyDescent="0.3">
      <c r="A93" s="79" t="s">
        <v>719</v>
      </c>
      <c r="B93" s="80" t="s">
        <v>725</v>
      </c>
      <c r="C93" s="81">
        <v>0.35</v>
      </c>
      <c r="D93" s="80" t="s">
        <v>631</v>
      </c>
      <c r="E93" s="81">
        <v>0.2</v>
      </c>
      <c r="F93" s="81" t="s">
        <v>20</v>
      </c>
      <c r="G93" s="81">
        <v>0.25</v>
      </c>
      <c r="H93" s="81">
        <f t="shared" si="5"/>
        <v>6.9999999999999993E-2</v>
      </c>
      <c r="I93" s="80" t="s">
        <v>1527</v>
      </c>
      <c r="J93" s="81">
        <f t="shared" si="6"/>
        <v>1.7499999999999998E-2</v>
      </c>
      <c r="K93" s="80" t="s">
        <v>718</v>
      </c>
      <c r="L93" s="83">
        <v>80</v>
      </c>
    </row>
    <row r="94" spans="1:12" ht="30" customHeight="1" x14ac:dyDescent="0.3">
      <c r="A94" s="79" t="s">
        <v>719</v>
      </c>
      <c r="B94" s="80" t="s">
        <v>725</v>
      </c>
      <c r="C94" s="81">
        <v>0.35</v>
      </c>
      <c r="D94" s="80" t="s">
        <v>726</v>
      </c>
      <c r="E94" s="81">
        <v>0.4</v>
      </c>
      <c r="F94" s="81" t="s">
        <v>18</v>
      </c>
      <c r="G94" s="81">
        <v>0.55000000000000004</v>
      </c>
      <c r="H94" s="81">
        <f t="shared" si="5"/>
        <v>0.13999999999999999</v>
      </c>
      <c r="I94" s="80" t="s">
        <v>1513</v>
      </c>
      <c r="J94" s="81">
        <f t="shared" si="6"/>
        <v>7.6999999999999999E-2</v>
      </c>
      <c r="K94" s="80" t="s">
        <v>718</v>
      </c>
      <c r="L94" s="83">
        <v>81</v>
      </c>
    </row>
    <row r="95" spans="1:12" ht="30" customHeight="1" x14ac:dyDescent="0.3">
      <c r="A95" s="79" t="s">
        <v>719</v>
      </c>
      <c r="B95" s="80" t="s">
        <v>725</v>
      </c>
      <c r="C95" s="81">
        <v>0.35</v>
      </c>
      <c r="D95" s="80" t="s">
        <v>727</v>
      </c>
      <c r="E95" s="81">
        <v>0.25</v>
      </c>
      <c r="F95" s="81" t="s">
        <v>20</v>
      </c>
      <c r="G95" s="81">
        <v>0.55000000000000004</v>
      </c>
      <c r="H95" s="81">
        <f t="shared" si="5"/>
        <v>8.7499999999999994E-2</v>
      </c>
      <c r="I95" s="80" t="s">
        <v>1513</v>
      </c>
      <c r="J95" s="81">
        <f t="shared" si="6"/>
        <v>4.8125000000000001E-2</v>
      </c>
      <c r="K95" s="80" t="s">
        <v>718</v>
      </c>
      <c r="L95" s="83">
        <v>82</v>
      </c>
    </row>
    <row r="96" spans="1:12" ht="30" customHeight="1" x14ac:dyDescent="0.3">
      <c r="A96" s="79" t="s">
        <v>719</v>
      </c>
      <c r="B96" s="80" t="s">
        <v>725</v>
      </c>
      <c r="C96" s="81">
        <v>0.35</v>
      </c>
      <c r="D96" s="80" t="s">
        <v>634</v>
      </c>
      <c r="E96" s="81">
        <v>0.15</v>
      </c>
      <c r="F96" s="81" t="s">
        <v>24</v>
      </c>
      <c r="G96" s="81">
        <v>0.12</v>
      </c>
      <c r="H96" s="81">
        <f t="shared" si="5"/>
        <v>5.2499999999999998E-2</v>
      </c>
      <c r="I96" s="80" t="s">
        <v>1548</v>
      </c>
      <c r="J96" s="81">
        <f t="shared" si="6"/>
        <v>6.2999999999999992E-3</v>
      </c>
      <c r="K96" s="80" t="s">
        <v>718</v>
      </c>
      <c r="L96" s="83">
        <v>83</v>
      </c>
    </row>
    <row r="97" spans="1:12" ht="30" customHeight="1" x14ac:dyDescent="0.3">
      <c r="A97" s="79" t="s">
        <v>719</v>
      </c>
      <c r="B97" s="80" t="s">
        <v>728</v>
      </c>
      <c r="C97" s="81">
        <v>0.35</v>
      </c>
      <c r="D97" s="80" t="s">
        <v>729</v>
      </c>
      <c r="E97" s="81">
        <v>0.25</v>
      </c>
      <c r="F97" s="81" t="s">
        <v>20</v>
      </c>
      <c r="G97" s="81">
        <v>0.25</v>
      </c>
      <c r="H97" s="81">
        <f t="shared" si="5"/>
        <v>8.7499999999999994E-2</v>
      </c>
      <c r="I97" s="80" t="s">
        <v>1527</v>
      </c>
      <c r="J97" s="81">
        <f t="shared" si="6"/>
        <v>2.1874999999999999E-2</v>
      </c>
      <c r="K97" s="80" t="s">
        <v>718</v>
      </c>
      <c r="L97" s="83">
        <v>84</v>
      </c>
    </row>
    <row r="98" spans="1:12" ht="30" customHeight="1" x14ac:dyDescent="0.3">
      <c r="A98" s="79" t="s">
        <v>719</v>
      </c>
      <c r="B98" s="80" t="s">
        <v>728</v>
      </c>
      <c r="C98" s="81">
        <v>0.35</v>
      </c>
      <c r="D98" s="80" t="s">
        <v>730</v>
      </c>
      <c r="E98" s="81">
        <v>0.3</v>
      </c>
      <c r="F98" s="81" t="s">
        <v>28</v>
      </c>
      <c r="G98" s="81">
        <v>0.12</v>
      </c>
      <c r="H98" s="81">
        <f t="shared" si="5"/>
        <v>0.105</v>
      </c>
      <c r="I98" s="80" t="s">
        <v>1548</v>
      </c>
      <c r="J98" s="81">
        <f t="shared" si="6"/>
        <v>1.2599999999999998E-2</v>
      </c>
      <c r="K98" s="80" t="s">
        <v>718</v>
      </c>
      <c r="L98" s="83">
        <v>85</v>
      </c>
    </row>
    <row r="99" spans="1:12" ht="30" customHeight="1" x14ac:dyDescent="0.3">
      <c r="A99" s="79" t="s">
        <v>719</v>
      </c>
      <c r="B99" s="80" t="s">
        <v>728</v>
      </c>
      <c r="C99" s="81">
        <v>0.35</v>
      </c>
      <c r="D99" s="80" t="s">
        <v>731</v>
      </c>
      <c r="E99" s="81">
        <v>0.3</v>
      </c>
      <c r="F99" s="81" t="s">
        <v>18</v>
      </c>
      <c r="G99" s="81">
        <v>0.55000000000000004</v>
      </c>
      <c r="H99" s="81">
        <f t="shared" si="5"/>
        <v>0.105</v>
      </c>
      <c r="I99" s="80" t="s">
        <v>1513</v>
      </c>
      <c r="J99" s="81">
        <f t="shared" si="6"/>
        <v>5.7750000000000003E-2</v>
      </c>
      <c r="K99" s="80" t="s">
        <v>718</v>
      </c>
      <c r="L99" s="83">
        <v>86</v>
      </c>
    </row>
    <row r="100" spans="1:12" ht="30" customHeight="1" x14ac:dyDescent="0.3">
      <c r="A100" s="79" t="s">
        <v>719</v>
      </c>
      <c r="B100" s="80" t="s">
        <v>728</v>
      </c>
      <c r="C100" s="81">
        <v>0.35</v>
      </c>
      <c r="D100" s="80" t="s">
        <v>732</v>
      </c>
      <c r="E100" s="81">
        <v>0.15</v>
      </c>
      <c r="F100" s="81" t="s">
        <v>24</v>
      </c>
      <c r="G100" s="81">
        <v>0.12</v>
      </c>
      <c r="H100" s="81">
        <f t="shared" si="5"/>
        <v>5.2499999999999998E-2</v>
      </c>
      <c r="I100" s="80" t="s">
        <v>1548</v>
      </c>
      <c r="J100" s="81">
        <f t="shared" si="6"/>
        <v>6.2999999999999992E-3</v>
      </c>
      <c r="K100" s="80" t="s">
        <v>718</v>
      </c>
      <c r="L100" s="83">
        <v>87</v>
      </c>
    </row>
    <row r="101" spans="1:12" ht="30" customHeight="1" x14ac:dyDescent="0.3">
      <c r="A101" s="79" t="s">
        <v>682</v>
      </c>
      <c r="B101" s="80" t="s">
        <v>703</v>
      </c>
      <c r="C101" s="81">
        <v>0.35</v>
      </c>
      <c r="D101" s="80" t="s">
        <v>733</v>
      </c>
      <c r="E101" s="81">
        <v>0.3</v>
      </c>
      <c r="F101" s="81" t="s">
        <v>20</v>
      </c>
      <c r="G101" s="81">
        <v>0.25</v>
      </c>
      <c r="H101" s="81">
        <f t="shared" si="5"/>
        <v>0.105</v>
      </c>
      <c r="I101" s="80" t="s">
        <v>1527</v>
      </c>
      <c r="J101" s="81">
        <f t="shared" si="6"/>
        <v>2.6249999999999999E-2</v>
      </c>
      <c r="K101" s="80" t="s">
        <v>718</v>
      </c>
      <c r="L101" s="83">
        <v>88</v>
      </c>
    </row>
    <row r="102" spans="1:12" ht="30" customHeight="1" x14ac:dyDescent="0.3">
      <c r="A102" s="79" t="s">
        <v>682</v>
      </c>
      <c r="B102" s="80" t="s">
        <v>703</v>
      </c>
      <c r="C102" s="81">
        <v>0.35</v>
      </c>
      <c r="D102" s="80" t="s">
        <v>705</v>
      </c>
      <c r="E102" s="81">
        <v>0.3</v>
      </c>
      <c r="F102" s="81" t="s">
        <v>56</v>
      </c>
      <c r="G102" s="81">
        <v>0.12</v>
      </c>
      <c r="H102" s="81">
        <f t="shared" si="5"/>
        <v>0.105</v>
      </c>
      <c r="I102" s="80" t="s">
        <v>1527</v>
      </c>
      <c r="J102" s="81">
        <f t="shared" si="6"/>
        <v>1.2599999999999998E-2</v>
      </c>
      <c r="K102" s="80" t="s">
        <v>718</v>
      </c>
      <c r="L102" s="83">
        <v>89</v>
      </c>
    </row>
    <row r="103" spans="1:12" ht="30" customHeight="1" x14ac:dyDescent="0.3">
      <c r="A103" s="79" t="s">
        <v>682</v>
      </c>
      <c r="B103" s="80" t="s">
        <v>703</v>
      </c>
      <c r="C103" s="81">
        <v>0.35</v>
      </c>
      <c r="D103" s="80" t="s">
        <v>734</v>
      </c>
      <c r="E103" s="81">
        <v>0.25</v>
      </c>
      <c r="F103" s="81" t="s">
        <v>20</v>
      </c>
      <c r="G103" s="81">
        <v>0.25</v>
      </c>
      <c r="H103" s="81">
        <f t="shared" si="5"/>
        <v>8.7499999999999994E-2</v>
      </c>
      <c r="I103" s="80" t="s">
        <v>1527</v>
      </c>
      <c r="J103" s="81">
        <f t="shared" si="6"/>
        <v>2.1874999999999999E-2</v>
      </c>
      <c r="K103" s="80" t="s">
        <v>718</v>
      </c>
      <c r="L103" s="83">
        <v>90</v>
      </c>
    </row>
    <row r="104" spans="1:12" ht="30" customHeight="1" x14ac:dyDescent="0.3">
      <c r="A104" s="79" t="s">
        <v>682</v>
      </c>
      <c r="B104" s="80" t="s">
        <v>703</v>
      </c>
      <c r="C104" s="81">
        <v>0.35</v>
      </c>
      <c r="D104" s="80" t="s">
        <v>707</v>
      </c>
      <c r="E104" s="81">
        <v>0.15</v>
      </c>
      <c r="F104" s="81" t="s">
        <v>24</v>
      </c>
      <c r="G104" s="81">
        <v>0.12</v>
      </c>
      <c r="H104" s="81">
        <f t="shared" si="5"/>
        <v>5.2499999999999998E-2</v>
      </c>
      <c r="I104" s="80" t="s">
        <v>1548</v>
      </c>
      <c r="J104" s="81">
        <f t="shared" si="6"/>
        <v>6.2999999999999992E-3</v>
      </c>
      <c r="K104" s="80" t="s">
        <v>718</v>
      </c>
      <c r="L104" s="83">
        <v>91</v>
      </c>
    </row>
    <row r="105" spans="1:12" ht="30" customHeight="1" x14ac:dyDescent="0.3">
      <c r="A105" s="79" t="s">
        <v>682</v>
      </c>
      <c r="B105" s="80" t="s">
        <v>708</v>
      </c>
      <c r="C105" s="81">
        <v>0.35</v>
      </c>
      <c r="D105" s="80" t="s">
        <v>709</v>
      </c>
      <c r="E105" s="81">
        <v>0.3</v>
      </c>
      <c r="F105" s="81" t="s">
        <v>20</v>
      </c>
      <c r="G105" s="81">
        <v>0.25</v>
      </c>
      <c r="H105" s="81">
        <f t="shared" si="5"/>
        <v>0.105</v>
      </c>
      <c r="I105" s="80" t="s">
        <v>1527</v>
      </c>
      <c r="J105" s="81">
        <f t="shared" si="6"/>
        <v>2.6249999999999999E-2</v>
      </c>
      <c r="K105" s="80" t="s">
        <v>718</v>
      </c>
      <c r="L105" s="83">
        <v>92</v>
      </c>
    </row>
    <row r="106" spans="1:12" ht="30" customHeight="1" x14ac:dyDescent="0.3">
      <c r="A106" s="79" t="s">
        <v>682</v>
      </c>
      <c r="B106" s="80" t="s">
        <v>708</v>
      </c>
      <c r="C106" s="81">
        <v>0.35</v>
      </c>
      <c r="D106" s="80" t="s">
        <v>710</v>
      </c>
      <c r="E106" s="81">
        <v>0.3</v>
      </c>
      <c r="F106" s="81" t="s">
        <v>56</v>
      </c>
      <c r="G106" s="81">
        <v>0.12</v>
      </c>
      <c r="H106" s="81">
        <f t="shared" si="5"/>
        <v>0.105</v>
      </c>
      <c r="I106" s="80" t="s">
        <v>1527</v>
      </c>
      <c r="J106" s="81">
        <f t="shared" si="6"/>
        <v>1.2599999999999998E-2</v>
      </c>
      <c r="K106" s="80" t="s">
        <v>718</v>
      </c>
      <c r="L106" s="83">
        <v>93</v>
      </c>
    </row>
    <row r="107" spans="1:12" ht="30" customHeight="1" x14ac:dyDescent="0.3">
      <c r="A107" s="79" t="s">
        <v>682</v>
      </c>
      <c r="B107" s="80" t="s">
        <v>708</v>
      </c>
      <c r="C107" s="81">
        <v>0.35</v>
      </c>
      <c r="D107" s="80" t="s">
        <v>711</v>
      </c>
      <c r="E107" s="81">
        <v>0.25</v>
      </c>
      <c r="F107" s="81" t="s">
        <v>22</v>
      </c>
      <c r="G107" s="81">
        <v>0.2</v>
      </c>
      <c r="H107" s="81">
        <f t="shared" si="5"/>
        <v>8.7499999999999994E-2</v>
      </c>
      <c r="I107" s="80" t="s">
        <v>1527</v>
      </c>
      <c r="J107" s="81">
        <f t="shared" si="6"/>
        <v>1.7499999999999998E-2</v>
      </c>
      <c r="K107" s="80" t="s">
        <v>718</v>
      </c>
      <c r="L107" s="83">
        <v>94</v>
      </c>
    </row>
    <row r="108" spans="1:12" ht="30" customHeight="1" x14ac:dyDescent="0.3">
      <c r="A108" s="79" t="s">
        <v>682</v>
      </c>
      <c r="B108" s="80" t="s">
        <v>708</v>
      </c>
      <c r="C108" s="81">
        <v>0.35</v>
      </c>
      <c r="D108" s="80" t="s">
        <v>712</v>
      </c>
      <c r="E108" s="81">
        <v>0.15</v>
      </c>
      <c r="F108" s="81" t="s">
        <v>24</v>
      </c>
      <c r="G108" s="81">
        <v>0.12</v>
      </c>
      <c r="H108" s="81">
        <f t="shared" si="5"/>
        <v>5.2499999999999998E-2</v>
      </c>
      <c r="I108" s="80" t="s">
        <v>1548</v>
      </c>
      <c r="J108" s="81">
        <f t="shared" si="6"/>
        <v>6.2999999999999992E-3</v>
      </c>
      <c r="K108" s="80" t="s">
        <v>718</v>
      </c>
      <c r="L108" s="83">
        <v>95</v>
      </c>
    </row>
    <row r="109" spans="1:12" ht="30" customHeight="1" x14ac:dyDescent="0.3">
      <c r="A109" s="79" t="s">
        <v>682</v>
      </c>
      <c r="B109" s="80" t="s">
        <v>713</v>
      </c>
      <c r="C109" s="81">
        <v>0.3</v>
      </c>
      <c r="D109" s="80" t="s">
        <v>714</v>
      </c>
      <c r="E109" s="81">
        <v>0.25</v>
      </c>
      <c r="F109" s="81" t="s">
        <v>20</v>
      </c>
      <c r="G109" s="81">
        <v>0.25</v>
      </c>
      <c r="H109" s="81">
        <f t="shared" si="5"/>
        <v>7.4999999999999997E-2</v>
      </c>
      <c r="I109" s="80" t="s">
        <v>1527</v>
      </c>
      <c r="J109" s="81">
        <f t="shared" si="6"/>
        <v>1.8749999999999999E-2</v>
      </c>
      <c r="K109" s="80" t="s">
        <v>718</v>
      </c>
      <c r="L109" s="83">
        <v>96</v>
      </c>
    </row>
    <row r="110" spans="1:12" ht="30" customHeight="1" x14ac:dyDescent="0.3">
      <c r="A110" s="79" t="s">
        <v>682</v>
      </c>
      <c r="B110" s="80" t="s">
        <v>713</v>
      </c>
      <c r="C110" s="81">
        <v>0.3</v>
      </c>
      <c r="D110" s="80" t="s">
        <v>715</v>
      </c>
      <c r="E110" s="81">
        <v>0.3</v>
      </c>
      <c r="F110" s="81" t="s">
        <v>56</v>
      </c>
      <c r="G110" s="81">
        <v>0.12</v>
      </c>
      <c r="H110" s="81">
        <f t="shared" si="5"/>
        <v>0.09</v>
      </c>
      <c r="I110" s="80" t="s">
        <v>1527</v>
      </c>
      <c r="J110" s="81">
        <f t="shared" si="6"/>
        <v>1.0799999999999999E-2</v>
      </c>
      <c r="K110" s="80" t="s">
        <v>718</v>
      </c>
      <c r="L110" s="83">
        <v>97</v>
      </c>
    </row>
    <row r="111" spans="1:12" ht="30" customHeight="1" x14ac:dyDescent="0.3">
      <c r="A111" s="79" t="s">
        <v>682</v>
      </c>
      <c r="B111" s="80" t="s">
        <v>713</v>
      </c>
      <c r="C111" s="81">
        <v>0.3</v>
      </c>
      <c r="D111" s="80" t="s">
        <v>716</v>
      </c>
      <c r="E111" s="81">
        <v>0.25</v>
      </c>
      <c r="F111" s="81" t="s">
        <v>28</v>
      </c>
      <c r="G111" s="81">
        <v>0.12</v>
      </c>
      <c r="H111" s="81">
        <f t="shared" si="5"/>
        <v>7.4999999999999997E-2</v>
      </c>
      <c r="I111" s="80" t="s">
        <v>1548</v>
      </c>
      <c r="J111" s="81">
        <f t="shared" si="6"/>
        <v>8.9999999999999993E-3</v>
      </c>
      <c r="K111" s="80" t="s">
        <v>718</v>
      </c>
      <c r="L111" s="83">
        <v>98</v>
      </c>
    </row>
    <row r="112" spans="1:12" ht="30" customHeight="1" x14ac:dyDescent="0.3">
      <c r="A112" s="79" t="s">
        <v>682</v>
      </c>
      <c r="B112" s="80" t="s">
        <v>713</v>
      </c>
      <c r="C112" s="81">
        <v>0.3</v>
      </c>
      <c r="D112" s="80" t="s">
        <v>717</v>
      </c>
      <c r="E112" s="81">
        <v>0.2</v>
      </c>
      <c r="F112" s="81" t="s">
        <v>24</v>
      </c>
      <c r="G112" s="81">
        <v>0.12</v>
      </c>
      <c r="H112" s="81">
        <f t="shared" si="5"/>
        <v>0.06</v>
      </c>
      <c r="I112" s="80" t="s">
        <v>1548</v>
      </c>
      <c r="J112" s="81">
        <f t="shared" si="6"/>
        <v>7.1999999999999998E-3</v>
      </c>
      <c r="K112" s="80" t="s">
        <v>718</v>
      </c>
      <c r="L112" s="83">
        <v>99</v>
      </c>
    </row>
    <row r="113" spans="1:12" ht="30" customHeight="1" x14ac:dyDescent="0.3">
      <c r="A113" s="79" t="s">
        <v>735</v>
      </c>
      <c r="B113" s="80" t="s">
        <v>736</v>
      </c>
      <c r="C113" s="81">
        <v>0.15</v>
      </c>
      <c r="D113" s="80" t="s">
        <v>737</v>
      </c>
      <c r="E113" s="81">
        <v>0.25</v>
      </c>
      <c r="F113" s="81" t="s">
        <v>20</v>
      </c>
      <c r="G113" s="81">
        <v>0.25</v>
      </c>
      <c r="H113" s="81">
        <f t="shared" ref="H113:H144" si="7">C113*E113</f>
        <v>3.7499999999999999E-2</v>
      </c>
      <c r="I113" s="80" t="s">
        <v>1527</v>
      </c>
      <c r="J113" s="81">
        <f t="shared" ref="J113:J144" si="8">G113*H113</f>
        <v>9.3749999999999997E-3</v>
      </c>
      <c r="K113" s="80" t="s">
        <v>718</v>
      </c>
      <c r="L113" s="83">
        <v>100</v>
      </c>
    </row>
    <row r="114" spans="1:12" ht="30" customHeight="1" x14ac:dyDescent="0.3">
      <c r="A114" s="79" t="s">
        <v>735</v>
      </c>
      <c r="B114" s="80" t="s">
        <v>736</v>
      </c>
      <c r="C114" s="81">
        <v>0.15</v>
      </c>
      <c r="D114" s="80" t="s">
        <v>738</v>
      </c>
      <c r="E114" s="81">
        <v>0.35</v>
      </c>
      <c r="F114" s="81" t="s">
        <v>739</v>
      </c>
      <c r="G114" s="81">
        <v>0.12</v>
      </c>
      <c r="H114" s="81">
        <f t="shared" si="7"/>
        <v>5.2499999999999998E-2</v>
      </c>
      <c r="I114" s="80" t="s">
        <v>1548</v>
      </c>
      <c r="J114" s="81">
        <f t="shared" si="8"/>
        <v>6.2999999999999992E-3</v>
      </c>
      <c r="K114" s="80" t="s">
        <v>718</v>
      </c>
      <c r="L114" s="83">
        <v>101</v>
      </c>
    </row>
    <row r="115" spans="1:12" ht="30" customHeight="1" x14ac:dyDescent="0.3">
      <c r="A115" s="79" t="s">
        <v>735</v>
      </c>
      <c r="B115" s="80" t="s">
        <v>736</v>
      </c>
      <c r="C115" s="81">
        <v>0.15</v>
      </c>
      <c r="D115" s="80" t="s">
        <v>740</v>
      </c>
      <c r="E115" s="81">
        <v>0.25</v>
      </c>
      <c r="F115" s="81" t="s">
        <v>28</v>
      </c>
      <c r="G115" s="81">
        <v>0.12</v>
      </c>
      <c r="H115" s="81">
        <f t="shared" si="7"/>
        <v>3.7499999999999999E-2</v>
      </c>
      <c r="I115" s="80" t="s">
        <v>1548</v>
      </c>
      <c r="J115" s="81">
        <f t="shared" si="8"/>
        <v>4.4999999999999997E-3</v>
      </c>
      <c r="K115" s="80" t="s">
        <v>718</v>
      </c>
      <c r="L115" s="83">
        <v>102</v>
      </c>
    </row>
    <row r="116" spans="1:12" ht="30" customHeight="1" x14ac:dyDescent="0.3">
      <c r="A116" s="79" t="s">
        <v>735</v>
      </c>
      <c r="B116" s="80" t="s">
        <v>736</v>
      </c>
      <c r="C116" s="81">
        <v>0.15</v>
      </c>
      <c r="D116" s="80" t="s">
        <v>724</v>
      </c>
      <c r="E116" s="81">
        <v>0.15</v>
      </c>
      <c r="F116" s="81" t="s">
        <v>24</v>
      </c>
      <c r="G116" s="81">
        <v>0.12</v>
      </c>
      <c r="H116" s="81">
        <f t="shared" si="7"/>
        <v>2.2499999999999999E-2</v>
      </c>
      <c r="I116" s="80" t="s">
        <v>1548</v>
      </c>
      <c r="J116" s="81">
        <f t="shared" si="8"/>
        <v>2.6999999999999997E-3</v>
      </c>
      <c r="K116" s="80" t="s">
        <v>718</v>
      </c>
      <c r="L116" s="83">
        <v>103</v>
      </c>
    </row>
    <row r="117" spans="1:12" ht="30" customHeight="1" x14ac:dyDescent="0.3">
      <c r="A117" s="79" t="s">
        <v>735</v>
      </c>
      <c r="B117" s="80" t="s">
        <v>741</v>
      </c>
      <c r="C117" s="81">
        <v>0.1</v>
      </c>
      <c r="D117" s="80" t="s">
        <v>742</v>
      </c>
      <c r="E117" s="81">
        <v>0.25</v>
      </c>
      <c r="F117" s="81" t="s">
        <v>20</v>
      </c>
      <c r="G117" s="81">
        <v>0.25</v>
      </c>
      <c r="H117" s="81">
        <f t="shared" si="7"/>
        <v>2.5000000000000001E-2</v>
      </c>
      <c r="I117" s="80" t="s">
        <v>1527</v>
      </c>
      <c r="J117" s="81">
        <f t="shared" si="8"/>
        <v>6.2500000000000003E-3</v>
      </c>
      <c r="K117" s="80" t="s">
        <v>718</v>
      </c>
      <c r="L117" s="83">
        <v>104</v>
      </c>
    </row>
    <row r="118" spans="1:12" ht="30" customHeight="1" x14ac:dyDescent="0.3">
      <c r="A118" s="79" t="s">
        <v>735</v>
      </c>
      <c r="B118" s="80" t="s">
        <v>741</v>
      </c>
      <c r="C118" s="81">
        <v>0.1</v>
      </c>
      <c r="D118" s="80" t="s">
        <v>743</v>
      </c>
      <c r="E118" s="81">
        <v>0.35</v>
      </c>
      <c r="F118" s="81" t="s">
        <v>18</v>
      </c>
      <c r="G118" s="81">
        <v>0.14000000000000001</v>
      </c>
      <c r="H118" s="81">
        <f t="shared" si="7"/>
        <v>3.4999999999999996E-2</v>
      </c>
      <c r="I118" s="80" t="s">
        <v>1520</v>
      </c>
      <c r="J118" s="81">
        <f t="shared" si="8"/>
        <v>4.8999999999999998E-3</v>
      </c>
      <c r="K118" s="80" t="s">
        <v>718</v>
      </c>
      <c r="L118" s="83">
        <v>105</v>
      </c>
    </row>
    <row r="119" spans="1:12" ht="30" customHeight="1" x14ac:dyDescent="0.3">
      <c r="A119" s="79" t="s">
        <v>735</v>
      </c>
      <c r="B119" s="80" t="s">
        <v>741</v>
      </c>
      <c r="C119" s="81">
        <v>0.1</v>
      </c>
      <c r="D119" s="80" t="s">
        <v>744</v>
      </c>
      <c r="E119" s="81">
        <v>0.25</v>
      </c>
      <c r="F119" s="81" t="s">
        <v>20</v>
      </c>
      <c r="G119" s="81">
        <v>0.25</v>
      </c>
      <c r="H119" s="81">
        <f t="shared" si="7"/>
        <v>2.5000000000000001E-2</v>
      </c>
      <c r="I119" s="80" t="s">
        <v>1527</v>
      </c>
      <c r="J119" s="81">
        <f t="shared" si="8"/>
        <v>6.2500000000000003E-3</v>
      </c>
      <c r="K119" s="80" t="s">
        <v>718</v>
      </c>
      <c r="L119" s="83">
        <v>106</v>
      </c>
    </row>
    <row r="120" spans="1:12" ht="30" customHeight="1" x14ac:dyDescent="0.3">
      <c r="A120" s="79" t="s">
        <v>735</v>
      </c>
      <c r="B120" s="80" t="s">
        <v>741</v>
      </c>
      <c r="C120" s="81">
        <v>0.1</v>
      </c>
      <c r="D120" s="80" t="s">
        <v>724</v>
      </c>
      <c r="E120" s="81">
        <v>0.15</v>
      </c>
      <c r="F120" s="81" t="s">
        <v>24</v>
      </c>
      <c r="G120" s="81">
        <v>0.12</v>
      </c>
      <c r="H120" s="81">
        <f t="shared" si="7"/>
        <v>1.4999999999999999E-2</v>
      </c>
      <c r="I120" s="80" t="s">
        <v>1548</v>
      </c>
      <c r="J120" s="81">
        <f t="shared" si="8"/>
        <v>1.8E-3</v>
      </c>
      <c r="K120" s="80" t="s">
        <v>718</v>
      </c>
      <c r="L120" s="83">
        <v>107</v>
      </c>
    </row>
    <row r="121" spans="1:12" ht="30" customHeight="1" x14ac:dyDescent="0.3">
      <c r="A121" s="79" t="s">
        <v>735</v>
      </c>
      <c r="B121" s="80" t="s">
        <v>745</v>
      </c>
      <c r="C121" s="81">
        <v>0.2</v>
      </c>
      <c r="D121" s="80" t="s">
        <v>746</v>
      </c>
      <c r="E121" s="81">
        <v>0.3</v>
      </c>
      <c r="F121" s="81" t="s">
        <v>18</v>
      </c>
      <c r="G121" s="81">
        <v>0.14000000000000001</v>
      </c>
      <c r="H121" s="81">
        <f t="shared" si="7"/>
        <v>0.06</v>
      </c>
      <c r="I121" s="80" t="s">
        <v>1520</v>
      </c>
      <c r="J121" s="81">
        <f t="shared" si="8"/>
        <v>8.4000000000000012E-3</v>
      </c>
      <c r="K121" s="80" t="s">
        <v>718</v>
      </c>
      <c r="L121" s="83">
        <v>108</v>
      </c>
    </row>
    <row r="122" spans="1:12" ht="30" customHeight="1" x14ac:dyDescent="0.3">
      <c r="A122" s="79" t="s">
        <v>735</v>
      </c>
      <c r="B122" s="80" t="s">
        <v>745</v>
      </c>
      <c r="C122" s="81">
        <v>0.2</v>
      </c>
      <c r="D122" s="80" t="s">
        <v>747</v>
      </c>
      <c r="E122" s="81">
        <v>0.3</v>
      </c>
      <c r="F122" s="81" t="s">
        <v>40</v>
      </c>
      <c r="G122" s="81">
        <v>0.22</v>
      </c>
      <c r="H122" s="81">
        <f t="shared" si="7"/>
        <v>0.06</v>
      </c>
      <c r="I122" s="80" t="s">
        <v>1533</v>
      </c>
      <c r="J122" s="81">
        <f t="shared" si="8"/>
        <v>1.32E-2</v>
      </c>
      <c r="K122" s="80" t="s">
        <v>718</v>
      </c>
      <c r="L122" s="83">
        <v>109</v>
      </c>
    </row>
    <row r="123" spans="1:12" ht="30" customHeight="1" x14ac:dyDescent="0.3">
      <c r="A123" s="79" t="s">
        <v>735</v>
      </c>
      <c r="B123" s="80" t="s">
        <v>745</v>
      </c>
      <c r="C123" s="81">
        <v>0.2</v>
      </c>
      <c r="D123" s="80" t="s">
        <v>748</v>
      </c>
      <c r="E123" s="81">
        <v>0.25</v>
      </c>
      <c r="F123" s="81" t="s">
        <v>20</v>
      </c>
      <c r="G123" s="81">
        <v>0.25</v>
      </c>
      <c r="H123" s="81">
        <f t="shared" si="7"/>
        <v>0.05</v>
      </c>
      <c r="I123" s="80" t="s">
        <v>1527</v>
      </c>
      <c r="J123" s="81">
        <f t="shared" si="8"/>
        <v>1.2500000000000001E-2</v>
      </c>
      <c r="K123" s="80" t="s">
        <v>718</v>
      </c>
      <c r="L123" s="83">
        <v>110</v>
      </c>
    </row>
    <row r="124" spans="1:12" ht="30" customHeight="1" x14ac:dyDescent="0.3">
      <c r="A124" s="79" t="s">
        <v>735</v>
      </c>
      <c r="B124" s="80" t="s">
        <v>745</v>
      </c>
      <c r="C124" s="81">
        <v>0.2</v>
      </c>
      <c r="D124" s="80" t="s">
        <v>749</v>
      </c>
      <c r="E124" s="81">
        <v>0.15</v>
      </c>
      <c r="F124" s="81" t="s">
        <v>24</v>
      </c>
      <c r="G124" s="81">
        <v>0.12</v>
      </c>
      <c r="H124" s="81">
        <f t="shared" si="7"/>
        <v>0.03</v>
      </c>
      <c r="I124" s="80" t="s">
        <v>1548</v>
      </c>
      <c r="J124" s="81">
        <f t="shared" si="8"/>
        <v>3.5999999999999999E-3</v>
      </c>
      <c r="K124" s="80" t="s">
        <v>718</v>
      </c>
      <c r="L124" s="83">
        <v>111</v>
      </c>
    </row>
    <row r="125" spans="1:12" ht="30" customHeight="1" x14ac:dyDescent="0.3">
      <c r="A125" s="79" t="s">
        <v>735</v>
      </c>
      <c r="B125" s="80" t="s">
        <v>750</v>
      </c>
      <c r="C125" s="81">
        <v>0.1</v>
      </c>
      <c r="D125" s="80" t="s">
        <v>751</v>
      </c>
      <c r="E125" s="81">
        <v>0.3</v>
      </c>
      <c r="F125" s="81" t="s">
        <v>18</v>
      </c>
      <c r="G125" s="81">
        <v>0.14000000000000001</v>
      </c>
      <c r="H125" s="81">
        <f t="shared" si="7"/>
        <v>0.03</v>
      </c>
      <c r="I125" s="80" t="s">
        <v>1520</v>
      </c>
      <c r="J125" s="81">
        <f t="shared" si="8"/>
        <v>4.2000000000000006E-3</v>
      </c>
      <c r="K125" s="80" t="s">
        <v>718</v>
      </c>
      <c r="L125" s="83">
        <v>112</v>
      </c>
    </row>
    <row r="126" spans="1:12" ht="30" customHeight="1" x14ac:dyDescent="0.3">
      <c r="A126" s="79" t="s">
        <v>735</v>
      </c>
      <c r="B126" s="80" t="s">
        <v>750</v>
      </c>
      <c r="C126" s="81">
        <v>0.1</v>
      </c>
      <c r="D126" s="80" t="s">
        <v>752</v>
      </c>
      <c r="E126" s="81">
        <v>0.25</v>
      </c>
      <c r="F126" s="81" t="s">
        <v>40</v>
      </c>
      <c r="G126" s="81">
        <v>0.22</v>
      </c>
      <c r="H126" s="81">
        <f t="shared" si="7"/>
        <v>2.5000000000000001E-2</v>
      </c>
      <c r="I126" s="80" t="s">
        <v>1533</v>
      </c>
      <c r="J126" s="81">
        <f t="shared" si="8"/>
        <v>5.5000000000000005E-3</v>
      </c>
      <c r="K126" s="80" t="s">
        <v>718</v>
      </c>
      <c r="L126" s="83">
        <v>113</v>
      </c>
    </row>
    <row r="127" spans="1:12" ht="30" customHeight="1" x14ac:dyDescent="0.3">
      <c r="A127" s="79" t="s">
        <v>735</v>
      </c>
      <c r="B127" s="80" t="s">
        <v>750</v>
      </c>
      <c r="C127" s="81">
        <v>0.1</v>
      </c>
      <c r="D127" s="80" t="s">
        <v>753</v>
      </c>
      <c r="E127" s="81">
        <v>0.3</v>
      </c>
      <c r="F127" s="81" t="s">
        <v>18</v>
      </c>
      <c r="G127" s="81">
        <v>0.14000000000000001</v>
      </c>
      <c r="H127" s="81">
        <f t="shared" si="7"/>
        <v>0.03</v>
      </c>
      <c r="I127" s="80" t="s">
        <v>1520</v>
      </c>
      <c r="J127" s="81">
        <f t="shared" si="8"/>
        <v>4.2000000000000006E-3</v>
      </c>
      <c r="K127" s="80" t="s">
        <v>718</v>
      </c>
      <c r="L127" s="83">
        <v>114</v>
      </c>
    </row>
    <row r="128" spans="1:12" ht="30" customHeight="1" x14ac:dyDescent="0.3">
      <c r="A128" s="79" t="s">
        <v>735</v>
      </c>
      <c r="B128" s="80" t="s">
        <v>750</v>
      </c>
      <c r="C128" s="81">
        <v>0.1</v>
      </c>
      <c r="D128" s="80" t="s">
        <v>754</v>
      </c>
      <c r="E128" s="81">
        <v>0.15</v>
      </c>
      <c r="F128" s="81" t="s">
        <v>24</v>
      </c>
      <c r="G128" s="81">
        <v>0.12</v>
      </c>
      <c r="H128" s="81">
        <f t="shared" si="7"/>
        <v>1.4999999999999999E-2</v>
      </c>
      <c r="I128" s="80" t="s">
        <v>1548</v>
      </c>
      <c r="J128" s="81">
        <f t="shared" si="8"/>
        <v>1.8E-3</v>
      </c>
      <c r="K128" s="80" t="s">
        <v>718</v>
      </c>
      <c r="L128" s="83">
        <v>115</v>
      </c>
    </row>
    <row r="129" spans="1:12" ht="30" customHeight="1" x14ac:dyDescent="0.3">
      <c r="A129" s="79" t="s">
        <v>735</v>
      </c>
      <c r="B129" s="80" t="s">
        <v>755</v>
      </c>
      <c r="C129" s="81">
        <v>0.15</v>
      </c>
      <c r="D129" s="80" t="s">
        <v>756</v>
      </c>
      <c r="E129" s="81">
        <v>0.3</v>
      </c>
      <c r="F129" s="81" t="s">
        <v>40</v>
      </c>
      <c r="G129" s="81">
        <v>0.22</v>
      </c>
      <c r="H129" s="81">
        <f t="shared" si="7"/>
        <v>4.4999999999999998E-2</v>
      </c>
      <c r="I129" s="80" t="s">
        <v>1533</v>
      </c>
      <c r="J129" s="81">
        <f t="shared" si="8"/>
        <v>9.8999999999999991E-3</v>
      </c>
      <c r="K129" s="80" t="s">
        <v>718</v>
      </c>
      <c r="L129" s="83">
        <v>116</v>
      </c>
    </row>
    <row r="130" spans="1:12" ht="30" customHeight="1" x14ac:dyDescent="0.3">
      <c r="A130" s="79" t="s">
        <v>735</v>
      </c>
      <c r="B130" s="80" t="s">
        <v>755</v>
      </c>
      <c r="C130" s="81">
        <v>0.15</v>
      </c>
      <c r="D130" s="80" t="s">
        <v>757</v>
      </c>
      <c r="E130" s="81">
        <v>0.3</v>
      </c>
      <c r="F130" s="81" t="s">
        <v>18</v>
      </c>
      <c r="G130" s="81">
        <v>0.14000000000000001</v>
      </c>
      <c r="H130" s="81">
        <f t="shared" si="7"/>
        <v>4.4999999999999998E-2</v>
      </c>
      <c r="I130" s="80" t="s">
        <v>1520</v>
      </c>
      <c r="J130" s="81">
        <f t="shared" si="8"/>
        <v>6.3E-3</v>
      </c>
      <c r="K130" s="80" t="s">
        <v>718</v>
      </c>
      <c r="L130" s="83">
        <v>117</v>
      </c>
    </row>
    <row r="131" spans="1:12" ht="30" customHeight="1" x14ac:dyDescent="0.3">
      <c r="A131" s="79" t="s">
        <v>735</v>
      </c>
      <c r="B131" s="80" t="s">
        <v>755</v>
      </c>
      <c r="C131" s="81">
        <v>0.15</v>
      </c>
      <c r="D131" s="80" t="s">
        <v>758</v>
      </c>
      <c r="E131" s="81">
        <v>0.25</v>
      </c>
      <c r="F131" s="81" t="s">
        <v>20</v>
      </c>
      <c r="G131" s="81">
        <v>0.25</v>
      </c>
      <c r="H131" s="81">
        <f t="shared" si="7"/>
        <v>3.7499999999999999E-2</v>
      </c>
      <c r="I131" s="80" t="s">
        <v>1527</v>
      </c>
      <c r="J131" s="81">
        <f t="shared" si="8"/>
        <v>9.3749999999999997E-3</v>
      </c>
      <c r="K131" s="80" t="s">
        <v>718</v>
      </c>
      <c r="L131" s="83">
        <v>118</v>
      </c>
    </row>
    <row r="132" spans="1:12" ht="30" customHeight="1" x14ac:dyDescent="0.3">
      <c r="A132" s="79" t="s">
        <v>735</v>
      </c>
      <c r="B132" s="80" t="s">
        <v>755</v>
      </c>
      <c r="C132" s="81">
        <v>0.15</v>
      </c>
      <c r="D132" s="80" t="s">
        <v>759</v>
      </c>
      <c r="E132" s="81">
        <v>0.15</v>
      </c>
      <c r="F132" s="81" t="s">
        <v>24</v>
      </c>
      <c r="G132" s="81">
        <v>0.12</v>
      </c>
      <c r="H132" s="81">
        <f t="shared" si="7"/>
        <v>2.2499999999999999E-2</v>
      </c>
      <c r="I132" s="80" t="s">
        <v>1548</v>
      </c>
      <c r="J132" s="81">
        <f t="shared" si="8"/>
        <v>2.6999999999999997E-3</v>
      </c>
      <c r="K132" s="80" t="s">
        <v>718</v>
      </c>
      <c r="L132" s="83">
        <v>119</v>
      </c>
    </row>
    <row r="133" spans="1:12" ht="30" customHeight="1" x14ac:dyDescent="0.3">
      <c r="A133" s="79" t="s">
        <v>735</v>
      </c>
      <c r="B133" s="80" t="s">
        <v>760</v>
      </c>
      <c r="C133" s="81">
        <v>0.15</v>
      </c>
      <c r="D133" s="80" t="s">
        <v>761</v>
      </c>
      <c r="E133" s="81">
        <v>0.35</v>
      </c>
      <c r="F133" s="81" t="s">
        <v>18</v>
      </c>
      <c r="G133" s="81">
        <v>0.14000000000000001</v>
      </c>
      <c r="H133" s="81">
        <f t="shared" si="7"/>
        <v>5.2499999999999998E-2</v>
      </c>
      <c r="I133" s="80" t="s">
        <v>1520</v>
      </c>
      <c r="J133" s="81">
        <f t="shared" si="8"/>
        <v>7.3500000000000006E-3</v>
      </c>
      <c r="K133" s="80" t="s">
        <v>718</v>
      </c>
      <c r="L133" s="83">
        <v>120</v>
      </c>
    </row>
    <row r="134" spans="1:12" ht="30" customHeight="1" x14ac:dyDescent="0.3">
      <c r="A134" s="79" t="s">
        <v>735</v>
      </c>
      <c r="B134" s="80" t="s">
        <v>760</v>
      </c>
      <c r="C134" s="81">
        <v>0.15</v>
      </c>
      <c r="D134" s="80" t="s">
        <v>762</v>
      </c>
      <c r="E134" s="81">
        <v>0.25</v>
      </c>
      <c r="F134" s="81" t="s">
        <v>40</v>
      </c>
      <c r="G134" s="81">
        <v>0.22</v>
      </c>
      <c r="H134" s="81">
        <f t="shared" si="7"/>
        <v>3.7499999999999999E-2</v>
      </c>
      <c r="I134" s="80" t="s">
        <v>1533</v>
      </c>
      <c r="J134" s="81">
        <f t="shared" si="8"/>
        <v>8.2500000000000004E-3</v>
      </c>
      <c r="K134" s="80" t="s">
        <v>718</v>
      </c>
      <c r="L134" s="83">
        <v>121</v>
      </c>
    </row>
    <row r="135" spans="1:12" ht="30" customHeight="1" x14ac:dyDescent="0.3">
      <c r="A135" s="79" t="s">
        <v>735</v>
      </c>
      <c r="B135" s="80" t="s">
        <v>760</v>
      </c>
      <c r="C135" s="81">
        <v>0.15</v>
      </c>
      <c r="D135" s="80" t="s">
        <v>763</v>
      </c>
      <c r="E135" s="81">
        <v>0.25</v>
      </c>
      <c r="F135" s="81" t="s">
        <v>18</v>
      </c>
      <c r="G135" s="81">
        <v>0.14000000000000001</v>
      </c>
      <c r="H135" s="81">
        <f t="shared" si="7"/>
        <v>3.7499999999999999E-2</v>
      </c>
      <c r="I135" s="80" t="s">
        <v>1520</v>
      </c>
      <c r="J135" s="81">
        <f t="shared" si="8"/>
        <v>5.2500000000000003E-3</v>
      </c>
      <c r="K135" s="80" t="s">
        <v>718</v>
      </c>
      <c r="L135" s="83">
        <v>122</v>
      </c>
    </row>
    <row r="136" spans="1:12" ht="30" customHeight="1" x14ac:dyDescent="0.3">
      <c r="A136" s="79" t="s">
        <v>735</v>
      </c>
      <c r="B136" s="80" t="s">
        <v>760</v>
      </c>
      <c r="C136" s="81">
        <v>0.15</v>
      </c>
      <c r="D136" s="80" t="s">
        <v>764</v>
      </c>
      <c r="E136" s="81">
        <v>0.15</v>
      </c>
      <c r="F136" s="81" t="s">
        <v>24</v>
      </c>
      <c r="G136" s="81">
        <v>0.12</v>
      </c>
      <c r="H136" s="81">
        <f t="shared" si="7"/>
        <v>2.2499999999999999E-2</v>
      </c>
      <c r="I136" s="80" t="s">
        <v>1548</v>
      </c>
      <c r="J136" s="81">
        <f t="shared" si="8"/>
        <v>2.6999999999999997E-3</v>
      </c>
      <c r="K136" s="80" t="s">
        <v>718</v>
      </c>
      <c r="L136" s="83">
        <v>123</v>
      </c>
    </row>
    <row r="137" spans="1:12" ht="30" customHeight="1" x14ac:dyDescent="0.3">
      <c r="A137" s="79" t="s">
        <v>735</v>
      </c>
      <c r="B137" s="80" t="s">
        <v>765</v>
      </c>
      <c r="C137" s="81">
        <v>0.15</v>
      </c>
      <c r="D137" s="80" t="s">
        <v>766</v>
      </c>
      <c r="E137" s="81">
        <v>0.35</v>
      </c>
      <c r="F137" s="81" t="s">
        <v>18</v>
      </c>
      <c r="G137" s="81">
        <v>0.14000000000000001</v>
      </c>
      <c r="H137" s="81">
        <f t="shared" si="7"/>
        <v>5.2499999999999998E-2</v>
      </c>
      <c r="I137" s="80" t="s">
        <v>1520</v>
      </c>
      <c r="J137" s="81">
        <f t="shared" si="8"/>
        <v>7.3500000000000006E-3</v>
      </c>
      <c r="K137" s="80" t="s">
        <v>718</v>
      </c>
      <c r="L137" s="83">
        <v>124</v>
      </c>
    </row>
    <row r="138" spans="1:12" ht="30" customHeight="1" x14ac:dyDescent="0.3">
      <c r="A138" s="79" t="s">
        <v>735</v>
      </c>
      <c r="B138" s="80" t="s">
        <v>765</v>
      </c>
      <c r="C138" s="81">
        <v>0.15</v>
      </c>
      <c r="D138" s="80" t="s">
        <v>767</v>
      </c>
      <c r="E138" s="81">
        <v>0.3</v>
      </c>
      <c r="F138" s="81" t="s">
        <v>18</v>
      </c>
      <c r="G138" s="81">
        <v>0.14000000000000001</v>
      </c>
      <c r="H138" s="81">
        <f t="shared" si="7"/>
        <v>4.4999999999999998E-2</v>
      </c>
      <c r="I138" s="80" t="s">
        <v>1520</v>
      </c>
      <c r="J138" s="81">
        <f t="shared" si="8"/>
        <v>6.3E-3</v>
      </c>
      <c r="K138" s="80" t="s">
        <v>718</v>
      </c>
      <c r="L138" s="83">
        <v>125</v>
      </c>
    </row>
    <row r="139" spans="1:12" ht="30" customHeight="1" x14ac:dyDescent="0.3">
      <c r="A139" s="79" t="s">
        <v>735</v>
      </c>
      <c r="B139" s="80" t="s">
        <v>765</v>
      </c>
      <c r="C139" s="81">
        <v>0.15</v>
      </c>
      <c r="D139" s="80" t="s">
        <v>768</v>
      </c>
      <c r="E139" s="81">
        <v>0.2</v>
      </c>
      <c r="F139" s="81" t="s">
        <v>28</v>
      </c>
      <c r="G139" s="81">
        <v>0.12</v>
      </c>
      <c r="H139" s="81">
        <f t="shared" si="7"/>
        <v>0.03</v>
      </c>
      <c r="I139" s="80" t="s">
        <v>1548</v>
      </c>
      <c r="J139" s="81">
        <f t="shared" si="8"/>
        <v>3.5999999999999999E-3</v>
      </c>
      <c r="K139" s="80" t="s">
        <v>718</v>
      </c>
      <c r="L139" s="83">
        <v>126</v>
      </c>
    </row>
    <row r="140" spans="1:12" ht="30" customHeight="1" x14ac:dyDescent="0.3">
      <c r="A140" s="79" t="s">
        <v>735</v>
      </c>
      <c r="B140" s="80" t="s">
        <v>765</v>
      </c>
      <c r="C140" s="81">
        <v>0.15</v>
      </c>
      <c r="D140" s="80" t="s">
        <v>769</v>
      </c>
      <c r="E140" s="81">
        <v>0.15</v>
      </c>
      <c r="F140" s="81" t="s">
        <v>24</v>
      </c>
      <c r="G140" s="81">
        <v>0.12</v>
      </c>
      <c r="H140" s="81">
        <f t="shared" si="7"/>
        <v>2.2499999999999999E-2</v>
      </c>
      <c r="I140" s="80" t="s">
        <v>1548</v>
      </c>
      <c r="J140" s="81">
        <f t="shared" si="8"/>
        <v>2.6999999999999997E-3</v>
      </c>
      <c r="K140" s="80" t="s">
        <v>718</v>
      </c>
      <c r="L140" s="83">
        <v>127</v>
      </c>
    </row>
    <row r="141" spans="1:12" ht="30" customHeight="1" x14ac:dyDescent="0.3">
      <c r="A141" s="79" t="s">
        <v>719</v>
      </c>
      <c r="B141" s="80" t="s">
        <v>720</v>
      </c>
      <c r="C141" s="81">
        <v>0.25</v>
      </c>
      <c r="D141" s="80" t="s">
        <v>721</v>
      </c>
      <c r="E141" s="81">
        <v>0.2</v>
      </c>
      <c r="F141" s="81" t="s">
        <v>20</v>
      </c>
      <c r="G141" s="81">
        <v>0.25</v>
      </c>
      <c r="H141" s="81">
        <f t="shared" si="7"/>
        <v>0.05</v>
      </c>
      <c r="I141" s="80" t="s">
        <v>1527</v>
      </c>
      <c r="J141" s="81">
        <f t="shared" si="8"/>
        <v>1.2500000000000001E-2</v>
      </c>
      <c r="K141" s="80" t="s">
        <v>770</v>
      </c>
      <c r="L141" s="83">
        <v>130</v>
      </c>
    </row>
    <row r="142" spans="1:12" ht="30" customHeight="1" x14ac:dyDescent="0.3">
      <c r="A142" s="79" t="s">
        <v>719</v>
      </c>
      <c r="B142" s="80" t="s">
        <v>720</v>
      </c>
      <c r="C142" s="81">
        <v>0.25</v>
      </c>
      <c r="D142" s="80" t="s">
        <v>722</v>
      </c>
      <c r="E142" s="81">
        <v>0.4</v>
      </c>
      <c r="F142" s="81" t="s">
        <v>18</v>
      </c>
      <c r="G142" s="81">
        <v>0.14000000000000001</v>
      </c>
      <c r="H142" s="81">
        <f t="shared" si="7"/>
        <v>0.1</v>
      </c>
      <c r="I142" s="80" t="s">
        <v>1520</v>
      </c>
      <c r="J142" s="81">
        <f t="shared" si="8"/>
        <v>1.4000000000000002E-2</v>
      </c>
      <c r="K142" s="80" t="s">
        <v>770</v>
      </c>
      <c r="L142" s="83">
        <v>131</v>
      </c>
    </row>
    <row r="143" spans="1:12" ht="30" customHeight="1" x14ac:dyDescent="0.3">
      <c r="A143" s="79" t="s">
        <v>719</v>
      </c>
      <c r="B143" s="80" t="s">
        <v>720</v>
      </c>
      <c r="C143" s="81">
        <v>0.25</v>
      </c>
      <c r="D143" s="80" t="s">
        <v>771</v>
      </c>
      <c r="E143" s="81">
        <v>0.25</v>
      </c>
      <c r="F143" s="81" t="s">
        <v>28</v>
      </c>
      <c r="G143" s="81">
        <v>0.12</v>
      </c>
      <c r="H143" s="81">
        <f t="shared" si="7"/>
        <v>6.25E-2</v>
      </c>
      <c r="I143" s="80" t="s">
        <v>1548</v>
      </c>
      <c r="J143" s="81">
        <f t="shared" si="8"/>
        <v>7.4999999999999997E-3</v>
      </c>
      <c r="K143" s="80" t="s">
        <v>770</v>
      </c>
      <c r="L143" s="83">
        <v>132</v>
      </c>
    </row>
    <row r="144" spans="1:12" ht="30" customHeight="1" x14ac:dyDescent="0.3">
      <c r="A144" s="79" t="s">
        <v>719</v>
      </c>
      <c r="B144" s="80" t="s">
        <v>720</v>
      </c>
      <c r="C144" s="81">
        <v>0.25</v>
      </c>
      <c r="D144" s="80" t="s">
        <v>724</v>
      </c>
      <c r="E144" s="81">
        <v>0.15</v>
      </c>
      <c r="F144" s="81" t="s">
        <v>24</v>
      </c>
      <c r="G144" s="81">
        <v>0.12</v>
      </c>
      <c r="H144" s="81">
        <f t="shared" si="7"/>
        <v>3.7499999999999999E-2</v>
      </c>
      <c r="I144" s="80" t="s">
        <v>1548</v>
      </c>
      <c r="J144" s="81">
        <f t="shared" si="8"/>
        <v>4.4999999999999997E-3</v>
      </c>
      <c r="K144" s="80" t="s">
        <v>770</v>
      </c>
      <c r="L144" s="83">
        <v>133</v>
      </c>
    </row>
    <row r="145" spans="1:12" ht="30" customHeight="1" x14ac:dyDescent="0.3">
      <c r="A145" s="79" t="s">
        <v>719</v>
      </c>
      <c r="B145" s="80" t="s">
        <v>725</v>
      </c>
      <c r="C145" s="81">
        <v>0.35</v>
      </c>
      <c r="D145" s="80" t="s">
        <v>772</v>
      </c>
      <c r="E145" s="81">
        <v>0.2</v>
      </c>
      <c r="F145" s="81" t="s">
        <v>20</v>
      </c>
      <c r="G145" s="81">
        <v>0.25</v>
      </c>
      <c r="H145" s="81">
        <f t="shared" ref="H145:H176" si="9">C145*E145</f>
        <v>6.9999999999999993E-2</v>
      </c>
      <c r="I145" s="80" t="s">
        <v>1527</v>
      </c>
      <c r="J145" s="81">
        <f t="shared" ref="J145:J176" si="10">G145*H145</f>
        <v>1.7499999999999998E-2</v>
      </c>
      <c r="K145" s="80" t="s">
        <v>770</v>
      </c>
      <c r="L145" s="83">
        <v>134</v>
      </c>
    </row>
    <row r="146" spans="1:12" ht="30" customHeight="1" x14ac:dyDescent="0.3">
      <c r="A146" s="79" t="s">
        <v>719</v>
      </c>
      <c r="B146" s="80" t="s">
        <v>725</v>
      </c>
      <c r="C146" s="81">
        <v>0.35</v>
      </c>
      <c r="D146" s="80" t="s">
        <v>726</v>
      </c>
      <c r="E146" s="81">
        <v>0.4</v>
      </c>
      <c r="F146" s="81" t="s">
        <v>18</v>
      </c>
      <c r="G146" s="81">
        <v>0.55000000000000004</v>
      </c>
      <c r="H146" s="81">
        <f t="shared" si="9"/>
        <v>0.13999999999999999</v>
      </c>
      <c r="I146" s="80" t="s">
        <v>1513</v>
      </c>
      <c r="J146" s="81">
        <f t="shared" si="10"/>
        <v>7.6999999999999999E-2</v>
      </c>
      <c r="K146" s="80" t="s">
        <v>770</v>
      </c>
      <c r="L146" s="83">
        <v>135</v>
      </c>
    </row>
    <row r="147" spans="1:12" ht="30" customHeight="1" x14ac:dyDescent="0.3">
      <c r="A147" s="79" t="s">
        <v>719</v>
      </c>
      <c r="B147" s="80" t="s">
        <v>725</v>
      </c>
      <c r="C147" s="81">
        <v>0.35</v>
      </c>
      <c r="D147" s="80" t="s">
        <v>727</v>
      </c>
      <c r="E147" s="81">
        <v>0.25</v>
      </c>
      <c r="F147" s="81" t="s">
        <v>20</v>
      </c>
      <c r="G147" s="81">
        <v>0.55000000000000004</v>
      </c>
      <c r="H147" s="81">
        <f t="shared" si="9"/>
        <v>8.7499999999999994E-2</v>
      </c>
      <c r="I147" s="80" t="s">
        <v>1513</v>
      </c>
      <c r="J147" s="81">
        <f t="shared" si="10"/>
        <v>4.8125000000000001E-2</v>
      </c>
      <c r="K147" s="80" t="s">
        <v>770</v>
      </c>
      <c r="L147" s="83">
        <v>136</v>
      </c>
    </row>
    <row r="148" spans="1:12" ht="30" customHeight="1" x14ac:dyDescent="0.3">
      <c r="A148" s="79" t="s">
        <v>719</v>
      </c>
      <c r="B148" s="80" t="s">
        <v>725</v>
      </c>
      <c r="C148" s="81">
        <v>0.35</v>
      </c>
      <c r="D148" s="80" t="s">
        <v>634</v>
      </c>
      <c r="E148" s="81">
        <v>0.15</v>
      </c>
      <c r="F148" s="81" t="s">
        <v>24</v>
      </c>
      <c r="G148" s="81">
        <v>0.12</v>
      </c>
      <c r="H148" s="81">
        <f t="shared" si="9"/>
        <v>5.2499999999999998E-2</v>
      </c>
      <c r="I148" s="80" t="s">
        <v>1548</v>
      </c>
      <c r="J148" s="81">
        <f t="shared" si="10"/>
        <v>6.2999999999999992E-3</v>
      </c>
      <c r="K148" s="80" t="s">
        <v>770</v>
      </c>
      <c r="L148" s="83">
        <v>137</v>
      </c>
    </row>
    <row r="149" spans="1:12" ht="30" customHeight="1" x14ac:dyDescent="0.3">
      <c r="A149" s="79" t="s">
        <v>719</v>
      </c>
      <c r="B149" s="80" t="s">
        <v>773</v>
      </c>
      <c r="C149" s="81">
        <v>0.2</v>
      </c>
      <c r="D149" s="80" t="s">
        <v>774</v>
      </c>
      <c r="E149" s="81">
        <v>0.25</v>
      </c>
      <c r="F149" s="81" t="s">
        <v>40</v>
      </c>
      <c r="G149" s="81">
        <v>0.22</v>
      </c>
      <c r="H149" s="81">
        <f t="shared" si="9"/>
        <v>0.05</v>
      </c>
      <c r="I149" s="80" t="s">
        <v>1533</v>
      </c>
      <c r="J149" s="81">
        <f t="shared" si="10"/>
        <v>1.1000000000000001E-2</v>
      </c>
      <c r="K149" s="80" t="s">
        <v>770</v>
      </c>
      <c r="L149" s="83">
        <v>138</v>
      </c>
    </row>
    <row r="150" spans="1:12" ht="30" customHeight="1" x14ac:dyDescent="0.3">
      <c r="A150" s="79" t="s">
        <v>719</v>
      </c>
      <c r="B150" s="80" t="s">
        <v>773</v>
      </c>
      <c r="C150" s="81">
        <v>0.2</v>
      </c>
      <c r="D150" s="80" t="s">
        <v>757</v>
      </c>
      <c r="E150" s="81">
        <v>0.35</v>
      </c>
      <c r="F150" s="81" t="s">
        <v>18</v>
      </c>
      <c r="G150" s="81">
        <v>0.14000000000000001</v>
      </c>
      <c r="H150" s="81">
        <f t="shared" si="9"/>
        <v>6.9999999999999993E-2</v>
      </c>
      <c r="I150" s="80" t="s">
        <v>1520</v>
      </c>
      <c r="J150" s="81">
        <f t="shared" si="10"/>
        <v>9.7999999999999997E-3</v>
      </c>
      <c r="K150" s="80" t="s">
        <v>770</v>
      </c>
      <c r="L150" s="83">
        <v>139</v>
      </c>
    </row>
    <row r="151" spans="1:12" ht="30" customHeight="1" x14ac:dyDescent="0.3">
      <c r="A151" s="79" t="s">
        <v>719</v>
      </c>
      <c r="B151" s="80" t="s">
        <v>773</v>
      </c>
      <c r="C151" s="81">
        <v>0.2</v>
      </c>
      <c r="D151" s="80" t="s">
        <v>775</v>
      </c>
      <c r="E151" s="81">
        <v>0.25</v>
      </c>
      <c r="F151" s="81" t="s">
        <v>28</v>
      </c>
      <c r="G151" s="81">
        <v>0.12</v>
      </c>
      <c r="H151" s="81">
        <f t="shared" si="9"/>
        <v>0.05</v>
      </c>
      <c r="I151" s="80" t="s">
        <v>1548</v>
      </c>
      <c r="J151" s="81">
        <f t="shared" si="10"/>
        <v>6.0000000000000001E-3</v>
      </c>
      <c r="K151" s="80" t="s">
        <v>770</v>
      </c>
      <c r="L151" s="83">
        <v>140</v>
      </c>
    </row>
    <row r="152" spans="1:12" ht="30" customHeight="1" x14ac:dyDescent="0.3">
      <c r="A152" s="79" t="s">
        <v>719</v>
      </c>
      <c r="B152" s="80" t="s">
        <v>773</v>
      </c>
      <c r="C152" s="81">
        <v>0.2</v>
      </c>
      <c r="D152" s="80" t="s">
        <v>776</v>
      </c>
      <c r="E152" s="81">
        <v>0.15</v>
      </c>
      <c r="F152" s="81" t="s">
        <v>24</v>
      </c>
      <c r="G152" s="81">
        <v>0.12</v>
      </c>
      <c r="H152" s="81">
        <f t="shared" si="9"/>
        <v>0.03</v>
      </c>
      <c r="I152" s="80" t="s">
        <v>1548</v>
      </c>
      <c r="J152" s="81">
        <f t="shared" si="10"/>
        <v>3.5999999999999999E-3</v>
      </c>
      <c r="K152" s="80" t="s">
        <v>770</v>
      </c>
      <c r="L152" s="83">
        <v>141</v>
      </c>
    </row>
    <row r="153" spans="1:12" ht="30" customHeight="1" x14ac:dyDescent="0.3">
      <c r="A153" s="79" t="s">
        <v>719</v>
      </c>
      <c r="B153" s="80" t="s">
        <v>728</v>
      </c>
      <c r="C153" s="81">
        <v>0.2</v>
      </c>
      <c r="D153" s="80" t="s">
        <v>777</v>
      </c>
      <c r="E153" s="81">
        <v>0.25</v>
      </c>
      <c r="F153" s="81" t="s">
        <v>40</v>
      </c>
      <c r="G153" s="81">
        <v>0.22</v>
      </c>
      <c r="H153" s="81">
        <f t="shared" si="9"/>
        <v>0.05</v>
      </c>
      <c r="I153" s="80" t="s">
        <v>1533</v>
      </c>
      <c r="J153" s="81">
        <f t="shared" si="10"/>
        <v>1.1000000000000001E-2</v>
      </c>
      <c r="K153" s="80" t="s">
        <v>770</v>
      </c>
      <c r="L153" s="83">
        <v>142</v>
      </c>
    </row>
    <row r="154" spans="1:12" ht="30" customHeight="1" x14ac:dyDescent="0.3">
      <c r="A154" s="79" t="s">
        <v>719</v>
      </c>
      <c r="B154" s="80" t="s">
        <v>728</v>
      </c>
      <c r="C154" s="81">
        <v>0.2</v>
      </c>
      <c r="D154" s="80" t="s">
        <v>778</v>
      </c>
      <c r="E154" s="81">
        <v>0.35</v>
      </c>
      <c r="F154" s="81" t="s">
        <v>18</v>
      </c>
      <c r="G154" s="81">
        <v>0.14000000000000001</v>
      </c>
      <c r="H154" s="81">
        <f t="shared" si="9"/>
        <v>6.9999999999999993E-2</v>
      </c>
      <c r="I154" s="80" t="s">
        <v>1520</v>
      </c>
      <c r="J154" s="81">
        <f t="shared" si="10"/>
        <v>9.7999999999999997E-3</v>
      </c>
      <c r="K154" s="80" t="s">
        <v>770</v>
      </c>
      <c r="L154" s="83">
        <v>143</v>
      </c>
    </row>
    <row r="155" spans="1:12" ht="30" customHeight="1" x14ac:dyDescent="0.3">
      <c r="A155" s="79" t="s">
        <v>719</v>
      </c>
      <c r="B155" s="80" t="s">
        <v>728</v>
      </c>
      <c r="C155" s="81">
        <v>0.2</v>
      </c>
      <c r="D155" s="80" t="s">
        <v>779</v>
      </c>
      <c r="E155" s="81">
        <v>0.25</v>
      </c>
      <c r="F155" s="81" t="s">
        <v>28</v>
      </c>
      <c r="G155" s="81">
        <v>0.12</v>
      </c>
      <c r="H155" s="81">
        <f t="shared" si="9"/>
        <v>0.05</v>
      </c>
      <c r="I155" s="80" t="s">
        <v>1548</v>
      </c>
      <c r="J155" s="81">
        <f t="shared" si="10"/>
        <v>6.0000000000000001E-3</v>
      </c>
      <c r="K155" s="80" t="s">
        <v>770</v>
      </c>
      <c r="L155" s="83">
        <v>144</v>
      </c>
    </row>
    <row r="156" spans="1:12" ht="30" customHeight="1" x14ac:dyDescent="0.3">
      <c r="A156" s="79" t="s">
        <v>719</v>
      </c>
      <c r="B156" s="80" t="s">
        <v>728</v>
      </c>
      <c r="C156" s="81">
        <v>0.2</v>
      </c>
      <c r="D156" s="80" t="s">
        <v>732</v>
      </c>
      <c r="E156" s="81">
        <v>0.15</v>
      </c>
      <c r="F156" s="81" t="s">
        <v>24</v>
      </c>
      <c r="G156" s="81">
        <v>0.12</v>
      </c>
      <c r="H156" s="81">
        <f t="shared" si="9"/>
        <v>0.03</v>
      </c>
      <c r="I156" s="80" t="s">
        <v>1548</v>
      </c>
      <c r="J156" s="81">
        <f t="shared" si="10"/>
        <v>3.5999999999999999E-3</v>
      </c>
      <c r="K156" s="80" t="s">
        <v>770</v>
      </c>
      <c r="L156" s="83">
        <v>145</v>
      </c>
    </row>
    <row r="157" spans="1:12" ht="30" customHeight="1" x14ac:dyDescent="0.3">
      <c r="A157" s="79" t="s">
        <v>655</v>
      </c>
      <c r="B157" s="80" t="s">
        <v>656</v>
      </c>
      <c r="C157" s="81">
        <v>0.15</v>
      </c>
      <c r="D157" s="80" t="s">
        <v>780</v>
      </c>
      <c r="E157" s="81">
        <v>0.35</v>
      </c>
      <c r="F157" s="81" t="s">
        <v>18</v>
      </c>
      <c r="G157" s="81">
        <f>$K$14</f>
        <v>0.24000000000000002</v>
      </c>
      <c r="H157" s="81">
        <f t="shared" si="9"/>
        <v>5.2499999999999998E-2</v>
      </c>
      <c r="I157" s="80" t="s">
        <v>1549</v>
      </c>
      <c r="J157" s="81">
        <f t="shared" si="10"/>
        <v>1.26E-2</v>
      </c>
      <c r="K157" s="80" t="s">
        <v>770</v>
      </c>
      <c r="L157" s="83">
        <v>146</v>
      </c>
    </row>
    <row r="158" spans="1:12" ht="30" customHeight="1" x14ac:dyDescent="0.3">
      <c r="A158" s="79" t="s">
        <v>655</v>
      </c>
      <c r="B158" s="80" t="s">
        <v>656</v>
      </c>
      <c r="C158" s="81">
        <v>0.15</v>
      </c>
      <c r="D158" s="80" t="s">
        <v>781</v>
      </c>
      <c r="E158" s="81">
        <v>0.25</v>
      </c>
      <c r="F158" s="81" t="s">
        <v>20</v>
      </c>
      <c r="G158" s="81">
        <v>0.25</v>
      </c>
      <c r="H158" s="81">
        <f t="shared" si="9"/>
        <v>3.7499999999999999E-2</v>
      </c>
      <c r="I158" s="80" t="s">
        <v>1527</v>
      </c>
      <c r="J158" s="81">
        <f t="shared" si="10"/>
        <v>9.3749999999999997E-3</v>
      </c>
      <c r="K158" s="80" t="s">
        <v>770</v>
      </c>
      <c r="L158" s="83">
        <v>147</v>
      </c>
    </row>
    <row r="159" spans="1:12" ht="30" customHeight="1" x14ac:dyDescent="0.3">
      <c r="A159" s="79" t="s">
        <v>655</v>
      </c>
      <c r="B159" s="80" t="s">
        <v>656</v>
      </c>
      <c r="C159" s="81">
        <v>0.15</v>
      </c>
      <c r="D159" s="80" t="s">
        <v>782</v>
      </c>
      <c r="E159" s="81">
        <v>0.2</v>
      </c>
      <c r="F159" s="81" t="s">
        <v>28</v>
      </c>
      <c r="G159" s="81">
        <v>0.12</v>
      </c>
      <c r="H159" s="81">
        <f t="shared" si="9"/>
        <v>0.03</v>
      </c>
      <c r="I159" s="80" t="s">
        <v>1548</v>
      </c>
      <c r="J159" s="81">
        <f t="shared" si="10"/>
        <v>3.5999999999999999E-3</v>
      </c>
      <c r="K159" s="80" t="s">
        <v>770</v>
      </c>
      <c r="L159" s="83">
        <v>148</v>
      </c>
    </row>
    <row r="160" spans="1:12" ht="30" customHeight="1" x14ac:dyDescent="0.3">
      <c r="A160" s="79" t="s">
        <v>655</v>
      </c>
      <c r="B160" s="80" t="s">
        <v>656</v>
      </c>
      <c r="C160" s="81">
        <v>0.15</v>
      </c>
      <c r="D160" s="80" t="s">
        <v>783</v>
      </c>
      <c r="E160" s="81">
        <v>0.2</v>
      </c>
      <c r="F160" s="81" t="s">
        <v>24</v>
      </c>
      <c r="G160" s="81">
        <v>0.12</v>
      </c>
      <c r="H160" s="81">
        <f t="shared" si="9"/>
        <v>0.03</v>
      </c>
      <c r="I160" s="80" t="s">
        <v>1548</v>
      </c>
      <c r="J160" s="81">
        <f t="shared" si="10"/>
        <v>3.5999999999999999E-3</v>
      </c>
      <c r="K160" s="80" t="s">
        <v>770</v>
      </c>
      <c r="L160" s="83">
        <v>149</v>
      </c>
    </row>
    <row r="161" spans="1:12" ht="30" customHeight="1" x14ac:dyDescent="0.3">
      <c r="A161" s="79" t="s">
        <v>655</v>
      </c>
      <c r="B161" s="80" t="s">
        <v>661</v>
      </c>
      <c r="C161" s="81">
        <v>0.2</v>
      </c>
      <c r="D161" s="80" t="s">
        <v>784</v>
      </c>
      <c r="E161" s="81">
        <v>0.35</v>
      </c>
      <c r="F161" s="81" t="s">
        <v>18</v>
      </c>
      <c r="G161" s="81">
        <f>$K$14</f>
        <v>0.24000000000000002</v>
      </c>
      <c r="H161" s="81">
        <f t="shared" si="9"/>
        <v>6.9999999999999993E-2</v>
      </c>
      <c r="I161" s="80" t="s">
        <v>1549</v>
      </c>
      <c r="J161" s="81">
        <f t="shared" si="10"/>
        <v>1.6799999999999999E-2</v>
      </c>
      <c r="K161" s="80" t="s">
        <v>770</v>
      </c>
      <c r="L161" s="83">
        <v>150</v>
      </c>
    </row>
    <row r="162" spans="1:12" ht="30" customHeight="1" x14ac:dyDescent="0.3">
      <c r="A162" s="79" t="s">
        <v>655</v>
      </c>
      <c r="B162" s="80" t="s">
        <v>661</v>
      </c>
      <c r="C162" s="81">
        <v>0.2</v>
      </c>
      <c r="D162" s="80" t="s">
        <v>785</v>
      </c>
      <c r="E162" s="81">
        <v>0.3</v>
      </c>
      <c r="F162" s="81" t="s">
        <v>18</v>
      </c>
      <c r="G162" s="81">
        <f>$K$14</f>
        <v>0.24000000000000002</v>
      </c>
      <c r="H162" s="81">
        <f t="shared" si="9"/>
        <v>0.06</v>
      </c>
      <c r="I162" s="80" t="s">
        <v>1549</v>
      </c>
      <c r="J162" s="81">
        <f t="shared" si="10"/>
        <v>1.4400000000000001E-2</v>
      </c>
      <c r="K162" s="80" t="s">
        <v>770</v>
      </c>
      <c r="L162" s="83">
        <v>151</v>
      </c>
    </row>
    <row r="163" spans="1:12" ht="30" customHeight="1" x14ac:dyDescent="0.3">
      <c r="A163" s="79" t="s">
        <v>655</v>
      </c>
      <c r="B163" s="80" t="s">
        <v>661</v>
      </c>
      <c r="C163" s="81">
        <v>0.2</v>
      </c>
      <c r="D163" s="80" t="s">
        <v>786</v>
      </c>
      <c r="E163" s="81">
        <v>0.2</v>
      </c>
      <c r="F163" s="81" t="s">
        <v>40</v>
      </c>
      <c r="G163" s="81">
        <v>0.22</v>
      </c>
      <c r="H163" s="81">
        <f t="shared" si="9"/>
        <v>4.0000000000000008E-2</v>
      </c>
      <c r="I163" s="80" t="s">
        <v>1533</v>
      </c>
      <c r="J163" s="81">
        <f t="shared" si="10"/>
        <v>8.8000000000000023E-3</v>
      </c>
      <c r="K163" s="80" t="s">
        <v>770</v>
      </c>
      <c r="L163" s="83">
        <v>152</v>
      </c>
    </row>
    <row r="164" spans="1:12" ht="30" customHeight="1" x14ac:dyDescent="0.3">
      <c r="A164" s="79" t="s">
        <v>655</v>
      </c>
      <c r="B164" s="80" t="s">
        <v>661</v>
      </c>
      <c r="C164" s="81">
        <v>0.2</v>
      </c>
      <c r="D164" s="80" t="s">
        <v>787</v>
      </c>
      <c r="E164" s="81">
        <v>0.15</v>
      </c>
      <c r="F164" s="81" t="s">
        <v>24</v>
      </c>
      <c r="G164" s="81">
        <v>0.12</v>
      </c>
      <c r="H164" s="81">
        <f t="shared" si="9"/>
        <v>0.03</v>
      </c>
      <c r="I164" s="80" t="s">
        <v>1548</v>
      </c>
      <c r="J164" s="81">
        <f t="shared" si="10"/>
        <v>3.5999999999999999E-3</v>
      </c>
      <c r="K164" s="80" t="s">
        <v>770</v>
      </c>
      <c r="L164" s="83">
        <v>153</v>
      </c>
    </row>
    <row r="165" spans="1:12" ht="30" customHeight="1" x14ac:dyDescent="0.3">
      <c r="A165" s="79" t="s">
        <v>655</v>
      </c>
      <c r="B165" s="80" t="s">
        <v>666</v>
      </c>
      <c r="C165" s="81">
        <v>0.2</v>
      </c>
      <c r="D165" s="80" t="s">
        <v>17</v>
      </c>
      <c r="E165" s="81">
        <v>0.35</v>
      </c>
      <c r="F165" s="81" t="s">
        <v>18</v>
      </c>
      <c r="G165" s="81">
        <f>$K$14</f>
        <v>0.24000000000000002</v>
      </c>
      <c r="H165" s="81">
        <f t="shared" si="9"/>
        <v>6.9999999999999993E-2</v>
      </c>
      <c r="I165" s="80" t="s">
        <v>1549</v>
      </c>
      <c r="J165" s="81">
        <f t="shared" si="10"/>
        <v>1.6799999999999999E-2</v>
      </c>
      <c r="K165" s="80" t="s">
        <v>770</v>
      </c>
      <c r="L165" s="83">
        <v>154</v>
      </c>
    </row>
    <row r="166" spans="1:12" ht="30" customHeight="1" x14ac:dyDescent="0.3">
      <c r="A166" s="79" t="s">
        <v>655</v>
      </c>
      <c r="B166" s="80" t="s">
        <v>666</v>
      </c>
      <c r="C166" s="81">
        <v>0.2</v>
      </c>
      <c r="D166" s="80" t="s">
        <v>788</v>
      </c>
      <c r="E166" s="81">
        <v>0.25</v>
      </c>
      <c r="F166" s="81" t="s">
        <v>20</v>
      </c>
      <c r="G166" s="81">
        <v>0.25</v>
      </c>
      <c r="H166" s="81">
        <f t="shared" si="9"/>
        <v>0.05</v>
      </c>
      <c r="I166" s="80" t="s">
        <v>1527</v>
      </c>
      <c r="J166" s="81">
        <f t="shared" si="10"/>
        <v>1.2500000000000001E-2</v>
      </c>
      <c r="K166" s="80" t="s">
        <v>770</v>
      </c>
      <c r="L166" s="83">
        <v>155</v>
      </c>
    </row>
    <row r="167" spans="1:12" ht="30" customHeight="1" x14ac:dyDescent="0.3">
      <c r="A167" s="79" t="s">
        <v>655</v>
      </c>
      <c r="B167" s="80" t="s">
        <v>666</v>
      </c>
      <c r="C167" s="81">
        <v>0.2</v>
      </c>
      <c r="D167" s="80" t="s">
        <v>789</v>
      </c>
      <c r="E167" s="81">
        <v>0.2</v>
      </c>
      <c r="F167" s="81" t="s">
        <v>22</v>
      </c>
      <c r="G167" s="81">
        <v>0.2</v>
      </c>
      <c r="H167" s="81">
        <f t="shared" si="9"/>
        <v>4.0000000000000008E-2</v>
      </c>
      <c r="I167" s="80" t="s">
        <v>1527</v>
      </c>
      <c r="J167" s="81">
        <f t="shared" si="10"/>
        <v>8.0000000000000019E-3</v>
      </c>
      <c r="K167" s="80" t="s">
        <v>770</v>
      </c>
      <c r="L167" s="83">
        <v>156</v>
      </c>
    </row>
    <row r="168" spans="1:12" ht="30" customHeight="1" x14ac:dyDescent="0.3">
      <c r="A168" s="79" t="s">
        <v>655</v>
      </c>
      <c r="B168" s="80" t="s">
        <v>666</v>
      </c>
      <c r="C168" s="81">
        <v>0.2</v>
      </c>
      <c r="D168" s="80" t="s">
        <v>669</v>
      </c>
      <c r="E168" s="81">
        <v>0.2</v>
      </c>
      <c r="F168" s="81" t="s">
        <v>24</v>
      </c>
      <c r="G168" s="81">
        <v>0.12</v>
      </c>
      <c r="H168" s="81">
        <f t="shared" si="9"/>
        <v>4.0000000000000008E-2</v>
      </c>
      <c r="I168" s="80" t="s">
        <v>1548</v>
      </c>
      <c r="J168" s="81">
        <f t="shared" si="10"/>
        <v>4.8000000000000004E-3</v>
      </c>
      <c r="K168" s="80" t="s">
        <v>770</v>
      </c>
      <c r="L168" s="83">
        <v>157</v>
      </c>
    </row>
    <row r="169" spans="1:12" ht="30" customHeight="1" x14ac:dyDescent="0.3">
      <c r="A169" s="79" t="s">
        <v>655</v>
      </c>
      <c r="B169" s="80" t="s">
        <v>25</v>
      </c>
      <c r="C169" s="81">
        <v>0.15</v>
      </c>
      <c r="D169" s="80" t="s">
        <v>790</v>
      </c>
      <c r="E169" s="81">
        <v>0.3</v>
      </c>
      <c r="F169" s="81" t="s">
        <v>18</v>
      </c>
      <c r="G169" s="81">
        <f>$K$14</f>
        <v>0.24000000000000002</v>
      </c>
      <c r="H169" s="81">
        <f t="shared" si="9"/>
        <v>4.4999999999999998E-2</v>
      </c>
      <c r="I169" s="80" t="s">
        <v>1549</v>
      </c>
      <c r="J169" s="81">
        <f t="shared" si="10"/>
        <v>1.0800000000000001E-2</v>
      </c>
      <c r="K169" s="80" t="s">
        <v>770</v>
      </c>
      <c r="L169" s="83">
        <v>158</v>
      </c>
    </row>
    <row r="170" spans="1:12" ht="30" customHeight="1" x14ac:dyDescent="0.3">
      <c r="A170" s="79" t="s">
        <v>655</v>
      </c>
      <c r="B170" s="80" t="s">
        <v>25</v>
      </c>
      <c r="C170" s="81">
        <v>0.15</v>
      </c>
      <c r="D170" s="80" t="s">
        <v>791</v>
      </c>
      <c r="E170" s="81">
        <v>0.3</v>
      </c>
      <c r="F170" s="81" t="s">
        <v>18</v>
      </c>
      <c r="G170" s="81">
        <f>$K$14</f>
        <v>0.24000000000000002</v>
      </c>
      <c r="H170" s="81">
        <f t="shared" si="9"/>
        <v>4.4999999999999998E-2</v>
      </c>
      <c r="I170" s="80" t="s">
        <v>1549</v>
      </c>
      <c r="J170" s="81">
        <f t="shared" si="10"/>
        <v>1.0800000000000001E-2</v>
      </c>
      <c r="K170" s="80" t="s">
        <v>770</v>
      </c>
      <c r="L170" s="83">
        <v>159</v>
      </c>
    </row>
    <row r="171" spans="1:12" ht="30" customHeight="1" x14ac:dyDescent="0.3">
      <c r="A171" s="79" t="s">
        <v>655</v>
      </c>
      <c r="B171" s="80" t="s">
        <v>25</v>
      </c>
      <c r="C171" s="81">
        <v>0.15</v>
      </c>
      <c r="D171" s="80" t="s">
        <v>792</v>
      </c>
      <c r="E171" s="81">
        <v>0.2</v>
      </c>
      <c r="F171" s="81" t="s">
        <v>20</v>
      </c>
      <c r="G171" s="81">
        <v>0.25</v>
      </c>
      <c r="H171" s="81">
        <f t="shared" si="9"/>
        <v>0.03</v>
      </c>
      <c r="I171" s="80" t="s">
        <v>1527</v>
      </c>
      <c r="J171" s="81">
        <f t="shared" si="10"/>
        <v>7.4999999999999997E-3</v>
      </c>
      <c r="K171" s="80" t="s">
        <v>770</v>
      </c>
      <c r="L171" s="83">
        <v>160</v>
      </c>
    </row>
    <row r="172" spans="1:12" ht="30" customHeight="1" x14ac:dyDescent="0.3">
      <c r="A172" s="79" t="s">
        <v>655</v>
      </c>
      <c r="B172" s="80" t="s">
        <v>25</v>
      </c>
      <c r="C172" s="81">
        <v>0.15</v>
      </c>
      <c r="D172" s="80" t="s">
        <v>31</v>
      </c>
      <c r="E172" s="81">
        <v>0.2</v>
      </c>
      <c r="F172" s="81" t="s">
        <v>24</v>
      </c>
      <c r="G172" s="81">
        <v>0.12</v>
      </c>
      <c r="H172" s="81">
        <f t="shared" si="9"/>
        <v>0.03</v>
      </c>
      <c r="I172" s="80" t="s">
        <v>1548</v>
      </c>
      <c r="J172" s="81">
        <f t="shared" si="10"/>
        <v>3.5999999999999999E-3</v>
      </c>
      <c r="K172" s="80" t="s">
        <v>770</v>
      </c>
      <c r="L172" s="83">
        <v>161</v>
      </c>
    </row>
    <row r="173" spans="1:12" ht="30" customHeight="1" x14ac:dyDescent="0.3">
      <c r="A173" s="79" t="s">
        <v>655</v>
      </c>
      <c r="B173" s="80" t="s">
        <v>673</v>
      </c>
      <c r="C173" s="81">
        <v>0.2</v>
      </c>
      <c r="D173" s="80" t="s">
        <v>793</v>
      </c>
      <c r="E173" s="81">
        <v>0.4</v>
      </c>
      <c r="F173" s="81" t="s">
        <v>18</v>
      </c>
      <c r="G173" s="81">
        <f>$K$14</f>
        <v>0.24000000000000002</v>
      </c>
      <c r="H173" s="81">
        <f t="shared" si="9"/>
        <v>8.0000000000000016E-2</v>
      </c>
      <c r="I173" s="80" t="s">
        <v>1549</v>
      </c>
      <c r="J173" s="81">
        <f t="shared" si="10"/>
        <v>1.9200000000000005E-2</v>
      </c>
      <c r="K173" s="80" t="s">
        <v>770</v>
      </c>
      <c r="L173" s="83">
        <v>162</v>
      </c>
    </row>
    <row r="174" spans="1:12" ht="30" customHeight="1" x14ac:dyDescent="0.3">
      <c r="A174" s="79" t="s">
        <v>655</v>
      </c>
      <c r="B174" s="80" t="s">
        <v>673</v>
      </c>
      <c r="C174" s="81">
        <v>0.2</v>
      </c>
      <c r="D174" s="80" t="s">
        <v>794</v>
      </c>
      <c r="E174" s="81">
        <v>0.25</v>
      </c>
      <c r="F174" s="81" t="s">
        <v>20</v>
      </c>
      <c r="G174" s="81">
        <v>0.25</v>
      </c>
      <c r="H174" s="81">
        <f t="shared" si="9"/>
        <v>0.05</v>
      </c>
      <c r="I174" s="80" t="s">
        <v>1527</v>
      </c>
      <c r="J174" s="81">
        <f t="shared" si="10"/>
        <v>1.2500000000000001E-2</v>
      </c>
      <c r="K174" s="80" t="s">
        <v>770</v>
      </c>
      <c r="L174" s="83">
        <v>163</v>
      </c>
    </row>
    <row r="175" spans="1:12" ht="30" customHeight="1" x14ac:dyDescent="0.3">
      <c r="A175" s="79" t="s">
        <v>655</v>
      </c>
      <c r="B175" s="80" t="s">
        <v>673</v>
      </c>
      <c r="C175" s="81">
        <v>0.2</v>
      </c>
      <c r="D175" s="80" t="s">
        <v>795</v>
      </c>
      <c r="E175" s="81">
        <v>0.2</v>
      </c>
      <c r="F175" s="81" t="s">
        <v>40</v>
      </c>
      <c r="G175" s="81">
        <v>0.22</v>
      </c>
      <c r="H175" s="81">
        <f t="shared" si="9"/>
        <v>4.0000000000000008E-2</v>
      </c>
      <c r="I175" s="80" t="s">
        <v>1533</v>
      </c>
      <c r="J175" s="81">
        <f t="shared" si="10"/>
        <v>8.8000000000000023E-3</v>
      </c>
      <c r="K175" s="80" t="s">
        <v>770</v>
      </c>
      <c r="L175" s="83">
        <v>164</v>
      </c>
    </row>
    <row r="176" spans="1:12" ht="30" customHeight="1" x14ac:dyDescent="0.3">
      <c r="A176" s="79" t="s">
        <v>655</v>
      </c>
      <c r="B176" s="80" t="s">
        <v>673</v>
      </c>
      <c r="C176" s="81">
        <v>0.2</v>
      </c>
      <c r="D176" s="80" t="s">
        <v>796</v>
      </c>
      <c r="E176" s="81">
        <v>0.15</v>
      </c>
      <c r="F176" s="81" t="s">
        <v>24</v>
      </c>
      <c r="G176" s="81">
        <v>0.12</v>
      </c>
      <c r="H176" s="81">
        <f t="shared" si="9"/>
        <v>0.03</v>
      </c>
      <c r="I176" s="80" t="s">
        <v>1548</v>
      </c>
      <c r="J176" s="81">
        <f t="shared" si="10"/>
        <v>3.5999999999999999E-3</v>
      </c>
      <c r="K176" s="80" t="s">
        <v>770</v>
      </c>
      <c r="L176" s="83">
        <v>165</v>
      </c>
    </row>
    <row r="177" spans="1:12" ht="30" customHeight="1" x14ac:dyDescent="0.3">
      <c r="A177" s="79" t="s">
        <v>655</v>
      </c>
      <c r="B177" s="80" t="s">
        <v>678</v>
      </c>
      <c r="C177" s="81">
        <v>0.1</v>
      </c>
      <c r="D177" s="80" t="s">
        <v>679</v>
      </c>
      <c r="E177" s="81">
        <v>0.3</v>
      </c>
      <c r="F177" s="81" t="s">
        <v>18</v>
      </c>
      <c r="G177" s="81">
        <f>$K$14</f>
        <v>0.24000000000000002</v>
      </c>
      <c r="H177" s="81">
        <f t="shared" ref="H177:H208" si="11">C177*E177</f>
        <v>0.03</v>
      </c>
      <c r="I177" s="80" t="s">
        <v>1549</v>
      </c>
      <c r="J177" s="81">
        <f t="shared" ref="J177:J208" si="12">G177*H177</f>
        <v>7.2000000000000007E-3</v>
      </c>
      <c r="K177" s="80" t="s">
        <v>770</v>
      </c>
      <c r="L177" s="83">
        <v>166</v>
      </c>
    </row>
    <row r="178" spans="1:12" ht="30" customHeight="1" x14ac:dyDescent="0.3">
      <c r="A178" s="79" t="s">
        <v>655</v>
      </c>
      <c r="B178" s="80" t="s">
        <v>678</v>
      </c>
      <c r="C178" s="81">
        <v>0.1</v>
      </c>
      <c r="D178" s="80" t="s">
        <v>114</v>
      </c>
      <c r="E178" s="81">
        <v>0.25</v>
      </c>
      <c r="F178" s="81" t="s">
        <v>20</v>
      </c>
      <c r="G178" s="81">
        <v>0.25</v>
      </c>
      <c r="H178" s="81">
        <f t="shared" si="11"/>
        <v>2.5000000000000001E-2</v>
      </c>
      <c r="I178" s="80" t="s">
        <v>1527</v>
      </c>
      <c r="J178" s="81">
        <f t="shared" si="12"/>
        <v>6.2500000000000003E-3</v>
      </c>
      <c r="K178" s="80" t="s">
        <v>770</v>
      </c>
      <c r="L178" s="83">
        <v>167</v>
      </c>
    </row>
    <row r="179" spans="1:12" ht="30" customHeight="1" x14ac:dyDescent="0.3">
      <c r="A179" s="79" t="s">
        <v>655</v>
      </c>
      <c r="B179" s="80" t="s">
        <v>678</v>
      </c>
      <c r="C179" s="81">
        <v>0.1</v>
      </c>
      <c r="D179" s="80" t="s">
        <v>797</v>
      </c>
      <c r="E179" s="81">
        <v>0.25</v>
      </c>
      <c r="F179" s="81" t="s">
        <v>28</v>
      </c>
      <c r="G179" s="81">
        <v>0.12</v>
      </c>
      <c r="H179" s="81">
        <f t="shared" si="11"/>
        <v>2.5000000000000001E-2</v>
      </c>
      <c r="I179" s="80" t="s">
        <v>1548</v>
      </c>
      <c r="J179" s="81">
        <f t="shared" si="12"/>
        <v>3.0000000000000001E-3</v>
      </c>
      <c r="K179" s="80" t="s">
        <v>770</v>
      </c>
      <c r="L179" s="83">
        <v>168</v>
      </c>
    </row>
    <row r="180" spans="1:12" ht="30" customHeight="1" x14ac:dyDescent="0.3">
      <c r="A180" s="79" t="s">
        <v>655</v>
      </c>
      <c r="B180" s="80" t="s">
        <v>678</v>
      </c>
      <c r="C180" s="81">
        <v>0.1</v>
      </c>
      <c r="D180" s="80" t="s">
        <v>798</v>
      </c>
      <c r="E180" s="81">
        <v>0.2</v>
      </c>
      <c r="F180" s="81" t="s">
        <v>24</v>
      </c>
      <c r="G180" s="81">
        <v>0.12</v>
      </c>
      <c r="H180" s="81">
        <f t="shared" si="11"/>
        <v>2.0000000000000004E-2</v>
      </c>
      <c r="I180" s="80" t="s">
        <v>1548</v>
      </c>
      <c r="J180" s="81">
        <f t="shared" si="12"/>
        <v>2.4000000000000002E-3</v>
      </c>
      <c r="K180" s="80" t="s">
        <v>770</v>
      </c>
      <c r="L180" s="83">
        <v>169</v>
      </c>
    </row>
    <row r="181" spans="1:12" ht="30" customHeight="1" x14ac:dyDescent="0.3">
      <c r="A181" s="79" t="s">
        <v>682</v>
      </c>
      <c r="B181" s="80" t="s">
        <v>683</v>
      </c>
      <c r="C181" s="81">
        <v>0.2</v>
      </c>
      <c r="D181" s="80" t="s">
        <v>684</v>
      </c>
      <c r="E181" s="81">
        <v>0.25</v>
      </c>
      <c r="F181" s="81" t="s">
        <v>20</v>
      </c>
      <c r="G181" s="81">
        <v>0.25</v>
      </c>
      <c r="H181" s="81">
        <f t="shared" si="11"/>
        <v>0.05</v>
      </c>
      <c r="I181" s="80" t="s">
        <v>1527</v>
      </c>
      <c r="J181" s="81">
        <f t="shared" si="12"/>
        <v>1.2500000000000001E-2</v>
      </c>
      <c r="K181" s="80" t="s">
        <v>770</v>
      </c>
      <c r="L181" s="83">
        <v>170</v>
      </c>
    </row>
    <row r="182" spans="1:12" ht="30" customHeight="1" x14ac:dyDescent="0.3">
      <c r="A182" s="79" t="s">
        <v>682</v>
      </c>
      <c r="B182" s="80" t="s">
        <v>683</v>
      </c>
      <c r="C182" s="81">
        <v>0.2</v>
      </c>
      <c r="D182" s="80" t="s">
        <v>685</v>
      </c>
      <c r="E182" s="81">
        <v>0.3</v>
      </c>
      <c r="F182" s="81" t="s">
        <v>56</v>
      </c>
      <c r="G182" s="81">
        <v>0.12</v>
      </c>
      <c r="H182" s="81">
        <f t="shared" si="11"/>
        <v>0.06</v>
      </c>
      <c r="I182" s="80" t="s">
        <v>1527</v>
      </c>
      <c r="J182" s="81">
        <f t="shared" si="12"/>
        <v>7.1999999999999998E-3</v>
      </c>
      <c r="K182" s="80" t="s">
        <v>770</v>
      </c>
      <c r="L182" s="83">
        <v>171</v>
      </c>
    </row>
    <row r="183" spans="1:12" ht="30" customHeight="1" x14ac:dyDescent="0.3">
      <c r="A183" s="79" t="s">
        <v>682</v>
      </c>
      <c r="B183" s="80" t="s">
        <v>683</v>
      </c>
      <c r="C183" s="81">
        <v>0.2</v>
      </c>
      <c r="D183" s="80" t="s">
        <v>686</v>
      </c>
      <c r="E183" s="81">
        <v>0.25</v>
      </c>
      <c r="F183" s="81" t="s">
        <v>20</v>
      </c>
      <c r="G183" s="81">
        <v>0.25</v>
      </c>
      <c r="H183" s="81">
        <f t="shared" si="11"/>
        <v>0.05</v>
      </c>
      <c r="I183" s="80" t="s">
        <v>1527</v>
      </c>
      <c r="J183" s="81">
        <f t="shared" si="12"/>
        <v>1.2500000000000001E-2</v>
      </c>
      <c r="K183" s="80" t="s">
        <v>770</v>
      </c>
      <c r="L183" s="83">
        <v>172</v>
      </c>
    </row>
    <row r="184" spans="1:12" ht="30" customHeight="1" x14ac:dyDescent="0.3">
      <c r="A184" s="79" t="s">
        <v>682</v>
      </c>
      <c r="B184" s="80" t="s">
        <v>683</v>
      </c>
      <c r="C184" s="81">
        <v>0.2</v>
      </c>
      <c r="D184" s="80" t="s">
        <v>687</v>
      </c>
      <c r="E184" s="81">
        <v>0.2</v>
      </c>
      <c r="F184" s="81" t="s">
        <v>24</v>
      </c>
      <c r="G184" s="81">
        <v>0.12</v>
      </c>
      <c r="H184" s="81">
        <f t="shared" si="11"/>
        <v>4.0000000000000008E-2</v>
      </c>
      <c r="I184" s="80" t="s">
        <v>1548</v>
      </c>
      <c r="J184" s="81">
        <f t="shared" si="12"/>
        <v>4.8000000000000004E-3</v>
      </c>
      <c r="K184" s="80" t="s">
        <v>770</v>
      </c>
      <c r="L184" s="83">
        <v>173</v>
      </c>
    </row>
    <row r="185" spans="1:12" ht="30" customHeight="1" x14ac:dyDescent="0.3">
      <c r="A185" s="79" t="s">
        <v>682</v>
      </c>
      <c r="B185" s="80" t="s">
        <v>688</v>
      </c>
      <c r="C185" s="81">
        <v>0.1</v>
      </c>
      <c r="D185" s="80" t="s">
        <v>689</v>
      </c>
      <c r="E185" s="81">
        <v>0.3</v>
      </c>
      <c r="F185" s="81" t="s">
        <v>20</v>
      </c>
      <c r="G185" s="81">
        <v>0.25</v>
      </c>
      <c r="H185" s="81">
        <f t="shared" si="11"/>
        <v>0.03</v>
      </c>
      <c r="I185" s="80" t="s">
        <v>1527</v>
      </c>
      <c r="J185" s="81">
        <f t="shared" si="12"/>
        <v>7.4999999999999997E-3</v>
      </c>
      <c r="K185" s="80" t="s">
        <v>770</v>
      </c>
      <c r="L185" s="83">
        <v>174</v>
      </c>
    </row>
    <row r="186" spans="1:12" ht="30" customHeight="1" x14ac:dyDescent="0.3">
      <c r="A186" s="79" t="s">
        <v>682</v>
      </c>
      <c r="B186" s="80" t="s">
        <v>688</v>
      </c>
      <c r="C186" s="81">
        <v>0.1</v>
      </c>
      <c r="D186" s="80" t="s">
        <v>690</v>
      </c>
      <c r="E186" s="81">
        <v>0.3</v>
      </c>
      <c r="F186" s="81" t="s">
        <v>56</v>
      </c>
      <c r="G186" s="81">
        <v>0.12</v>
      </c>
      <c r="H186" s="81">
        <f t="shared" si="11"/>
        <v>0.03</v>
      </c>
      <c r="I186" s="80" t="s">
        <v>1527</v>
      </c>
      <c r="J186" s="81">
        <f t="shared" si="12"/>
        <v>3.5999999999999999E-3</v>
      </c>
      <c r="K186" s="80" t="s">
        <v>770</v>
      </c>
      <c r="L186" s="83">
        <v>175</v>
      </c>
    </row>
    <row r="187" spans="1:12" ht="30" customHeight="1" x14ac:dyDescent="0.3">
      <c r="A187" s="79" t="s">
        <v>682</v>
      </c>
      <c r="B187" s="80" t="s">
        <v>688</v>
      </c>
      <c r="C187" s="81">
        <v>0.1</v>
      </c>
      <c r="D187" s="80" t="s">
        <v>691</v>
      </c>
      <c r="E187" s="81">
        <v>0.2</v>
      </c>
      <c r="F187" s="81" t="s">
        <v>22</v>
      </c>
      <c r="G187" s="81">
        <v>0.2</v>
      </c>
      <c r="H187" s="81">
        <f t="shared" si="11"/>
        <v>2.0000000000000004E-2</v>
      </c>
      <c r="I187" s="80" t="s">
        <v>1527</v>
      </c>
      <c r="J187" s="81">
        <f t="shared" si="12"/>
        <v>4.000000000000001E-3</v>
      </c>
      <c r="K187" s="80" t="s">
        <v>770</v>
      </c>
      <c r="L187" s="83">
        <v>176</v>
      </c>
    </row>
    <row r="188" spans="1:12" ht="30" customHeight="1" x14ac:dyDescent="0.3">
      <c r="A188" s="79" t="s">
        <v>682</v>
      </c>
      <c r="B188" s="80" t="s">
        <v>688</v>
      </c>
      <c r="C188" s="81">
        <v>0.1</v>
      </c>
      <c r="D188" s="80" t="s">
        <v>692</v>
      </c>
      <c r="E188" s="81">
        <v>0.2</v>
      </c>
      <c r="F188" s="81" t="s">
        <v>24</v>
      </c>
      <c r="G188" s="81">
        <v>0.12</v>
      </c>
      <c r="H188" s="81">
        <f t="shared" si="11"/>
        <v>2.0000000000000004E-2</v>
      </c>
      <c r="I188" s="80" t="s">
        <v>1548</v>
      </c>
      <c r="J188" s="81">
        <f t="shared" si="12"/>
        <v>2.4000000000000002E-3</v>
      </c>
      <c r="K188" s="80" t="s">
        <v>770</v>
      </c>
      <c r="L188" s="83">
        <v>177</v>
      </c>
    </row>
    <row r="189" spans="1:12" ht="30" customHeight="1" x14ac:dyDescent="0.3">
      <c r="A189" s="79" t="s">
        <v>682</v>
      </c>
      <c r="B189" s="80" t="s">
        <v>693</v>
      </c>
      <c r="C189" s="81">
        <v>0.15</v>
      </c>
      <c r="D189" s="80" t="s">
        <v>694</v>
      </c>
      <c r="E189" s="81">
        <v>0.3</v>
      </c>
      <c r="F189" s="81" t="s">
        <v>20</v>
      </c>
      <c r="G189" s="81">
        <v>0.25</v>
      </c>
      <c r="H189" s="81">
        <f t="shared" si="11"/>
        <v>4.4999999999999998E-2</v>
      </c>
      <c r="I189" s="80" t="s">
        <v>1527</v>
      </c>
      <c r="J189" s="81">
        <f t="shared" si="12"/>
        <v>1.125E-2</v>
      </c>
      <c r="K189" s="80" t="s">
        <v>770</v>
      </c>
      <c r="L189" s="83">
        <v>178</v>
      </c>
    </row>
    <row r="190" spans="1:12" ht="30" customHeight="1" x14ac:dyDescent="0.3">
      <c r="A190" s="79" t="s">
        <v>682</v>
      </c>
      <c r="B190" s="80" t="s">
        <v>693</v>
      </c>
      <c r="C190" s="81">
        <v>0.15</v>
      </c>
      <c r="D190" s="80" t="s">
        <v>799</v>
      </c>
      <c r="E190" s="81">
        <v>0.25</v>
      </c>
      <c r="F190" s="81" t="s">
        <v>56</v>
      </c>
      <c r="G190" s="81">
        <v>0.12</v>
      </c>
      <c r="H190" s="81">
        <f t="shared" si="11"/>
        <v>3.7499999999999999E-2</v>
      </c>
      <c r="I190" s="80" t="s">
        <v>1527</v>
      </c>
      <c r="J190" s="81">
        <f t="shared" si="12"/>
        <v>4.4999999999999997E-3</v>
      </c>
      <c r="K190" s="80" t="s">
        <v>770</v>
      </c>
      <c r="L190" s="83">
        <v>179</v>
      </c>
    </row>
    <row r="191" spans="1:12" ht="30" customHeight="1" x14ac:dyDescent="0.3">
      <c r="A191" s="79" t="s">
        <v>682</v>
      </c>
      <c r="B191" s="80" t="s">
        <v>693</v>
      </c>
      <c r="C191" s="81">
        <v>0.15</v>
      </c>
      <c r="D191" s="80" t="s">
        <v>696</v>
      </c>
      <c r="E191" s="81">
        <v>0.25</v>
      </c>
      <c r="F191" s="81" t="s">
        <v>28</v>
      </c>
      <c r="G191" s="81">
        <v>0.12</v>
      </c>
      <c r="H191" s="81">
        <f t="shared" si="11"/>
        <v>3.7499999999999999E-2</v>
      </c>
      <c r="I191" s="80" t="s">
        <v>1548</v>
      </c>
      <c r="J191" s="81">
        <f t="shared" si="12"/>
        <v>4.4999999999999997E-3</v>
      </c>
      <c r="K191" s="80" t="s">
        <v>770</v>
      </c>
      <c r="L191" s="83">
        <v>180</v>
      </c>
    </row>
    <row r="192" spans="1:12" ht="30" customHeight="1" x14ac:dyDescent="0.3">
      <c r="A192" s="79" t="s">
        <v>682</v>
      </c>
      <c r="B192" s="80" t="s">
        <v>693</v>
      </c>
      <c r="C192" s="81">
        <v>0.15</v>
      </c>
      <c r="D192" s="80" t="s">
        <v>800</v>
      </c>
      <c r="E192" s="81">
        <v>0.2</v>
      </c>
      <c r="F192" s="81" t="s">
        <v>24</v>
      </c>
      <c r="G192" s="81">
        <v>0.12</v>
      </c>
      <c r="H192" s="81">
        <f t="shared" si="11"/>
        <v>0.03</v>
      </c>
      <c r="I192" s="80" t="s">
        <v>1548</v>
      </c>
      <c r="J192" s="81">
        <f t="shared" si="12"/>
        <v>3.5999999999999999E-3</v>
      </c>
      <c r="K192" s="80" t="s">
        <v>770</v>
      </c>
      <c r="L192" s="83">
        <v>181</v>
      </c>
    </row>
    <row r="193" spans="1:12" ht="30" customHeight="1" x14ac:dyDescent="0.3">
      <c r="A193" s="79" t="s">
        <v>682</v>
      </c>
      <c r="B193" s="80" t="s">
        <v>698</v>
      </c>
      <c r="C193" s="81">
        <v>0.1</v>
      </c>
      <c r="D193" s="80" t="s">
        <v>699</v>
      </c>
      <c r="E193" s="81">
        <v>0.3</v>
      </c>
      <c r="F193" s="81" t="s">
        <v>20</v>
      </c>
      <c r="G193" s="81">
        <v>0.25</v>
      </c>
      <c r="H193" s="81">
        <f t="shared" si="11"/>
        <v>0.03</v>
      </c>
      <c r="I193" s="80" t="s">
        <v>1527</v>
      </c>
      <c r="J193" s="81">
        <f t="shared" si="12"/>
        <v>7.4999999999999997E-3</v>
      </c>
      <c r="K193" s="80" t="s">
        <v>770</v>
      </c>
      <c r="L193" s="83">
        <v>182</v>
      </c>
    </row>
    <row r="194" spans="1:12" ht="30" customHeight="1" x14ac:dyDescent="0.3">
      <c r="A194" s="79" t="s">
        <v>682</v>
      </c>
      <c r="B194" s="80" t="s">
        <v>698</v>
      </c>
      <c r="C194" s="81">
        <v>0.1</v>
      </c>
      <c r="D194" s="80" t="s">
        <v>700</v>
      </c>
      <c r="E194" s="81">
        <v>0.25</v>
      </c>
      <c r="F194" s="81" t="s">
        <v>40</v>
      </c>
      <c r="G194" s="81">
        <v>0.22</v>
      </c>
      <c r="H194" s="81">
        <f t="shared" si="11"/>
        <v>2.5000000000000001E-2</v>
      </c>
      <c r="I194" s="80" t="s">
        <v>1533</v>
      </c>
      <c r="J194" s="81">
        <f t="shared" si="12"/>
        <v>5.5000000000000005E-3</v>
      </c>
      <c r="K194" s="80" t="s">
        <v>770</v>
      </c>
      <c r="L194" s="83">
        <v>183</v>
      </c>
    </row>
    <row r="195" spans="1:12" ht="30" customHeight="1" x14ac:dyDescent="0.3">
      <c r="A195" s="79" t="s">
        <v>682</v>
      </c>
      <c r="B195" s="80" t="s">
        <v>698</v>
      </c>
      <c r="C195" s="81">
        <v>0.1</v>
      </c>
      <c r="D195" s="80" t="s">
        <v>701</v>
      </c>
      <c r="E195" s="81">
        <v>0.2</v>
      </c>
      <c r="F195" s="81" t="s">
        <v>22</v>
      </c>
      <c r="G195" s="81">
        <v>0.2</v>
      </c>
      <c r="H195" s="81">
        <f t="shared" si="11"/>
        <v>2.0000000000000004E-2</v>
      </c>
      <c r="I195" s="80" t="s">
        <v>1527</v>
      </c>
      <c r="J195" s="81">
        <f t="shared" si="12"/>
        <v>4.000000000000001E-3</v>
      </c>
      <c r="K195" s="80" t="s">
        <v>770</v>
      </c>
      <c r="L195" s="83">
        <v>184</v>
      </c>
    </row>
    <row r="196" spans="1:12" ht="30" customHeight="1" x14ac:dyDescent="0.3">
      <c r="A196" s="79" t="s">
        <v>682</v>
      </c>
      <c r="B196" s="80" t="s">
        <v>698</v>
      </c>
      <c r="C196" s="81">
        <v>0.1</v>
      </c>
      <c r="D196" s="80" t="s">
        <v>702</v>
      </c>
      <c r="E196" s="81">
        <v>0.25</v>
      </c>
      <c r="F196" s="81" t="s">
        <v>24</v>
      </c>
      <c r="G196" s="81">
        <v>0.12</v>
      </c>
      <c r="H196" s="81">
        <f t="shared" si="11"/>
        <v>2.5000000000000001E-2</v>
      </c>
      <c r="I196" s="80" t="s">
        <v>1548</v>
      </c>
      <c r="J196" s="81">
        <f t="shared" si="12"/>
        <v>3.0000000000000001E-3</v>
      </c>
      <c r="K196" s="80" t="s">
        <v>770</v>
      </c>
      <c r="L196" s="83">
        <v>185</v>
      </c>
    </row>
    <row r="197" spans="1:12" ht="30" customHeight="1" x14ac:dyDescent="0.3">
      <c r="A197" s="79" t="s">
        <v>682</v>
      </c>
      <c r="B197" s="80" t="s">
        <v>703</v>
      </c>
      <c r="C197" s="81">
        <v>0.15</v>
      </c>
      <c r="D197" s="80" t="s">
        <v>733</v>
      </c>
      <c r="E197" s="81">
        <v>0.3</v>
      </c>
      <c r="F197" s="81" t="s">
        <v>20</v>
      </c>
      <c r="G197" s="81">
        <v>0.25</v>
      </c>
      <c r="H197" s="81">
        <f t="shared" si="11"/>
        <v>4.4999999999999998E-2</v>
      </c>
      <c r="I197" s="80" t="s">
        <v>1527</v>
      </c>
      <c r="J197" s="81">
        <f t="shared" si="12"/>
        <v>1.125E-2</v>
      </c>
      <c r="K197" s="80" t="s">
        <v>770</v>
      </c>
      <c r="L197" s="83">
        <v>186</v>
      </c>
    </row>
    <row r="198" spans="1:12" ht="30" customHeight="1" x14ac:dyDescent="0.3">
      <c r="A198" s="79" t="s">
        <v>682</v>
      </c>
      <c r="B198" s="80" t="s">
        <v>703</v>
      </c>
      <c r="C198" s="81">
        <v>0.15</v>
      </c>
      <c r="D198" s="80" t="s">
        <v>705</v>
      </c>
      <c r="E198" s="81">
        <v>0.3</v>
      </c>
      <c r="F198" s="81" t="s">
        <v>56</v>
      </c>
      <c r="G198" s="81">
        <v>0.12</v>
      </c>
      <c r="H198" s="81">
        <f t="shared" si="11"/>
        <v>4.4999999999999998E-2</v>
      </c>
      <c r="I198" s="80" t="s">
        <v>1527</v>
      </c>
      <c r="J198" s="81">
        <f t="shared" si="12"/>
        <v>5.3999999999999994E-3</v>
      </c>
      <c r="K198" s="80" t="s">
        <v>770</v>
      </c>
      <c r="L198" s="83">
        <v>187</v>
      </c>
    </row>
    <row r="199" spans="1:12" ht="30" customHeight="1" x14ac:dyDescent="0.3">
      <c r="A199" s="79" t="s">
        <v>682</v>
      </c>
      <c r="B199" s="80" t="s">
        <v>703</v>
      </c>
      <c r="C199" s="81">
        <v>0.15</v>
      </c>
      <c r="D199" s="80" t="s">
        <v>734</v>
      </c>
      <c r="E199" s="81">
        <v>0.25</v>
      </c>
      <c r="F199" s="81" t="s">
        <v>20</v>
      </c>
      <c r="G199" s="81">
        <v>0.25</v>
      </c>
      <c r="H199" s="81">
        <f t="shared" si="11"/>
        <v>3.7499999999999999E-2</v>
      </c>
      <c r="I199" s="80" t="s">
        <v>1527</v>
      </c>
      <c r="J199" s="81">
        <f t="shared" si="12"/>
        <v>9.3749999999999997E-3</v>
      </c>
      <c r="K199" s="80" t="s">
        <v>770</v>
      </c>
      <c r="L199" s="83">
        <v>188</v>
      </c>
    </row>
    <row r="200" spans="1:12" ht="30" customHeight="1" x14ac:dyDescent="0.3">
      <c r="A200" s="79" t="s">
        <v>682</v>
      </c>
      <c r="B200" s="80" t="s">
        <v>703</v>
      </c>
      <c r="C200" s="81">
        <v>0.15</v>
      </c>
      <c r="D200" s="80" t="s">
        <v>707</v>
      </c>
      <c r="E200" s="81">
        <v>0.15</v>
      </c>
      <c r="F200" s="81" t="s">
        <v>24</v>
      </c>
      <c r="G200" s="81">
        <v>0.12</v>
      </c>
      <c r="H200" s="81">
        <f t="shared" si="11"/>
        <v>2.2499999999999999E-2</v>
      </c>
      <c r="I200" s="80" t="s">
        <v>1548</v>
      </c>
      <c r="J200" s="81">
        <f t="shared" si="12"/>
        <v>2.6999999999999997E-3</v>
      </c>
      <c r="K200" s="80" t="s">
        <v>770</v>
      </c>
      <c r="L200" s="83">
        <v>189</v>
      </c>
    </row>
    <row r="201" spans="1:12" ht="30" customHeight="1" x14ac:dyDescent="0.3">
      <c r="A201" s="79" t="s">
        <v>682</v>
      </c>
      <c r="B201" s="80" t="s">
        <v>708</v>
      </c>
      <c r="C201" s="81">
        <v>0.15</v>
      </c>
      <c r="D201" s="80" t="s">
        <v>709</v>
      </c>
      <c r="E201" s="81">
        <v>0.3</v>
      </c>
      <c r="F201" s="81" t="s">
        <v>20</v>
      </c>
      <c r="G201" s="81">
        <v>0.25</v>
      </c>
      <c r="H201" s="81">
        <f t="shared" si="11"/>
        <v>4.4999999999999998E-2</v>
      </c>
      <c r="I201" s="80" t="s">
        <v>1527</v>
      </c>
      <c r="J201" s="81">
        <f t="shared" si="12"/>
        <v>1.125E-2</v>
      </c>
      <c r="K201" s="80" t="s">
        <v>770</v>
      </c>
      <c r="L201" s="83">
        <v>190</v>
      </c>
    </row>
    <row r="202" spans="1:12" ht="30" customHeight="1" x14ac:dyDescent="0.3">
      <c r="A202" s="79" t="s">
        <v>682</v>
      </c>
      <c r="B202" s="80" t="s">
        <v>708</v>
      </c>
      <c r="C202" s="81">
        <v>0.15</v>
      </c>
      <c r="D202" s="80" t="s">
        <v>710</v>
      </c>
      <c r="E202" s="81">
        <v>0.3</v>
      </c>
      <c r="F202" s="81" t="s">
        <v>56</v>
      </c>
      <c r="G202" s="81">
        <v>0.12</v>
      </c>
      <c r="H202" s="81">
        <f t="shared" si="11"/>
        <v>4.4999999999999998E-2</v>
      </c>
      <c r="I202" s="80" t="s">
        <v>1527</v>
      </c>
      <c r="J202" s="81">
        <f t="shared" si="12"/>
        <v>5.3999999999999994E-3</v>
      </c>
      <c r="K202" s="80" t="s">
        <v>770</v>
      </c>
      <c r="L202" s="83">
        <v>191</v>
      </c>
    </row>
    <row r="203" spans="1:12" ht="30" customHeight="1" x14ac:dyDescent="0.3">
      <c r="A203" s="79" t="s">
        <v>682</v>
      </c>
      <c r="B203" s="80" t="s">
        <v>708</v>
      </c>
      <c r="C203" s="81">
        <v>0.15</v>
      </c>
      <c r="D203" s="80" t="s">
        <v>711</v>
      </c>
      <c r="E203" s="81">
        <v>0.25</v>
      </c>
      <c r="F203" s="81" t="s">
        <v>22</v>
      </c>
      <c r="G203" s="81">
        <v>0.2</v>
      </c>
      <c r="H203" s="81">
        <f t="shared" si="11"/>
        <v>3.7499999999999999E-2</v>
      </c>
      <c r="I203" s="80" t="s">
        <v>1527</v>
      </c>
      <c r="J203" s="81">
        <f t="shared" si="12"/>
        <v>7.4999999999999997E-3</v>
      </c>
      <c r="K203" s="80" t="s">
        <v>770</v>
      </c>
      <c r="L203" s="83">
        <v>192</v>
      </c>
    </row>
    <row r="204" spans="1:12" ht="30" customHeight="1" x14ac:dyDescent="0.3">
      <c r="A204" s="79" t="s">
        <v>682</v>
      </c>
      <c r="B204" s="80" t="s">
        <v>708</v>
      </c>
      <c r="C204" s="81">
        <v>0.15</v>
      </c>
      <c r="D204" s="80" t="s">
        <v>712</v>
      </c>
      <c r="E204" s="81">
        <v>0.15</v>
      </c>
      <c r="F204" s="81" t="s">
        <v>24</v>
      </c>
      <c r="G204" s="81">
        <v>0.12</v>
      </c>
      <c r="H204" s="81">
        <f t="shared" si="11"/>
        <v>2.2499999999999999E-2</v>
      </c>
      <c r="I204" s="80" t="s">
        <v>1548</v>
      </c>
      <c r="J204" s="81">
        <f t="shared" si="12"/>
        <v>2.6999999999999997E-3</v>
      </c>
      <c r="K204" s="80" t="s">
        <v>770</v>
      </c>
      <c r="L204" s="83">
        <v>193</v>
      </c>
    </row>
    <row r="205" spans="1:12" ht="30" customHeight="1" x14ac:dyDescent="0.3">
      <c r="A205" s="79" t="s">
        <v>682</v>
      </c>
      <c r="B205" s="80" t="s">
        <v>713</v>
      </c>
      <c r="C205" s="81">
        <v>0.15</v>
      </c>
      <c r="D205" s="80" t="s">
        <v>714</v>
      </c>
      <c r="E205" s="81">
        <v>0.25</v>
      </c>
      <c r="F205" s="81" t="s">
        <v>20</v>
      </c>
      <c r="G205" s="81">
        <v>0.25</v>
      </c>
      <c r="H205" s="81">
        <f t="shared" si="11"/>
        <v>3.7499999999999999E-2</v>
      </c>
      <c r="I205" s="80" t="s">
        <v>1527</v>
      </c>
      <c r="J205" s="81">
        <f t="shared" si="12"/>
        <v>9.3749999999999997E-3</v>
      </c>
      <c r="K205" s="80" t="s">
        <v>770</v>
      </c>
      <c r="L205" s="83">
        <v>194</v>
      </c>
    </row>
    <row r="206" spans="1:12" ht="30" customHeight="1" x14ac:dyDescent="0.3">
      <c r="A206" s="79" t="s">
        <v>682</v>
      </c>
      <c r="B206" s="80" t="s">
        <v>713</v>
      </c>
      <c r="C206" s="81">
        <v>0.15</v>
      </c>
      <c r="D206" s="80" t="s">
        <v>715</v>
      </c>
      <c r="E206" s="81">
        <v>0.3</v>
      </c>
      <c r="F206" s="81" t="s">
        <v>56</v>
      </c>
      <c r="G206" s="81">
        <v>0.12</v>
      </c>
      <c r="H206" s="81">
        <f t="shared" si="11"/>
        <v>4.4999999999999998E-2</v>
      </c>
      <c r="I206" s="80" t="s">
        <v>1527</v>
      </c>
      <c r="J206" s="81">
        <f t="shared" si="12"/>
        <v>5.3999999999999994E-3</v>
      </c>
      <c r="K206" s="80" t="s">
        <v>770</v>
      </c>
      <c r="L206" s="83">
        <v>195</v>
      </c>
    </row>
    <row r="207" spans="1:12" ht="30" customHeight="1" x14ac:dyDescent="0.3">
      <c r="A207" s="79" t="s">
        <v>682</v>
      </c>
      <c r="B207" s="80" t="s">
        <v>713</v>
      </c>
      <c r="C207" s="81">
        <v>0.15</v>
      </c>
      <c r="D207" s="80" t="s">
        <v>716</v>
      </c>
      <c r="E207" s="81">
        <v>0.25</v>
      </c>
      <c r="F207" s="81" t="s">
        <v>28</v>
      </c>
      <c r="G207" s="81">
        <v>0.12</v>
      </c>
      <c r="H207" s="81">
        <f t="shared" si="11"/>
        <v>3.7499999999999999E-2</v>
      </c>
      <c r="I207" s="80" t="s">
        <v>1548</v>
      </c>
      <c r="J207" s="81">
        <f t="shared" si="12"/>
        <v>4.4999999999999997E-3</v>
      </c>
      <c r="K207" s="80" t="s">
        <v>770</v>
      </c>
      <c r="L207" s="83">
        <v>196</v>
      </c>
    </row>
    <row r="208" spans="1:12" ht="30" customHeight="1" x14ac:dyDescent="0.3">
      <c r="A208" s="84" t="s">
        <v>682</v>
      </c>
      <c r="B208" s="85" t="s">
        <v>713</v>
      </c>
      <c r="C208" s="86">
        <v>0.15</v>
      </c>
      <c r="D208" s="85" t="s">
        <v>717</v>
      </c>
      <c r="E208" s="86">
        <v>0.2</v>
      </c>
      <c r="F208" s="86" t="s">
        <v>24</v>
      </c>
      <c r="G208" s="86">
        <v>0.12</v>
      </c>
      <c r="H208" s="86">
        <f t="shared" si="11"/>
        <v>0.03</v>
      </c>
      <c r="I208" s="85" t="s">
        <v>1548</v>
      </c>
      <c r="J208" s="86">
        <f t="shared" si="12"/>
        <v>3.5999999999999999E-3</v>
      </c>
      <c r="K208" s="85" t="s">
        <v>770</v>
      </c>
      <c r="L208" s="87">
        <v>197</v>
      </c>
    </row>
    <row r="213" spans="1:14" ht="30" customHeight="1" x14ac:dyDescent="0.3">
      <c r="A213" s="102" t="s">
        <v>802</v>
      </c>
      <c r="B213" s="103" t="s">
        <v>803</v>
      </c>
      <c r="C213" s="104">
        <v>0.3</v>
      </c>
      <c r="D213" s="103" t="s">
        <v>804</v>
      </c>
      <c r="E213" s="104">
        <v>0.25</v>
      </c>
      <c r="F213" s="104" t="s">
        <v>20</v>
      </c>
      <c r="G213" s="104">
        <v>0.25</v>
      </c>
      <c r="H213" s="104">
        <f t="shared" ref="H213:H228" si="13">C213*E213</f>
        <v>7.4999999999999997E-2</v>
      </c>
      <c r="I213" s="103" t="s">
        <v>1527</v>
      </c>
      <c r="J213" s="104">
        <f t="shared" ref="J213:J228" si="14">G213*H213</f>
        <v>1.8749999999999999E-2</v>
      </c>
      <c r="K213" s="103" t="s">
        <v>801</v>
      </c>
      <c r="L213" s="103">
        <v>198</v>
      </c>
      <c r="M213" s="104">
        <v>0.6</v>
      </c>
      <c r="N213" s="105">
        <f t="shared" ref="N213:N228" si="15">M213*H213</f>
        <v>4.4999999999999998E-2</v>
      </c>
    </row>
    <row r="214" spans="1:14" ht="30" customHeight="1" x14ac:dyDescent="0.3">
      <c r="A214" s="41" t="s">
        <v>802</v>
      </c>
      <c r="B214" s="42" t="s">
        <v>803</v>
      </c>
      <c r="C214" s="43">
        <v>0.3</v>
      </c>
      <c r="D214" s="42" t="s">
        <v>805</v>
      </c>
      <c r="E214" s="43">
        <v>0.35</v>
      </c>
      <c r="F214" s="43" t="s">
        <v>73</v>
      </c>
      <c r="G214" s="43">
        <v>0.55000000000000004</v>
      </c>
      <c r="H214" s="43">
        <f t="shared" si="13"/>
        <v>0.105</v>
      </c>
      <c r="I214" s="42" t="s">
        <v>1513</v>
      </c>
      <c r="J214" s="43">
        <f t="shared" si="14"/>
        <v>5.7750000000000003E-2</v>
      </c>
      <c r="K214" s="42" t="s">
        <v>801</v>
      </c>
      <c r="L214" s="42">
        <v>199</v>
      </c>
      <c r="M214" s="43">
        <v>0.75</v>
      </c>
      <c r="N214" s="106">
        <f t="shared" si="15"/>
        <v>7.8750000000000001E-2</v>
      </c>
    </row>
    <row r="215" spans="1:14" ht="30" customHeight="1" x14ac:dyDescent="0.3">
      <c r="A215" s="41" t="s">
        <v>802</v>
      </c>
      <c r="B215" s="42" t="s">
        <v>803</v>
      </c>
      <c r="C215" s="43">
        <v>0.3</v>
      </c>
      <c r="D215" s="42" t="s">
        <v>806</v>
      </c>
      <c r="E215" s="43">
        <v>0.25</v>
      </c>
      <c r="F215" s="43" t="s">
        <v>20</v>
      </c>
      <c r="G215" s="43">
        <v>0.25</v>
      </c>
      <c r="H215" s="43">
        <f t="shared" si="13"/>
        <v>7.4999999999999997E-2</v>
      </c>
      <c r="I215" s="42" t="s">
        <v>1527</v>
      </c>
      <c r="J215" s="43">
        <f t="shared" si="14"/>
        <v>1.8749999999999999E-2</v>
      </c>
      <c r="K215" s="42" t="s">
        <v>801</v>
      </c>
      <c r="L215" s="42">
        <v>200</v>
      </c>
      <c r="M215" s="43">
        <v>0.65</v>
      </c>
      <c r="N215" s="106">
        <f t="shared" si="15"/>
        <v>4.8750000000000002E-2</v>
      </c>
    </row>
    <row r="216" spans="1:14" ht="30" customHeight="1" x14ac:dyDescent="0.3">
      <c r="A216" s="41" t="s">
        <v>802</v>
      </c>
      <c r="B216" s="42" t="s">
        <v>803</v>
      </c>
      <c r="C216" s="43">
        <v>0.3</v>
      </c>
      <c r="D216" s="42" t="s">
        <v>807</v>
      </c>
      <c r="E216" s="43">
        <v>0.15</v>
      </c>
      <c r="F216" s="43" t="s">
        <v>24</v>
      </c>
      <c r="G216" s="43">
        <v>0.12</v>
      </c>
      <c r="H216" s="43">
        <f t="shared" si="13"/>
        <v>4.4999999999999998E-2</v>
      </c>
      <c r="I216" s="42" t="s">
        <v>1548</v>
      </c>
      <c r="J216" s="43">
        <f t="shared" si="14"/>
        <v>5.3999999999999994E-3</v>
      </c>
      <c r="K216" s="42" t="s">
        <v>801</v>
      </c>
      <c r="L216" s="42">
        <v>201</v>
      </c>
      <c r="M216" s="43">
        <v>0.7</v>
      </c>
      <c r="N216" s="106">
        <f t="shared" si="15"/>
        <v>3.15E-2</v>
      </c>
    </row>
    <row r="217" spans="1:14" ht="30" customHeight="1" x14ac:dyDescent="0.3">
      <c r="A217" s="41" t="s">
        <v>802</v>
      </c>
      <c r="B217" s="42" t="s">
        <v>808</v>
      </c>
      <c r="C217" s="43">
        <v>0.25</v>
      </c>
      <c r="D217" s="42" t="s">
        <v>809</v>
      </c>
      <c r="E217" s="43">
        <v>0.3</v>
      </c>
      <c r="F217" s="43" t="s">
        <v>20</v>
      </c>
      <c r="G217" s="43">
        <v>0.25</v>
      </c>
      <c r="H217" s="43">
        <f t="shared" si="13"/>
        <v>7.4999999999999997E-2</v>
      </c>
      <c r="I217" s="42" t="s">
        <v>1527</v>
      </c>
      <c r="J217" s="43">
        <f t="shared" si="14"/>
        <v>1.8749999999999999E-2</v>
      </c>
      <c r="K217" s="42" t="s">
        <v>801</v>
      </c>
      <c r="L217" s="42">
        <v>202</v>
      </c>
      <c r="M217" s="43">
        <v>0.65</v>
      </c>
      <c r="N217" s="106">
        <f t="shared" si="15"/>
        <v>4.8750000000000002E-2</v>
      </c>
    </row>
    <row r="218" spans="1:14" ht="30" customHeight="1" x14ac:dyDescent="0.3">
      <c r="A218" s="41" t="s">
        <v>802</v>
      </c>
      <c r="B218" s="42" t="s">
        <v>808</v>
      </c>
      <c r="C218" s="43">
        <v>0.25</v>
      </c>
      <c r="D218" s="42" t="s">
        <v>810</v>
      </c>
      <c r="E218" s="43">
        <v>0.3</v>
      </c>
      <c r="F218" s="43" t="s">
        <v>73</v>
      </c>
      <c r="G218" s="43">
        <v>0.55000000000000004</v>
      </c>
      <c r="H218" s="43">
        <f t="shared" si="13"/>
        <v>7.4999999999999997E-2</v>
      </c>
      <c r="I218" s="42" t="s">
        <v>1513</v>
      </c>
      <c r="J218" s="43">
        <f t="shared" si="14"/>
        <v>4.1250000000000002E-2</v>
      </c>
      <c r="K218" s="42" t="s">
        <v>801</v>
      </c>
      <c r="L218" s="42">
        <v>203</v>
      </c>
      <c r="M218" s="43">
        <v>0.75</v>
      </c>
      <c r="N218" s="106">
        <f t="shared" si="15"/>
        <v>5.6249999999999994E-2</v>
      </c>
    </row>
    <row r="219" spans="1:14" ht="30" customHeight="1" x14ac:dyDescent="0.3">
      <c r="A219" s="41" t="s">
        <v>802</v>
      </c>
      <c r="B219" s="42" t="s">
        <v>808</v>
      </c>
      <c r="C219" s="43">
        <v>0.25</v>
      </c>
      <c r="D219" s="42" t="s">
        <v>811</v>
      </c>
      <c r="E219" s="43">
        <v>0.25</v>
      </c>
      <c r="F219" s="43" t="s">
        <v>24</v>
      </c>
      <c r="G219" s="43">
        <v>0.12</v>
      </c>
      <c r="H219" s="43">
        <f t="shared" si="13"/>
        <v>6.25E-2</v>
      </c>
      <c r="I219" s="42" t="s">
        <v>1548</v>
      </c>
      <c r="J219" s="43">
        <f t="shared" si="14"/>
        <v>7.4999999999999997E-3</v>
      </c>
      <c r="K219" s="42" t="s">
        <v>801</v>
      </c>
      <c r="L219" s="42">
        <v>204</v>
      </c>
      <c r="M219" s="43">
        <v>0.7</v>
      </c>
      <c r="N219" s="106">
        <f t="shared" si="15"/>
        <v>4.3749999999999997E-2</v>
      </c>
    </row>
    <row r="220" spans="1:14" ht="30" customHeight="1" x14ac:dyDescent="0.3">
      <c r="A220" s="41" t="s">
        <v>802</v>
      </c>
      <c r="B220" s="42" t="s">
        <v>808</v>
      </c>
      <c r="C220" s="43">
        <v>0.25</v>
      </c>
      <c r="D220" s="42" t="s">
        <v>812</v>
      </c>
      <c r="E220" s="43">
        <v>0.15</v>
      </c>
      <c r="F220" s="43" t="s">
        <v>30</v>
      </c>
      <c r="G220" s="43">
        <v>0.05</v>
      </c>
      <c r="H220" s="43">
        <f t="shared" si="13"/>
        <v>3.7499999999999999E-2</v>
      </c>
      <c r="I220" s="42" t="s">
        <v>1550</v>
      </c>
      <c r="J220" s="43">
        <f t="shared" si="14"/>
        <v>1.8749999999999999E-3</v>
      </c>
      <c r="K220" s="42" t="s">
        <v>801</v>
      </c>
      <c r="L220" s="42">
        <v>205</v>
      </c>
      <c r="M220" s="43">
        <v>0.4</v>
      </c>
      <c r="N220" s="106">
        <f t="shared" si="15"/>
        <v>1.4999999999999999E-2</v>
      </c>
    </row>
    <row r="221" spans="1:14" ht="30" customHeight="1" x14ac:dyDescent="0.3">
      <c r="A221" s="41" t="s">
        <v>802</v>
      </c>
      <c r="B221" s="42" t="s">
        <v>813</v>
      </c>
      <c r="C221" s="43">
        <v>0.25</v>
      </c>
      <c r="D221" s="42" t="s">
        <v>814</v>
      </c>
      <c r="E221" s="43">
        <v>0.35</v>
      </c>
      <c r="F221" s="43" t="s">
        <v>22</v>
      </c>
      <c r="G221" s="43">
        <v>0.2</v>
      </c>
      <c r="H221" s="43">
        <f t="shared" si="13"/>
        <v>8.7499999999999994E-2</v>
      </c>
      <c r="I221" s="42" t="s">
        <v>1527</v>
      </c>
      <c r="J221" s="43">
        <f t="shared" si="14"/>
        <v>1.7499999999999998E-2</v>
      </c>
      <c r="K221" s="42" t="s">
        <v>801</v>
      </c>
      <c r="L221" s="42">
        <v>206</v>
      </c>
      <c r="M221" s="43">
        <v>0.6</v>
      </c>
      <c r="N221" s="106">
        <f t="shared" si="15"/>
        <v>5.2499999999999998E-2</v>
      </c>
    </row>
    <row r="222" spans="1:14" ht="30" customHeight="1" x14ac:dyDescent="0.3">
      <c r="A222" s="41" t="s">
        <v>802</v>
      </c>
      <c r="B222" s="42" t="s">
        <v>813</v>
      </c>
      <c r="C222" s="43">
        <v>0.25</v>
      </c>
      <c r="D222" s="42" t="s">
        <v>815</v>
      </c>
      <c r="E222" s="43">
        <v>0.25</v>
      </c>
      <c r="F222" s="43" t="s">
        <v>18</v>
      </c>
      <c r="G222" s="43">
        <v>0.24</v>
      </c>
      <c r="H222" s="43">
        <f t="shared" si="13"/>
        <v>6.25E-2</v>
      </c>
      <c r="I222" s="42" t="s">
        <v>1549</v>
      </c>
      <c r="J222" s="43">
        <f t="shared" si="14"/>
        <v>1.4999999999999999E-2</v>
      </c>
      <c r="K222" s="42" t="s">
        <v>801</v>
      </c>
      <c r="L222" s="42">
        <v>207</v>
      </c>
      <c r="M222" s="43">
        <v>0.65</v>
      </c>
      <c r="N222" s="106">
        <f t="shared" si="15"/>
        <v>4.0625000000000001E-2</v>
      </c>
    </row>
    <row r="223" spans="1:14" ht="30" customHeight="1" x14ac:dyDescent="0.3">
      <c r="A223" s="41" t="s">
        <v>802</v>
      </c>
      <c r="B223" s="42" t="s">
        <v>813</v>
      </c>
      <c r="C223" s="43">
        <v>0.25</v>
      </c>
      <c r="D223" s="42" t="s">
        <v>816</v>
      </c>
      <c r="E223" s="43">
        <v>0.25</v>
      </c>
      <c r="F223" s="43" t="s">
        <v>20</v>
      </c>
      <c r="G223" s="43">
        <v>0.25</v>
      </c>
      <c r="H223" s="43">
        <f t="shared" si="13"/>
        <v>6.25E-2</v>
      </c>
      <c r="I223" s="42" t="s">
        <v>1527</v>
      </c>
      <c r="J223" s="43">
        <f t="shared" si="14"/>
        <v>1.5625E-2</v>
      </c>
      <c r="K223" s="42" t="s">
        <v>801</v>
      </c>
      <c r="L223" s="42">
        <v>208</v>
      </c>
      <c r="M223" s="43">
        <v>0.55000000000000004</v>
      </c>
      <c r="N223" s="106">
        <f t="shared" si="15"/>
        <v>3.4375000000000003E-2</v>
      </c>
    </row>
    <row r="224" spans="1:14" ht="30" customHeight="1" x14ac:dyDescent="0.3">
      <c r="A224" s="41" t="s">
        <v>802</v>
      </c>
      <c r="B224" s="42" t="s">
        <v>813</v>
      </c>
      <c r="C224" s="43">
        <v>0.25</v>
      </c>
      <c r="D224" s="42" t="s">
        <v>817</v>
      </c>
      <c r="E224" s="43">
        <v>0.15</v>
      </c>
      <c r="F224" s="43" t="s">
        <v>24</v>
      </c>
      <c r="G224" s="43">
        <v>0.12</v>
      </c>
      <c r="H224" s="43">
        <f t="shared" si="13"/>
        <v>3.7499999999999999E-2</v>
      </c>
      <c r="I224" s="42" t="s">
        <v>1548</v>
      </c>
      <c r="J224" s="43">
        <f t="shared" si="14"/>
        <v>4.4999999999999997E-3</v>
      </c>
      <c r="K224" s="42" t="s">
        <v>801</v>
      </c>
      <c r="L224" s="42">
        <v>209</v>
      </c>
      <c r="M224" s="43">
        <v>0.65</v>
      </c>
      <c r="N224" s="106">
        <f t="shared" si="15"/>
        <v>2.4375000000000001E-2</v>
      </c>
    </row>
    <row r="225" spans="1:14" ht="30" customHeight="1" x14ac:dyDescent="0.3">
      <c r="A225" s="41" t="s">
        <v>802</v>
      </c>
      <c r="B225" s="42" t="s">
        <v>818</v>
      </c>
      <c r="C225" s="43">
        <v>0.2</v>
      </c>
      <c r="D225" s="42" t="s">
        <v>819</v>
      </c>
      <c r="E225" s="43">
        <v>0.3</v>
      </c>
      <c r="F225" s="43" t="s">
        <v>18</v>
      </c>
      <c r="G225" s="43">
        <v>0.24</v>
      </c>
      <c r="H225" s="43">
        <f t="shared" si="13"/>
        <v>0.06</v>
      </c>
      <c r="I225" s="42" t="s">
        <v>1549</v>
      </c>
      <c r="J225" s="43">
        <f t="shared" si="14"/>
        <v>1.44E-2</v>
      </c>
      <c r="K225" s="42" t="s">
        <v>801</v>
      </c>
      <c r="L225" s="42">
        <v>210</v>
      </c>
      <c r="M225" s="43">
        <v>0.75</v>
      </c>
      <c r="N225" s="106">
        <f t="shared" si="15"/>
        <v>4.4999999999999998E-2</v>
      </c>
    </row>
    <row r="226" spans="1:14" ht="30" customHeight="1" x14ac:dyDescent="0.3">
      <c r="A226" s="41" t="s">
        <v>802</v>
      </c>
      <c r="B226" s="42" t="s">
        <v>818</v>
      </c>
      <c r="C226" s="43">
        <v>0.2</v>
      </c>
      <c r="D226" s="42" t="s">
        <v>820</v>
      </c>
      <c r="E226" s="43">
        <v>0.25</v>
      </c>
      <c r="F226" s="43" t="s">
        <v>40</v>
      </c>
      <c r="G226" s="43">
        <v>0.22</v>
      </c>
      <c r="H226" s="43">
        <f t="shared" si="13"/>
        <v>0.05</v>
      </c>
      <c r="I226" s="42" t="s">
        <v>1533</v>
      </c>
      <c r="J226" s="43">
        <f t="shared" si="14"/>
        <v>1.1000000000000001E-2</v>
      </c>
      <c r="K226" s="42" t="s">
        <v>801</v>
      </c>
      <c r="L226" s="42">
        <v>211</v>
      </c>
      <c r="M226" s="43">
        <v>0.7</v>
      </c>
      <c r="N226" s="106">
        <f t="shared" si="15"/>
        <v>3.4999999999999996E-2</v>
      </c>
    </row>
    <row r="227" spans="1:14" ht="30" customHeight="1" x14ac:dyDescent="0.3">
      <c r="A227" s="41" t="s">
        <v>802</v>
      </c>
      <c r="B227" s="42" t="s">
        <v>818</v>
      </c>
      <c r="C227" s="43">
        <v>0.2</v>
      </c>
      <c r="D227" s="42" t="s">
        <v>821</v>
      </c>
      <c r="E227" s="43">
        <v>0.25</v>
      </c>
      <c r="F227" s="43" t="s">
        <v>20</v>
      </c>
      <c r="G227" s="43">
        <v>0.25</v>
      </c>
      <c r="H227" s="43">
        <f t="shared" si="13"/>
        <v>0.05</v>
      </c>
      <c r="I227" s="42" t="s">
        <v>1527</v>
      </c>
      <c r="J227" s="43">
        <f t="shared" si="14"/>
        <v>1.2500000000000001E-2</v>
      </c>
      <c r="K227" s="42" t="s">
        <v>801</v>
      </c>
      <c r="L227" s="42">
        <v>212</v>
      </c>
      <c r="M227" s="43">
        <v>0.55000000000000004</v>
      </c>
      <c r="N227" s="106">
        <f t="shared" si="15"/>
        <v>2.7500000000000004E-2</v>
      </c>
    </row>
    <row r="228" spans="1:14" ht="30" customHeight="1" x14ac:dyDescent="0.3">
      <c r="A228" s="44" t="s">
        <v>802</v>
      </c>
      <c r="B228" s="45" t="s">
        <v>818</v>
      </c>
      <c r="C228" s="46">
        <v>0.2</v>
      </c>
      <c r="D228" s="45" t="s">
        <v>822</v>
      </c>
      <c r="E228" s="46">
        <v>0.2</v>
      </c>
      <c r="F228" s="46" t="s">
        <v>24</v>
      </c>
      <c r="G228" s="46">
        <v>0.12</v>
      </c>
      <c r="H228" s="46">
        <f t="shared" si="13"/>
        <v>4.0000000000000008E-2</v>
      </c>
      <c r="I228" s="45" t="s">
        <v>1548</v>
      </c>
      <c r="J228" s="46">
        <f t="shared" si="14"/>
        <v>4.8000000000000004E-3</v>
      </c>
      <c r="K228" s="45" t="s">
        <v>801</v>
      </c>
      <c r="L228" s="45">
        <v>213</v>
      </c>
      <c r="M228" s="46">
        <v>0.65</v>
      </c>
      <c r="N228" s="107">
        <f t="shared" si="15"/>
        <v>2.6000000000000006E-2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Healthcare SG&amp;A</vt:lpstr>
      <vt:lpstr>Communications</vt:lpstr>
      <vt:lpstr>Consumer Staples</vt:lpstr>
      <vt:lpstr>Financials</vt:lpstr>
      <vt:lpstr>CD</vt:lpstr>
      <vt:lpstr>Energy</vt:lpstr>
      <vt:lpstr>Govt</vt:lpstr>
      <vt:lpstr>Real Estate</vt:lpstr>
      <vt:lpstr>Utilities</vt:lpstr>
      <vt:lpstr>Industrials</vt:lpstr>
      <vt:lpstr>Materials</vt:lpstr>
      <vt:lpstr>Technology</vt:lpstr>
      <vt:lpstr>Service Lines</vt:lpstr>
      <vt:lpstr>Service Line TAM</vt:lpstr>
      <vt:lpstr>TAM Bridge</vt:lpstr>
      <vt:lpstr>Adjacent TAM Detail</vt:lpstr>
      <vt:lpstr>Executive Implications</vt:lpstr>
      <vt:lpstr>Assumption Register</vt:lpstr>
      <vt:lpstr>Task Logic &amp; Evidence</vt:lpstr>
      <vt:lpstr>Provider Capture</vt:lpstr>
      <vt:lpstr>Scenario Sensitivity</vt:lpstr>
      <vt:lpstr>Compression &amp; Secular</vt:lpstr>
      <vt:lpstr>Productivity 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2026-09-08T06:16:42Z</dcterms:created>
  <dcterms:modified xsi:type="dcterms:W3CDTF">2026-10-14T09:38:04Z</dcterms:modified>
</cp:coreProperties>
</file>