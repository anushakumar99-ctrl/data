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bc2a67619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Line Assumptions" sheetId="1" r:id="R795d1e8bb29041b2"/>
    <x:sheet xmlns:r="http://schemas.openxmlformats.org/officeDocument/2006/relationships" name="Excel Lookup Guide" sheetId="2" r:id="R64100f86d937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;[Red](0.0%);-"/>
  </x:numFmts>
  <x:fonts count="8">
    <x:font>
      <x:sz val="11"/>
      <x:name val="Carlito"/>
    </x:font>
    <x:font>
      <x:b/>
      <x:sz val="15"/>
      <x:color rgb="FFFFFFFF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3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EEF2F6"/>
      </x:patternFill>
    </x:fill>
    <x:fill>
      <x:patternFill patternType="solid">
        <x:fgColor rgb="FF213B56"/>
      </x:patternFill>
    </x:fill>
    <x:fill>
      <x:patternFill patternType="solid">
        <x:fgColor rgb="FFFFF5CE"/>
      </x:patternFill>
    </x:fill>
    <x:fill>
      <x:patternFill patternType="solid">
        <x:fgColor rgb="FFE2F0E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200" fontId="4" fillId="5" borderId="0" xfId="0" applyNumberFormat="1" applyFont="1" applyFill="1" applyBorder="1"/>
    <x:xf numFmtId="200" fontId="6" fillId="6" borderId="0" xfId="0" applyNumberFormat="1" applyFont="1" applyFill="1" applyBorder="1"/>
    <x:xf numFmtId="200" fontId="4" fillId="5" borderId="1" xfId="0" applyNumberFormat="1" applyFont="1" applyFill="1" applyBorder="1"/>
    <x:xf numFmtId="200" fontId="6" fillId="6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cfa9afc0a43f7" /><Relationship Type="http://schemas.openxmlformats.org/officeDocument/2006/relationships/theme" Target="/xl/theme/theme1.xml" Id="R7daa36a915e94b03" /><Relationship Type="http://schemas.openxmlformats.org/officeDocument/2006/relationships/sharedStrings" Target="/xl/sharedStrings.xml" Id="Rdca3436d8577405d" /><Relationship Type="http://schemas.openxmlformats.org/officeDocument/2006/relationships/worksheet" Target="/xl/worksheets/sheet1.xml" Id="R795d1e8bb29041b2" /><Relationship Type="http://schemas.openxmlformats.org/officeDocument/2006/relationships/worksheet" Target="/xl/worksheets/sheet2.xml" Id="R64100f86d93747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VENDOR MIX &amp; AGENTIFICATION ADOPTION | SERVICE LINE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Illustrative steady-state adoption of AI-addressable work | Yellow cells = editable assumptions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2" t="str">
        <x:v>Summary Group</x:v>
      </x:c>
      <x:c r="B4" s="12" t="str">
        <x:v>L share</x:v>
      </x:c>
      <x:c r="C4" s="12" t="str">
        <x:v>M share</x:v>
      </x:c>
      <x:c r="D4" s="12" t="str">
        <x:v>S share</x:v>
      </x:c>
      <x:c r="E4" s="12" t="str">
        <x:v>L adoption</x:v>
      </x:c>
      <x:c r="F4" s="12" t="str">
        <x:v>M adoption</x:v>
      </x:c>
      <x:c r="G4" s="12" t="str">
        <x:v>S adoption</x:v>
      </x:c>
      <x:c r="H4" s="12" t="str">
        <x:v>Weighted adoption</x:v>
      </x:c>
    </x:row>
    <x:row r="5" ht="24" customHeight="1">
      <x:c r="A5" s="30" t="str">
        <x:v>Application Maintenance &amp; Development</x:v>
      </x:c>
      <x:c r="B5" s="31" t="n">
        <x:v>0.75</x:v>
      </x:c>
      <x:c r="C5" s="31" t="n">
        <x:v>0.2</x:v>
      </x:c>
      <x:c r="D5" s="31" t="n">
        <x:v>0.05</x:v>
      </x:c>
      <x:c r="E5" s="31" t="n">
        <x:v>0.85</x:v>
      </x:c>
      <x:c r="F5" s="31" t="n">
        <x:v>0.7</x:v>
      </x:c>
      <x:c r="G5" s="31" t="n">
        <x:v>0.35</x:v>
      </x:c>
      <x:c r="H5" s="32" t="n">
        <x:f>SUMPRODUCT(B5:D5,E5:G5)</x:f>
        <x:v>0.7949999999999999</x:v>
      </x:c>
    </x:row>
    <x:row r="6" ht="24" customHeight="1">
      <x:c r="A6" s="30" t="str">
        <x:v>Business Process Services</x:v>
      </x:c>
      <x:c r="B6" s="31" t="n">
        <x:v>0.65</x:v>
      </x:c>
      <x:c r="C6" s="31" t="n">
        <x:v>0.25</x:v>
      </x:c>
      <x:c r="D6" s="31" t="n">
        <x:v>0.1</x:v>
      </x:c>
      <x:c r="E6" s="31" t="n">
        <x:v>0.9</x:v>
      </x:c>
      <x:c r="F6" s="31" t="n">
        <x:v>0.75</x:v>
      </x:c>
      <x:c r="G6" s="31" t="n">
        <x:v>0.4</x:v>
      </x:c>
      <x:c r="H6" s="32" t="n">
        <x:f>SUMPRODUCT(B6:D6,E6:G6)</x:f>
        <x:v>0.8125000000000001</x:v>
      </x:c>
    </x:row>
    <x:row r="7" ht="24" customHeight="1">
      <x:c r="A7" s="30" t="str">
        <x:v>Consulting</x:v>
      </x:c>
      <x:c r="B7" s="31" t="n">
        <x:v>0.55</x:v>
      </x:c>
      <x:c r="C7" s="31" t="n">
        <x:v>0.44</x:v>
      </x:c>
      <x:c r="D7" s="31" t="n">
        <x:v>0.01</x:v>
      </x:c>
      <x:c r="E7" s="31" t="n">
        <x:v>0.65</x:v>
      </x:c>
      <x:c r="F7" s="31" t="n">
        <x:v>0.5</x:v>
      </x:c>
      <x:c r="G7" s="31" t="n">
        <x:v>0.2</x:v>
      </x:c>
      <x:c r="H7" s="32" t="n">
        <x:f>SUMPRODUCT(B7:D7,E7:G7)</x:f>
        <x:v>0.5795</x:v>
      </x:c>
    </x:row>
    <x:row r="8" ht="24" customHeight="1">
      <x:c r="A8" s="30" t="str">
        <x:v>Application Implementation &amp; Managed Services</x:v>
      </x:c>
      <x:c r="B8" s="31" t="n">
        <x:v>0.7</x:v>
      </x:c>
      <x:c r="C8" s="31" t="n">
        <x:v>0.25</x:v>
      </x:c>
      <x:c r="D8" s="31" t="n">
        <x:v>0.05</x:v>
      </x:c>
      <x:c r="E8" s="31" t="n">
        <x:v>0.8</x:v>
      </x:c>
      <x:c r="F8" s="31" t="n">
        <x:v>0.65</x:v>
      </x:c>
      <x:c r="G8" s="31" t="n">
        <x:v>0.3</x:v>
      </x:c>
      <x:c r="H8" s="32" t="n">
        <x:f>SUMPRODUCT(B8:D8,E8:G8)</x:f>
        <x:v>0.7374999999999999</x:v>
      </x:c>
    </x:row>
    <x:row r="9" ht="24" customHeight="1">
      <x:c r="A9" s="30" t="str">
        <x:v>Infrastructure Implementation &amp; Managed Services</x:v>
      </x:c>
      <x:c r="B9" s="31" t="n">
        <x:v>0.75</x:v>
      </x:c>
      <x:c r="C9" s="31" t="n">
        <x:v>0.2</x:v>
      </x:c>
      <x:c r="D9" s="31" t="n">
        <x:v>0.05</x:v>
      </x:c>
      <x:c r="E9" s="31" t="n">
        <x:v>0.8</x:v>
      </x:c>
      <x:c r="F9" s="31" t="n">
        <x:v>0.65</x:v>
      </x:c>
      <x:c r="G9" s="31" t="n">
        <x:v>0.3</x:v>
      </x:c>
      <x:c r="H9" s="32" t="n">
        <x:f>SUMPRODUCT(B9:D9,E9:G9)</x:f>
        <x:v>0.7450000000000001</x:v>
      </x:c>
    </x:row>
    <x:row r="10" ht="24" customHeight="1">
      <x:c r="A10" s="30" t="str">
        <x:v>ADMS</x:v>
      </x:c>
      <x:c r="B10" s="31" t="n">
        <x:v>0.75</x:v>
      </x:c>
      <x:c r="C10" s="31" t="n">
        <x:v>0.2</x:v>
      </x:c>
      <x:c r="D10" s="31" t="n">
        <x:v>0.05</x:v>
      </x:c>
      <x:c r="E10" s="31" t="n">
        <x:v>0.85</x:v>
      </x:c>
      <x:c r="F10" s="31" t="n">
        <x:v>0.7</x:v>
      </x:c>
      <x:c r="G10" s="31" t="n">
        <x:v>0.35</x:v>
      </x:c>
      <x:c r="H10" s="32" t="n">
        <x:f>SUMPRODUCT(B10:D10,E10:G10)</x:f>
        <x:v>0.7949999999999999</x:v>
      </x:c>
    </x:row>
    <x:row r="11" ht="24" customHeight="1">
      <x:c r="A11" s="30" t="str">
        <x:v>BPM</x:v>
      </x:c>
      <x:c r="B11" s="31" t="n">
        <x:v>0.65</x:v>
      </x:c>
      <x:c r="C11" s="31" t="n">
        <x:v>0.25</x:v>
      </x:c>
      <x:c r="D11" s="31" t="n">
        <x:v>0.1</x:v>
      </x:c>
      <x:c r="E11" s="31" t="n">
        <x:v>0.9</x:v>
      </x:c>
      <x:c r="F11" s="31" t="n">
        <x:v>0.75</x:v>
      </x:c>
      <x:c r="G11" s="31" t="n">
        <x:v>0.4</x:v>
      </x:c>
      <x:c r="H11" s="32" t="n">
        <x:f>SUMPRODUCT(B11:D11,E11:G11)</x:f>
        <x:v>0.8125000000000001</x:v>
      </x:c>
    </x:row>
    <x:row r="12" ht="24" customHeight="1">
      <x:c r="A12" s="30" t="str">
        <x:v>Data &amp; Analytics</x:v>
      </x:c>
      <x:c r="B12" s="31" t="n">
        <x:v>0.55</x:v>
      </x:c>
      <x:c r="C12" s="31" t="n">
        <x:v>0.44</x:v>
      </x:c>
      <x:c r="D12" s="31" t="n">
        <x:v>0.01</x:v>
      </x:c>
      <x:c r="E12" s="31" t="n">
        <x:v>0.85</x:v>
      </x:c>
      <x:c r="F12" s="31" t="n">
        <x:v>0.7</x:v>
      </x:c>
      <x:c r="G12" s="31" t="n">
        <x:v>0.35</x:v>
      </x:c>
      <x:c r="H12" s="32" t="n">
        <x:f>SUMPRODUCT(B12:D12,E12:G12)</x:f>
        <x:v>0.779</x:v>
      </x:c>
    </x:row>
    <x:row r="13" ht="24" customHeight="1">
      <x:c r="A13" s="30" t="str">
        <x:v>Cybersecurity</x:v>
      </x:c>
      <x:c r="B13" s="31" t="n">
        <x:v>0.65</x:v>
      </x:c>
      <x:c r="C13" s="31" t="n">
        <x:v>0.34</x:v>
      </x:c>
      <x:c r="D13" s="31" t="n">
        <x:v>0.01</x:v>
      </x:c>
      <x:c r="E13" s="31" t="n">
        <x:v>0.7</x:v>
      </x:c>
      <x:c r="F13" s="31" t="n">
        <x:v>0.55</x:v>
      </x:c>
      <x:c r="G13" s="31" t="n">
        <x:v>0.25</x:v>
      </x:c>
      <x:c r="H13" s="32" t="n">
        <x:f>SUMPRODUCT(B13:D13,E13:G13)</x:f>
        <x:v>0.6445</x:v>
      </x:c>
    </x:row>
    <x:row r="15">
      <x:c r="A15" s="11" t="str">
        <x:v>Interpretation</x:v>
      </x:c>
      <x:c r="B15" s="11"/>
      <x:c r="C15" s="11"/>
      <x:c r="D15" s="11"/>
      <x:c r="E15" s="11"/>
      <x:c r="F15" s="11"/>
      <x:c r="G15" s="11"/>
      <x:c r="H15" s="11"/>
    </x:row>
    <x:row r="16" ht="22" customHeight="1">
      <x:c r="A16" t="str">
        <x:v>Weighted adoption = L share × L adoption + M share × M adoption + S share × S adoption.</x:v>
      </x:c>
    </x:row>
    <x:row r="17" ht="22" customHeight="1">
      <x:c r="A17" t="str">
        <x:v>All values are analyst modelling assumptions, not externally reported market statistics.</x:v>
      </x:c>
    </x:row>
    <x:row r="18" ht="22" customHeight="1">
      <x:c r="A18" t="str">
        <x:v>Shares sum to 100% for each service line. ADMS mirrors Application Maintenance; BPM mirrors Business Process Services.</x:v>
      </x:c>
    </x:row>
  </x:sheetData>
  <x:mergeCells>
    <x:mergeCell ref="A1:H1"/>
    <x:mergeCell ref="A2:H2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 ht="32" customHeight="1">
      <x:c r="A1" s="36" t="str">
        <x:v>APPLY ASSUMPTIONS TO EXISTING SEGMENT 6 WORKBOOK</x:v>
      </x:c>
      <x:c r="B1" s="36"/>
      <x:c r="C1" s="36"/>
      <x:c r="D1" s="36"/>
      <x:c r="E1" s="36"/>
      <x:c r="F1" s="36"/>
    </x:row>
    <x:row r="3">
      <x:c r="A3" s="11" t="str">
        <x:v>Original sheet column</x:v>
      </x:c>
      <x:c r="B3" s="11" t="str">
        <x:v>Value</x:v>
      </x:c>
    </x:row>
    <x:row r="4">
      <x:c r="A4" t="str">
        <x:v>C</x:v>
      </x:c>
      <x:c r="B4" t="str">
        <x:v>Summary Group</x:v>
      </x:c>
    </x:row>
    <x:row r="5">
      <x:c r="A5" t="str">
        <x:v>L</x:v>
      </x:c>
      <x:c r="B5" t="str">
        <x:v>L vendor share</x:v>
      </x:c>
    </x:row>
    <x:row r="6">
      <x:c r="A6" t="str">
        <x:v>M</x:v>
      </x:c>
      <x:c r="B6" t="str">
        <x:v>M vendor share</x:v>
      </x:c>
    </x:row>
    <x:row r="7">
      <x:c r="A7" t="str">
        <x:v>N</x:v>
      </x:c>
      <x:c r="B7" t="str">
        <x:v>S vendor share</x:v>
      </x:c>
    </x:row>
    <x:row r="8">
      <x:c r="A8" t="str">
        <x:v>O:Q</x:v>
      </x:c>
      <x:c r="B8" t="str">
        <x:v>L / M / S adoption (adjust destination columns if needed)</x:v>
      </x:c>
    </x:row>
    <x:row r="10" ht="27" customHeight="1">
      <x:c r="A10" t="str">
        <x:v>Example formula to pull L share into L2 of your original sheet:</x:v>
      </x:c>
    </x:row>
    <x:row r="11" ht="27" customHeight="1">
      <x:c r="A11" t="str">
        <x:f>IFERROR(VLOOKUP($C2,'Service Line Assumptions'!$A$5:$H$13,2,FALSE),"")</x:f>
      </x:c>
    </x:row>
    <x:row r="12" ht="27" customHeight="1"/>
    <x:row r="13" ht="27" customHeight="1">
      <x:c r="A13" t="str">
        <x:v>Change the VLOOKUP index to pull other columns: M = 3, S = 4, L adoption = 5, M adoption = 6, S adoption = 7, weighted adoption = 8.</x:v>
      </x:c>
    </x:row>
    <x:row r="14" ht="27" customHeight="1"/>
    <x:row r="15" ht="27" customHeight="1">
      <x:c r="A15" t="str">
        <x:v>Note: your original .xlsx was not attached; this is a standalone, lookup-ready assumption table.</x:v>
      </x:c>
    </x:row>
  </x:sheetData>
  <x:mergeCells>
    <x:mergeCell ref="A1:F1"/>
    <x:mergeCell ref="A10:F10"/>
    <x:mergeCell ref="A11:F11"/>
    <x:mergeCell ref="A13:F13"/>
    <x:mergeCell ref="A15:F15"/>
  </x:mergeCells>
  <x:pageMargins left="0.7" right="0.7" top="0.75" bottom="0.75" header="0.3" footer="0.3"/>
</x:worksheet>
</file>